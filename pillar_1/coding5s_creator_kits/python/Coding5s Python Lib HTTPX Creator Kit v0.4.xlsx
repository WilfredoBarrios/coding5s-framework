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python\"/>
    </mc:Choice>
  </mc:AlternateContent>
  <xr:revisionPtr revIDLastSave="0" documentId="13_ncr:1_{40B40514-1C8D-44E4-8D48-32FF0EDC2EF4}"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29895" yWindow="690" windowWidth="26115" windowHeight="1492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R47" i="1" l="1"/>
  <c r="R48" i="1"/>
  <c r="R50" i="1"/>
  <c r="R51" i="1"/>
  <c r="R52" i="1"/>
  <c r="R53" i="1"/>
  <c r="R54" i="1"/>
  <c r="R55" i="1"/>
  <c r="R56" i="1"/>
  <c r="R58" i="1"/>
  <c r="R59" i="1"/>
  <c r="R60" i="1"/>
  <c r="R61" i="1"/>
  <c r="R62" i="1"/>
  <c r="R63" i="1"/>
  <c r="R64" i="1"/>
  <c r="R66" i="1"/>
  <c r="R67" i="1"/>
  <c r="R68" i="1"/>
  <c r="R69" i="1"/>
  <c r="R70" i="1"/>
  <c r="R71" i="1"/>
  <c r="R72" i="1"/>
  <c r="R74" i="1"/>
  <c r="R75" i="1"/>
  <c r="R76" i="1"/>
  <c r="R77" i="1"/>
  <c r="R78" i="1"/>
  <c r="R79" i="1"/>
  <c r="R80" i="1"/>
  <c r="R82" i="1"/>
  <c r="R83" i="1"/>
  <c r="R84" i="1"/>
  <c r="R85" i="1"/>
  <c r="R86" i="1"/>
  <c r="R87" i="1"/>
  <c r="R88" i="1"/>
  <c r="R90" i="1"/>
  <c r="R91" i="1"/>
  <c r="R92" i="1"/>
  <c r="R93" i="1"/>
  <c r="R94" i="1"/>
  <c r="R95" i="1"/>
  <c r="R96" i="1"/>
  <c r="R98" i="1"/>
  <c r="R99" i="1"/>
  <c r="R100" i="1"/>
  <c r="R101" i="1"/>
  <c r="R102" i="1"/>
  <c r="R103" i="1"/>
  <c r="R104" i="1"/>
  <c r="R105" i="1"/>
  <c r="R107" i="1"/>
  <c r="R108" i="1"/>
  <c r="R109" i="1"/>
  <c r="R110" i="1"/>
  <c r="R111" i="1"/>
  <c r="R112" i="1"/>
  <c r="R113" i="1"/>
  <c r="R115" i="1"/>
  <c r="R116"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AB10" i="1"/>
  <c r="AB11" i="1"/>
  <c r="AB12" i="1"/>
  <c r="AB13" i="1"/>
  <c r="AB15" i="1"/>
  <c r="AB16" i="1"/>
  <c r="AB17" i="1"/>
  <c r="AB18" i="1"/>
  <c r="AB19" i="1"/>
  <c r="AB21" i="1"/>
  <c r="AB22" i="1"/>
  <c r="AB23" i="1"/>
  <c r="AB24" i="1"/>
  <c r="AB25" i="1"/>
  <c r="AB26" i="1"/>
  <c r="AB27" i="1"/>
  <c r="AB29" i="1"/>
  <c r="AB30" i="1"/>
  <c r="AB31" i="1"/>
  <c r="AB32" i="1"/>
  <c r="AB34" i="1"/>
  <c r="AB35" i="1"/>
  <c r="AB36" i="1"/>
  <c r="AB37" i="1"/>
  <c r="AB38" i="1"/>
  <c r="AB40" i="1"/>
  <c r="AB41" i="1"/>
  <c r="AB42" i="1"/>
  <c r="AB43" i="1"/>
  <c r="AB44" i="1"/>
  <c r="AB45" i="1"/>
  <c r="AB47" i="1"/>
  <c r="AB48" i="1"/>
  <c r="AB50" i="1"/>
  <c r="AB51" i="1"/>
  <c r="AB52" i="1"/>
  <c r="AB53" i="1"/>
  <c r="AB54" i="1"/>
  <c r="AB55" i="1"/>
  <c r="AB56" i="1"/>
  <c r="AB58" i="1"/>
  <c r="AB59" i="1"/>
  <c r="AB60" i="1"/>
  <c r="AB61" i="1"/>
  <c r="AB62" i="1"/>
  <c r="AB63" i="1"/>
  <c r="AB64" i="1"/>
  <c r="AB66" i="1"/>
  <c r="AB67" i="1"/>
  <c r="AB68" i="1"/>
  <c r="AB69" i="1"/>
  <c r="AB70" i="1"/>
  <c r="AB71" i="1"/>
  <c r="AB72" i="1"/>
  <c r="AB74" i="1"/>
  <c r="AB75" i="1"/>
  <c r="AB76" i="1"/>
  <c r="AB77" i="1"/>
  <c r="AB78" i="1"/>
  <c r="AB79" i="1"/>
  <c r="AB80" i="1"/>
  <c r="AB82" i="1"/>
  <c r="AB83" i="1"/>
  <c r="AB84" i="1"/>
  <c r="AB85" i="1"/>
  <c r="AB86" i="1"/>
  <c r="AB87" i="1"/>
  <c r="AB88" i="1"/>
  <c r="AB90" i="1"/>
  <c r="AB91" i="1"/>
  <c r="AB92" i="1"/>
  <c r="AB93" i="1"/>
  <c r="AB94" i="1"/>
  <c r="AB95" i="1"/>
  <c r="AB96" i="1"/>
  <c r="AB98" i="1"/>
  <c r="AB99" i="1"/>
  <c r="AB100" i="1"/>
  <c r="AB101" i="1"/>
  <c r="AB102" i="1"/>
  <c r="AB103" i="1"/>
  <c r="AB104" i="1"/>
  <c r="AB105" i="1"/>
  <c r="AB107" i="1"/>
  <c r="AB108" i="1"/>
  <c r="AB109" i="1"/>
  <c r="AB110" i="1"/>
  <c r="AB111" i="1"/>
  <c r="AB112" i="1"/>
  <c r="AB113" i="1"/>
  <c r="AB115" i="1"/>
  <c r="AB116"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47" i="1"/>
  <c r="Q48" i="1"/>
  <c r="Q50" i="1"/>
  <c r="Q51" i="1"/>
  <c r="Q52" i="1"/>
  <c r="Q53" i="1"/>
  <c r="Q54" i="1"/>
  <c r="Q55" i="1"/>
  <c r="Q56" i="1"/>
  <c r="Q58" i="1"/>
  <c r="Q59" i="1"/>
  <c r="Q60" i="1"/>
  <c r="Q61" i="1"/>
  <c r="Q62" i="1"/>
  <c r="Q63" i="1"/>
  <c r="Q64" i="1"/>
  <c r="Q66" i="1"/>
  <c r="Q67" i="1"/>
  <c r="Q68" i="1"/>
  <c r="Q69" i="1"/>
  <c r="Q70" i="1"/>
  <c r="Q71" i="1"/>
  <c r="Q72" i="1"/>
  <c r="Q74" i="1"/>
  <c r="Q75" i="1"/>
  <c r="Q76" i="1"/>
  <c r="Q77" i="1"/>
  <c r="Q78" i="1"/>
  <c r="Q79" i="1"/>
  <c r="Q80" i="1"/>
  <c r="Q82" i="1"/>
  <c r="Q83" i="1"/>
  <c r="Q84" i="1"/>
  <c r="Q85" i="1"/>
  <c r="Q86" i="1"/>
  <c r="Q87" i="1"/>
  <c r="Q88" i="1"/>
  <c r="Q90" i="1"/>
  <c r="Q91" i="1"/>
  <c r="Q92" i="1"/>
  <c r="Q93" i="1"/>
  <c r="Q94" i="1"/>
  <c r="Q95" i="1"/>
  <c r="Q96" i="1"/>
  <c r="Q98" i="1"/>
  <c r="Q99" i="1"/>
  <c r="Q100" i="1"/>
  <c r="Q101" i="1"/>
  <c r="Q102" i="1"/>
  <c r="Q103" i="1"/>
  <c r="Q104" i="1"/>
  <c r="Q105" i="1"/>
  <c r="Q107" i="1"/>
  <c r="Q108" i="1"/>
  <c r="Q109" i="1"/>
  <c r="Q110" i="1"/>
  <c r="Q111" i="1"/>
  <c r="Q112" i="1"/>
  <c r="Q113" i="1"/>
  <c r="Q115" i="1"/>
  <c r="Q116"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E54" i="16"/>
  <c r="E55" i="16"/>
  <c r="E56" i="16"/>
  <c r="E57" i="16"/>
  <c r="E58" i="16"/>
  <c r="E59" i="16"/>
  <c r="E60" i="16"/>
  <c r="E61" i="16"/>
  <c r="E62" i="16"/>
  <c r="E63" i="16"/>
  <c r="E64" i="16"/>
  <c r="E65" i="16"/>
  <c r="E66" i="16"/>
  <c r="E67" i="16"/>
  <c r="E68" i="16"/>
  <c r="E69" i="16"/>
  <c r="E70" i="16"/>
  <c r="E71" i="16"/>
  <c r="E72" i="16"/>
  <c r="E73" i="16"/>
  <c r="E74" i="16"/>
  <c r="E75" i="16"/>
  <c r="E76" i="16"/>
  <c r="E53" i="16"/>
  <c r="D53" i="16"/>
  <c r="N47" i="1"/>
  <c r="N48" i="1"/>
  <c r="N50" i="1"/>
  <c r="N51" i="1"/>
  <c r="N52" i="1"/>
  <c r="N53" i="1"/>
  <c r="N54" i="1"/>
  <c r="N55" i="1"/>
  <c r="N56" i="1"/>
  <c r="N58" i="1"/>
  <c r="N59" i="1"/>
  <c r="N60" i="1"/>
  <c r="N61" i="1"/>
  <c r="N62" i="1"/>
  <c r="N63" i="1"/>
  <c r="N64" i="1"/>
  <c r="N66" i="1"/>
  <c r="N67" i="1"/>
  <c r="N68" i="1"/>
  <c r="N69" i="1"/>
  <c r="N70" i="1"/>
  <c r="N71" i="1"/>
  <c r="N72" i="1"/>
  <c r="N74" i="1"/>
  <c r="N75" i="1"/>
  <c r="N76" i="1"/>
  <c r="N77" i="1"/>
  <c r="N78" i="1"/>
  <c r="N79" i="1"/>
  <c r="N80" i="1"/>
  <c r="N82" i="1"/>
  <c r="N83" i="1"/>
  <c r="N84" i="1"/>
  <c r="N85" i="1"/>
  <c r="N86" i="1"/>
  <c r="N87" i="1"/>
  <c r="N88" i="1"/>
  <c r="N90" i="1"/>
  <c r="N91" i="1"/>
  <c r="N92" i="1"/>
  <c r="N93" i="1"/>
  <c r="N94" i="1"/>
  <c r="N95" i="1"/>
  <c r="N96" i="1"/>
  <c r="N98" i="1"/>
  <c r="N99" i="1"/>
  <c r="N100" i="1"/>
  <c r="N101" i="1"/>
  <c r="N102" i="1"/>
  <c r="N103" i="1"/>
  <c r="N104" i="1"/>
  <c r="N105" i="1"/>
  <c r="N107" i="1"/>
  <c r="N108" i="1"/>
  <c r="N109" i="1"/>
  <c r="N110" i="1"/>
  <c r="N111" i="1"/>
  <c r="N112" i="1"/>
  <c r="N113" i="1"/>
  <c r="N115" i="1"/>
  <c r="N116"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K47" i="1"/>
  <c r="K48" i="1"/>
  <c r="K50" i="1"/>
  <c r="K51" i="1"/>
  <c r="K52" i="1"/>
  <c r="K53" i="1"/>
  <c r="K54" i="1"/>
  <c r="K55" i="1"/>
  <c r="K56" i="1"/>
  <c r="K58" i="1"/>
  <c r="K59" i="1"/>
  <c r="K60" i="1"/>
  <c r="K61" i="1"/>
  <c r="K62" i="1"/>
  <c r="K63" i="1"/>
  <c r="K64" i="1"/>
  <c r="K66" i="1"/>
  <c r="K67" i="1"/>
  <c r="K68" i="1"/>
  <c r="K69" i="1"/>
  <c r="K70" i="1"/>
  <c r="K71" i="1"/>
  <c r="K72" i="1"/>
  <c r="K74" i="1"/>
  <c r="K75" i="1"/>
  <c r="K76" i="1"/>
  <c r="K77" i="1"/>
  <c r="K78" i="1"/>
  <c r="K79" i="1"/>
  <c r="K80" i="1"/>
  <c r="K82" i="1"/>
  <c r="K83" i="1"/>
  <c r="K84" i="1"/>
  <c r="K85" i="1"/>
  <c r="K86" i="1"/>
  <c r="K87" i="1"/>
  <c r="K88" i="1"/>
  <c r="K90" i="1"/>
  <c r="K91" i="1"/>
  <c r="K92" i="1"/>
  <c r="K93" i="1"/>
  <c r="K94" i="1"/>
  <c r="K95" i="1"/>
  <c r="K96" i="1"/>
  <c r="K98" i="1"/>
  <c r="K99" i="1"/>
  <c r="K100" i="1"/>
  <c r="K101" i="1"/>
  <c r="K102" i="1"/>
  <c r="K103" i="1"/>
  <c r="K104" i="1"/>
  <c r="K105" i="1"/>
  <c r="K107" i="1"/>
  <c r="K108" i="1"/>
  <c r="K109" i="1"/>
  <c r="K110" i="1"/>
  <c r="K111" i="1"/>
  <c r="K112" i="1"/>
  <c r="K113" i="1"/>
  <c r="K115" i="1"/>
  <c r="K116"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D9" i="2"/>
  <c r="D10" i="15"/>
  <c r="D10" i="16"/>
  <c r="AA10" i="1"/>
  <c r="AA11" i="1"/>
  <c r="AA12" i="1"/>
  <c r="AA13" i="1"/>
  <c r="AA15" i="1"/>
  <c r="AA16" i="1"/>
  <c r="AA17" i="1"/>
  <c r="AA18" i="1"/>
  <c r="AA19" i="1"/>
  <c r="AA21" i="1"/>
  <c r="AA22" i="1"/>
  <c r="AA23" i="1"/>
  <c r="AA24" i="1"/>
  <c r="AA25" i="1"/>
  <c r="AA26" i="1"/>
  <c r="AA27" i="1"/>
  <c r="AA29" i="1"/>
  <c r="AA30" i="1"/>
  <c r="AA31" i="1"/>
  <c r="AA32" i="1"/>
  <c r="AA34" i="1"/>
  <c r="AA35" i="1"/>
  <c r="AA36" i="1"/>
  <c r="AA37" i="1"/>
  <c r="AA38" i="1"/>
  <c r="AA40" i="1"/>
  <c r="AA41" i="1"/>
  <c r="AA42" i="1"/>
  <c r="AA43" i="1"/>
  <c r="AA44" i="1"/>
  <c r="AA45" i="1"/>
  <c r="AA47" i="1"/>
  <c r="AA48" i="1"/>
  <c r="AA50" i="1"/>
  <c r="AA51" i="1"/>
  <c r="AA52" i="1"/>
  <c r="AA53" i="1"/>
  <c r="AA54" i="1"/>
  <c r="AA55" i="1"/>
  <c r="AA56" i="1"/>
  <c r="AA58" i="1"/>
  <c r="AA59" i="1"/>
  <c r="AA60" i="1"/>
  <c r="AA61" i="1"/>
  <c r="AA62" i="1"/>
  <c r="AA63" i="1"/>
  <c r="AA64" i="1"/>
  <c r="AA66" i="1"/>
  <c r="AA67" i="1"/>
  <c r="AA68" i="1"/>
  <c r="AA69" i="1"/>
  <c r="AA70" i="1"/>
  <c r="AA71" i="1"/>
  <c r="AA72" i="1"/>
  <c r="AA74" i="1"/>
  <c r="AA75" i="1"/>
  <c r="AA76" i="1"/>
  <c r="AA77" i="1"/>
  <c r="AA78" i="1"/>
  <c r="AA79" i="1"/>
  <c r="AA80" i="1"/>
  <c r="AA82" i="1"/>
  <c r="AA83" i="1"/>
  <c r="AA84" i="1"/>
  <c r="AA85" i="1"/>
  <c r="AA86" i="1"/>
  <c r="AA87" i="1"/>
  <c r="AA88" i="1"/>
  <c r="AA90" i="1"/>
  <c r="AA91" i="1"/>
  <c r="AA92" i="1"/>
  <c r="AA93" i="1"/>
  <c r="AA94" i="1"/>
  <c r="AA95" i="1"/>
  <c r="AA96" i="1"/>
  <c r="AA98" i="1"/>
  <c r="AA99" i="1"/>
  <c r="AA100" i="1"/>
  <c r="AA101" i="1"/>
  <c r="AA102" i="1"/>
  <c r="AA103" i="1"/>
  <c r="AA104" i="1"/>
  <c r="AA105" i="1"/>
  <c r="AA107" i="1"/>
  <c r="AA108" i="1"/>
  <c r="AA109" i="1"/>
  <c r="AA110" i="1"/>
  <c r="AA111" i="1"/>
  <c r="AA112" i="1"/>
  <c r="AA113" i="1"/>
  <c r="AA115" i="1"/>
  <c r="AA116"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O47" i="1"/>
  <c r="O48" i="1"/>
  <c r="O50" i="1"/>
  <c r="O51" i="1"/>
  <c r="O52" i="1"/>
  <c r="O53" i="1"/>
  <c r="O54" i="1"/>
  <c r="O55" i="1"/>
  <c r="O56" i="1"/>
  <c r="O58" i="1"/>
  <c r="O59" i="1"/>
  <c r="O60" i="1"/>
  <c r="O61" i="1"/>
  <c r="O62" i="1"/>
  <c r="O63" i="1"/>
  <c r="O64" i="1"/>
  <c r="O66" i="1"/>
  <c r="O67" i="1"/>
  <c r="O68" i="1"/>
  <c r="O69" i="1"/>
  <c r="O70" i="1"/>
  <c r="O71" i="1"/>
  <c r="O72" i="1"/>
  <c r="O74" i="1"/>
  <c r="O75" i="1"/>
  <c r="O76" i="1"/>
  <c r="O77" i="1"/>
  <c r="O78" i="1"/>
  <c r="O79" i="1"/>
  <c r="O80" i="1"/>
  <c r="O82" i="1"/>
  <c r="O83" i="1"/>
  <c r="O84" i="1"/>
  <c r="O85" i="1"/>
  <c r="O86" i="1"/>
  <c r="O87" i="1"/>
  <c r="O88" i="1"/>
  <c r="O90" i="1"/>
  <c r="O91" i="1"/>
  <c r="O92" i="1"/>
  <c r="O93" i="1"/>
  <c r="O94" i="1"/>
  <c r="O95" i="1"/>
  <c r="O96" i="1"/>
  <c r="O98" i="1"/>
  <c r="O99" i="1"/>
  <c r="O100" i="1"/>
  <c r="O101" i="1"/>
  <c r="O102" i="1"/>
  <c r="O103" i="1"/>
  <c r="O104" i="1"/>
  <c r="O105" i="1"/>
  <c r="O107" i="1"/>
  <c r="O108" i="1"/>
  <c r="O109" i="1"/>
  <c r="O110" i="1"/>
  <c r="O111" i="1"/>
  <c r="O112" i="1"/>
  <c r="O113" i="1"/>
  <c r="O115" i="1"/>
  <c r="O116"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D18" i="15"/>
  <c r="D17" i="15"/>
  <c r="D16" i="15"/>
  <c r="D19" i="15"/>
  <c r="L47" i="1"/>
  <c r="L48" i="1"/>
  <c r="L50" i="1"/>
  <c r="L51" i="1"/>
  <c r="L52" i="1"/>
  <c r="L53" i="1"/>
  <c r="L54" i="1"/>
  <c r="L55" i="1"/>
  <c r="L56" i="1"/>
  <c r="L58" i="1"/>
  <c r="L59" i="1"/>
  <c r="L60" i="1"/>
  <c r="L61" i="1"/>
  <c r="L62" i="1"/>
  <c r="L63" i="1"/>
  <c r="L64" i="1"/>
  <c r="L66" i="1"/>
  <c r="L67" i="1"/>
  <c r="L68" i="1"/>
  <c r="L69" i="1"/>
  <c r="L70" i="1"/>
  <c r="L71" i="1"/>
  <c r="L72" i="1"/>
  <c r="L74" i="1"/>
  <c r="L75" i="1"/>
  <c r="L76" i="1"/>
  <c r="L77" i="1"/>
  <c r="L78" i="1"/>
  <c r="L79" i="1"/>
  <c r="L80" i="1"/>
  <c r="L82" i="1"/>
  <c r="L83" i="1"/>
  <c r="L84" i="1"/>
  <c r="L85" i="1"/>
  <c r="L86" i="1"/>
  <c r="L87" i="1"/>
  <c r="L88" i="1"/>
  <c r="L90" i="1"/>
  <c r="L91" i="1"/>
  <c r="L92" i="1"/>
  <c r="L93" i="1"/>
  <c r="L94" i="1"/>
  <c r="L95" i="1"/>
  <c r="L96" i="1"/>
  <c r="L98" i="1"/>
  <c r="L99" i="1"/>
  <c r="L100" i="1"/>
  <c r="L101" i="1"/>
  <c r="L102" i="1"/>
  <c r="L103" i="1"/>
  <c r="L104" i="1"/>
  <c r="L105" i="1"/>
  <c r="L107" i="1"/>
  <c r="L108" i="1"/>
  <c r="L109" i="1"/>
  <c r="L110" i="1"/>
  <c r="L111" i="1"/>
  <c r="L112" i="1"/>
  <c r="L113" i="1"/>
  <c r="L115" i="1"/>
  <c r="L116"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Z10" i="1"/>
  <c r="Z11" i="1"/>
  <c r="Z12" i="1"/>
  <c r="Z13" i="1"/>
  <c r="Z15" i="1"/>
  <c r="Z16" i="1"/>
  <c r="Z17" i="1"/>
  <c r="Z18" i="1"/>
  <c r="Z19" i="1"/>
  <c r="Z21" i="1"/>
  <c r="Z22" i="1"/>
  <c r="Z23" i="1"/>
  <c r="Z24" i="1"/>
  <c r="Z25" i="1"/>
  <c r="Z26" i="1"/>
  <c r="Z27" i="1"/>
  <c r="Z29" i="1"/>
  <c r="Z30" i="1"/>
  <c r="Z31" i="1"/>
  <c r="Z32" i="1"/>
  <c r="Z34" i="1"/>
  <c r="Z35" i="1"/>
  <c r="Z36" i="1"/>
  <c r="Z37" i="1"/>
  <c r="Z38" i="1"/>
  <c r="Z40" i="1"/>
  <c r="Z41" i="1"/>
  <c r="Z42" i="1"/>
  <c r="Z43" i="1"/>
  <c r="Z44" i="1"/>
  <c r="Z45" i="1"/>
  <c r="Z47" i="1"/>
  <c r="Z48" i="1"/>
  <c r="Z50" i="1"/>
  <c r="Z51" i="1"/>
  <c r="Z52" i="1"/>
  <c r="Z53" i="1"/>
  <c r="Z54" i="1"/>
  <c r="Z55" i="1"/>
  <c r="Z56" i="1"/>
  <c r="Z58" i="1"/>
  <c r="Z59" i="1"/>
  <c r="Z60" i="1"/>
  <c r="Z61" i="1"/>
  <c r="Z62" i="1"/>
  <c r="Z63" i="1"/>
  <c r="Z64" i="1"/>
  <c r="Z66" i="1"/>
  <c r="Z67" i="1"/>
  <c r="Z68" i="1"/>
  <c r="Z69" i="1"/>
  <c r="Z70" i="1"/>
  <c r="Z71" i="1"/>
  <c r="Z72" i="1"/>
  <c r="Z74" i="1"/>
  <c r="Z75" i="1"/>
  <c r="Z76" i="1"/>
  <c r="Z77" i="1"/>
  <c r="Z78" i="1"/>
  <c r="Z79" i="1"/>
  <c r="Z80" i="1"/>
  <c r="Z82" i="1"/>
  <c r="Z83" i="1"/>
  <c r="Z84" i="1"/>
  <c r="Z85" i="1"/>
  <c r="Z86" i="1"/>
  <c r="Z87" i="1"/>
  <c r="Z88" i="1"/>
  <c r="Z90" i="1"/>
  <c r="Z91" i="1"/>
  <c r="Z92" i="1"/>
  <c r="Z93" i="1"/>
  <c r="Z94" i="1"/>
  <c r="Z95" i="1"/>
  <c r="Z96" i="1"/>
  <c r="Z98" i="1"/>
  <c r="Z99" i="1"/>
  <c r="Z100" i="1"/>
  <c r="Z101" i="1"/>
  <c r="Z102" i="1"/>
  <c r="Z103" i="1"/>
  <c r="Z104" i="1"/>
  <c r="Z105" i="1"/>
  <c r="Z107" i="1"/>
  <c r="Z108" i="1"/>
  <c r="Z109" i="1"/>
  <c r="Z110" i="1"/>
  <c r="Z111" i="1"/>
  <c r="Z112" i="1"/>
  <c r="Z113" i="1"/>
  <c r="Z115" i="1"/>
  <c r="Z116"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D94" i="2"/>
  <c r="D93" i="2"/>
  <c r="D66" i="2"/>
  <c r="D67" i="2"/>
  <c r="D65" i="2"/>
  <c r="D59" i="2"/>
  <c r="D19" i="2"/>
  <c r="D20" i="2"/>
  <c r="D18" i="2"/>
  <c r="D14" i="2"/>
  <c r="E87" i="2"/>
  <c r="X47" i="1" l="1"/>
  <c r="X50" i="1"/>
  <c r="X51" i="1"/>
  <c r="X52" i="1"/>
  <c r="X53" i="1"/>
  <c r="X54" i="1"/>
  <c r="X55" i="1"/>
  <c r="X58" i="1"/>
  <c r="X59" i="1"/>
  <c r="X60" i="1"/>
  <c r="X61" i="1"/>
  <c r="X62" i="1"/>
  <c r="X63" i="1"/>
  <c r="X66" i="1"/>
  <c r="X67" i="1"/>
  <c r="X68" i="1"/>
  <c r="X69" i="1"/>
  <c r="X70" i="1"/>
  <c r="X71" i="1"/>
  <c r="X74" i="1"/>
  <c r="X75" i="1"/>
  <c r="X76" i="1"/>
  <c r="X77" i="1"/>
  <c r="X78" i="1"/>
  <c r="X79" i="1"/>
  <c r="X82" i="1"/>
  <c r="X83" i="1"/>
  <c r="X84" i="1"/>
  <c r="X85" i="1"/>
  <c r="X86" i="1"/>
  <c r="X87" i="1"/>
  <c r="X90" i="1"/>
  <c r="X91" i="1"/>
  <c r="X92" i="1"/>
  <c r="X93" i="1"/>
  <c r="X94" i="1"/>
  <c r="X95" i="1"/>
  <c r="X98" i="1"/>
  <c r="X99" i="1"/>
  <c r="X100" i="1"/>
  <c r="X101" i="1"/>
  <c r="X102" i="1"/>
  <c r="X103" i="1"/>
  <c r="X104" i="1"/>
  <c r="X107" i="1"/>
  <c r="X108" i="1"/>
  <c r="X109" i="1"/>
  <c r="X110" i="1"/>
  <c r="X111" i="1"/>
  <c r="X112" i="1"/>
  <c r="X115"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AD10" i="1"/>
  <c r="AD11" i="1"/>
  <c r="AD12" i="1"/>
  <c r="AD13" i="1"/>
  <c r="AD15" i="1"/>
  <c r="AD17" i="1"/>
  <c r="AD18" i="1"/>
  <c r="AD19" i="1"/>
  <c r="AD21" i="1"/>
  <c r="AD22" i="1"/>
  <c r="AD23" i="1"/>
  <c r="AD25" i="1"/>
  <c r="AD26" i="1"/>
  <c r="AD27" i="1"/>
  <c r="AD29" i="1"/>
  <c r="AD30" i="1"/>
  <c r="AD31" i="1"/>
  <c r="AD34" i="1"/>
  <c r="AD35" i="1"/>
  <c r="AD36" i="1"/>
  <c r="AD37" i="1"/>
  <c r="AD38" i="1"/>
  <c r="AD42" i="1"/>
  <c r="AD43" i="1"/>
  <c r="AD44" i="1"/>
  <c r="AD45" i="1"/>
  <c r="AD47" i="1"/>
  <c r="AD50" i="1"/>
  <c r="AD51" i="1"/>
  <c r="AD52" i="1"/>
  <c r="AD53" i="1"/>
  <c r="AD54" i="1"/>
  <c r="AD55" i="1"/>
  <c r="AD58" i="1"/>
  <c r="AD59" i="1"/>
  <c r="AD60" i="1"/>
  <c r="AD61" i="1"/>
  <c r="AD62" i="1"/>
  <c r="AD63" i="1"/>
  <c r="AD66" i="1"/>
  <c r="AD67" i="1"/>
  <c r="AD68" i="1"/>
  <c r="AD69" i="1"/>
  <c r="AD70" i="1"/>
  <c r="AD71" i="1"/>
  <c r="AD74" i="1"/>
  <c r="AD75" i="1"/>
  <c r="AD76" i="1"/>
  <c r="AD77" i="1"/>
  <c r="AD78" i="1"/>
  <c r="AD79" i="1"/>
  <c r="AD82" i="1"/>
  <c r="AD83" i="1"/>
  <c r="AD84" i="1"/>
  <c r="AD85" i="1"/>
  <c r="AD86" i="1"/>
  <c r="AD87" i="1"/>
  <c r="AD90" i="1"/>
  <c r="AD91" i="1"/>
  <c r="AD92" i="1"/>
  <c r="AD93" i="1"/>
  <c r="AD94" i="1"/>
  <c r="AD95" i="1"/>
  <c r="AD98" i="1"/>
  <c r="AD99" i="1"/>
  <c r="AD100" i="1"/>
  <c r="AD101" i="1"/>
  <c r="AD102" i="1"/>
  <c r="AD103" i="1"/>
  <c r="AD104" i="1"/>
  <c r="AD107" i="1"/>
  <c r="AD108" i="1"/>
  <c r="AD109" i="1"/>
  <c r="AD110" i="1"/>
  <c r="AD111" i="1"/>
  <c r="AD112" i="1"/>
  <c r="AD115"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47" i="1"/>
  <c r="W50" i="1"/>
  <c r="W51" i="1"/>
  <c r="W52" i="1"/>
  <c r="W53" i="1"/>
  <c r="W54" i="1"/>
  <c r="W55" i="1"/>
  <c r="W58" i="1"/>
  <c r="W59" i="1"/>
  <c r="W60" i="1"/>
  <c r="W61" i="1"/>
  <c r="W62" i="1"/>
  <c r="W63" i="1"/>
  <c r="W66" i="1"/>
  <c r="W67" i="1"/>
  <c r="W68" i="1"/>
  <c r="W69" i="1"/>
  <c r="W70" i="1"/>
  <c r="W71" i="1"/>
  <c r="W74" i="1"/>
  <c r="W75" i="1"/>
  <c r="W76" i="1"/>
  <c r="W77" i="1"/>
  <c r="W78" i="1"/>
  <c r="W79" i="1"/>
  <c r="W82" i="1"/>
  <c r="W83" i="1"/>
  <c r="W84" i="1"/>
  <c r="W85" i="1"/>
  <c r="W86" i="1"/>
  <c r="W87" i="1"/>
  <c r="W90" i="1"/>
  <c r="W91" i="1"/>
  <c r="W92" i="1"/>
  <c r="W93" i="1"/>
  <c r="W94" i="1"/>
  <c r="W95" i="1"/>
  <c r="W98" i="1"/>
  <c r="W99" i="1"/>
  <c r="W100" i="1"/>
  <c r="W101" i="1"/>
  <c r="W102" i="1"/>
  <c r="W103" i="1"/>
  <c r="W104" i="1"/>
  <c r="W107" i="1"/>
  <c r="W108" i="1"/>
  <c r="W109" i="1"/>
  <c r="W110" i="1"/>
  <c r="W111" i="1"/>
  <c r="W112" i="1"/>
  <c r="W115"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U47" i="1"/>
  <c r="U50" i="1"/>
  <c r="U51" i="1"/>
  <c r="U52" i="1"/>
  <c r="U53" i="1"/>
  <c r="U54" i="1"/>
  <c r="U55" i="1"/>
  <c r="U58" i="1"/>
  <c r="U59" i="1"/>
  <c r="U60" i="1"/>
  <c r="U61" i="1"/>
  <c r="U62" i="1"/>
  <c r="U63" i="1"/>
  <c r="U66" i="1"/>
  <c r="U67" i="1"/>
  <c r="U68" i="1"/>
  <c r="U69" i="1"/>
  <c r="U70" i="1"/>
  <c r="U71" i="1"/>
  <c r="U74" i="1"/>
  <c r="U75" i="1"/>
  <c r="U76" i="1"/>
  <c r="U77" i="1"/>
  <c r="U78" i="1"/>
  <c r="U79" i="1"/>
  <c r="U82" i="1"/>
  <c r="U83" i="1"/>
  <c r="U84" i="1"/>
  <c r="U85" i="1"/>
  <c r="U86" i="1"/>
  <c r="U87" i="1"/>
  <c r="U90" i="1"/>
  <c r="U91" i="1"/>
  <c r="U92" i="1"/>
  <c r="U93" i="1"/>
  <c r="U94" i="1"/>
  <c r="U95" i="1"/>
  <c r="U98" i="1"/>
  <c r="U99" i="1"/>
  <c r="U100" i="1"/>
  <c r="U101" i="1"/>
  <c r="U102" i="1"/>
  <c r="U103" i="1"/>
  <c r="U104" i="1"/>
  <c r="U107" i="1"/>
  <c r="U108" i="1"/>
  <c r="U109" i="1"/>
  <c r="U110" i="1"/>
  <c r="U111" i="1"/>
  <c r="U112" i="1"/>
  <c r="U115"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AC10" i="1"/>
  <c r="AC11" i="1"/>
  <c r="AC12" i="1"/>
  <c r="AC13" i="1"/>
  <c r="AC15" i="1"/>
  <c r="AC17" i="1"/>
  <c r="AC18" i="1"/>
  <c r="AC19" i="1"/>
  <c r="AC21" i="1"/>
  <c r="AC22" i="1"/>
  <c r="AC23" i="1"/>
  <c r="AC25" i="1"/>
  <c r="AC26" i="1"/>
  <c r="AC27" i="1"/>
  <c r="AC29" i="1"/>
  <c r="AC30" i="1"/>
  <c r="AC31" i="1"/>
  <c r="AC34" i="1"/>
  <c r="AC35" i="1"/>
  <c r="AC36" i="1"/>
  <c r="AC37" i="1"/>
  <c r="AC38" i="1"/>
  <c r="AC42" i="1"/>
  <c r="AC43" i="1"/>
  <c r="AC44" i="1"/>
  <c r="AC45" i="1"/>
  <c r="AC47" i="1"/>
  <c r="AC50" i="1"/>
  <c r="AC51" i="1"/>
  <c r="AC52" i="1"/>
  <c r="AC53" i="1"/>
  <c r="AC54" i="1"/>
  <c r="AC55" i="1"/>
  <c r="AC58" i="1"/>
  <c r="AC59" i="1"/>
  <c r="AC60" i="1"/>
  <c r="AC61" i="1"/>
  <c r="AC62" i="1"/>
  <c r="AC63" i="1"/>
  <c r="AC66" i="1"/>
  <c r="AC67" i="1"/>
  <c r="AC68" i="1"/>
  <c r="AC69" i="1"/>
  <c r="AC70" i="1"/>
  <c r="AC71" i="1"/>
  <c r="AC74" i="1"/>
  <c r="AC75" i="1"/>
  <c r="AC76" i="1"/>
  <c r="AC77" i="1"/>
  <c r="AC78" i="1"/>
  <c r="AC79" i="1"/>
  <c r="AC82" i="1"/>
  <c r="AC83" i="1"/>
  <c r="AC84" i="1"/>
  <c r="AC85" i="1"/>
  <c r="AC86" i="1"/>
  <c r="AC87" i="1"/>
  <c r="AC90" i="1"/>
  <c r="AC91" i="1"/>
  <c r="AC92" i="1"/>
  <c r="AC93" i="1"/>
  <c r="AC94" i="1"/>
  <c r="AC95" i="1"/>
  <c r="AC98" i="1"/>
  <c r="AC99" i="1"/>
  <c r="AC100" i="1"/>
  <c r="AC101" i="1"/>
  <c r="AC102" i="1"/>
  <c r="AC103" i="1"/>
  <c r="AC104" i="1"/>
  <c r="AC107" i="1"/>
  <c r="AC108" i="1"/>
  <c r="AC109" i="1"/>
  <c r="AC110" i="1"/>
  <c r="AC111" i="1"/>
  <c r="AC112" i="1"/>
  <c r="AC115"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47" i="1"/>
  <c r="T50" i="1"/>
  <c r="T51" i="1"/>
  <c r="T52" i="1"/>
  <c r="T53" i="1"/>
  <c r="T54" i="1"/>
  <c r="T55" i="1"/>
  <c r="T58" i="1"/>
  <c r="T59" i="1"/>
  <c r="T60" i="1"/>
  <c r="T61" i="1"/>
  <c r="T62" i="1"/>
  <c r="T63" i="1"/>
  <c r="T66" i="1"/>
  <c r="T67" i="1"/>
  <c r="T68" i="1"/>
  <c r="T69" i="1"/>
  <c r="T70" i="1"/>
  <c r="T71" i="1"/>
  <c r="T74" i="1"/>
  <c r="T75" i="1"/>
  <c r="T76" i="1"/>
  <c r="T77" i="1"/>
  <c r="T78" i="1"/>
  <c r="T79" i="1"/>
  <c r="T82" i="1"/>
  <c r="T83" i="1"/>
  <c r="T84" i="1"/>
  <c r="T85" i="1"/>
  <c r="T86" i="1"/>
  <c r="T87" i="1"/>
  <c r="T90" i="1"/>
  <c r="T91" i="1"/>
  <c r="T92" i="1"/>
  <c r="T93" i="1"/>
  <c r="T94" i="1"/>
  <c r="T95" i="1"/>
  <c r="T98" i="1"/>
  <c r="T99" i="1"/>
  <c r="T100" i="1"/>
  <c r="T101" i="1"/>
  <c r="T102" i="1"/>
  <c r="T103" i="1"/>
  <c r="T104" i="1"/>
  <c r="T107" i="1"/>
  <c r="T108" i="1"/>
  <c r="T109" i="1"/>
  <c r="T110" i="1"/>
  <c r="T111" i="1"/>
  <c r="T112" i="1"/>
  <c r="T115"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D57" i="16"/>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H38" i="1"/>
  <c r="A38" i="1" a="1"/>
  <c r="A38" i="1" s="1"/>
  <c r="AH37" i="1"/>
  <c r="A37" i="1" a="1"/>
  <c r="A37" i="1" s="1"/>
  <c r="AH36" i="1"/>
  <c r="AH35" i="1"/>
  <c r="AH34" i="1"/>
  <c r="AH33" i="1"/>
  <c r="AH32" i="1"/>
  <c r="AH31" i="1"/>
  <c r="A31" i="1" a="1"/>
  <c r="A31" i="1" s="1"/>
  <c r="AH30" i="1"/>
  <c r="A30" i="1" a="1"/>
  <c r="A30" i="1" s="1"/>
  <c r="AH29" i="1"/>
  <c r="A29" i="1" a="1"/>
  <c r="A29" i="1" s="1"/>
  <c r="AH28" i="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R10" i="1" l="1"/>
  <c r="R24" i="1"/>
  <c r="R38" i="1"/>
  <c r="Q19" i="1"/>
  <c r="Q34" i="1"/>
  <c r="N23" i="1"/>
  <c r="N37" i="1"/>
  <c r="K13" i="1"/>
  <c r="K27" i="1"/>
  <c r="K42" i="1"/>
  <c r="O21" i="1"/>
  <c r="O35" i="1"/>
  <c r="L21" i="1"/>
  <c r="L35" i="1"/>
  <c r="L17" i="1"/>
  <c r="R11" i="1"/>
  <c r="R25" i="1"/>
  <c r="R40" i="1"/>
  <c r="Q21" i="1"/>
  <c r="Q35" i="1"/>
  <c r="N10" i="1"/>
  <c r="N24" i="1"/>
  <c r="N38" i="1"/>
  <c r="K15" i="1"/>
  <c r="K29" i="1"/>
  <c r="K43" i="1"/>
  <c r="O22" i="1"/>
  <c r="O36" i="1"/>
  <c r="L22" i="1"/>
  <c r="L36" i="1"/>
  <c r="K9" i="1"/>
  <c r="L45" i="1"/>
  <c r="R12" i="1"/>
  <c r="R26" i="1"/>
  <c r="R41" i="1"/>
  <c r="Q22" i="1"/>
  <c r="Q36" i="1"/>
  <c r="N11" i="1"/>
  <c r="N25" i="1"/>
  <c r="N40" i="1"/>
  <c r="K16" i="1"/>
  <c r="K30" i="1"/>
  <c r="K44" i="1"/>
  <c r="O23" i="1"/>
  <c r="O37" i="1"/>
  <c r="L23" i="1"/>
  <c r="L37" i="1"/>
  <c r="K24" i="1"/>
  <c r="O17" i="1"/>
  <c r="R13" i="1"/>
  <c r="R27" i="1"/>
  <c r="R42" i="1"/>
  <c r="Q23" i="1"/>
  <c r="Q37" i="1"/>
  <c r="N12" i="1"/>
  <c r="N26" i="1"/>
  <c r="N41" i="1"/>
  <c r="K17" i="1"/>
  <c r="K31" i="1"/>
  <c r="K45" i="1"/>
  <c r="O10" i="1"/>
  <c r="O24" i="1"/>
  <c r="O38" i="1"/>
  <c r="L10" i="1"/>
  <c r="L24" i="1"/>
  <c r="L38" i="1"/>
  <c r="L12" i="1"/>
  <c r="N34" i="1"/>
  <c r="O31" i="1"/>
  <c r="R15" i="1"/>
  <c r="R29" i="1"/>
  <c r="R43" i="1"/>
  <c r="Q10" i="1"/>
  <c r="Q24" i="1"/>
  <c r="Q38" i="1"/>
  <c r="N13" i="1"/>
  <c r="N27" i="1"/>
  <c r="N42" i="1"/>
  <c r="K18" i="1"/>
  <c r="K32" i="1"/>
  <c r="O11" i="1"/>
  <c r="O25" i="1"/>
  <c r="O40" i="1"/>
  <c r="L11" i="1"/>
  <c r="L25" i="1"/>
  <c r="L40" i="1"/>
  <c r="L26" i="1"/>
  <c r="K38" i="1"/>
  <c r="R16" i="1"/>
  <c r="R30" i="1"/>
  <c r="R44" i="1"/>
  <c r="Q11" i="1"/>
  <c r="Q25" i="1"/>
  <c r="Q40" i="1"/>
  <c r="N15" i="1"/>
  <c r="N29" i="1"/>
  <c r="N43" i="1"/>
  <c r="K19" i="1"/>
  <c r="K34" i="1"/>
  <c r="O12" i="1"/>
  <c r="O26" i="1"/>
  <c r="O41" i="1"/>
  <c r="L41" i="1"/>
  <c r="K10" i="1"/>
  <c r="L31" i="1"/>
  <c r="R17" i="1"/>
  <c r="R31" i="1"/>
  <c r="R45" i="1"/>
  <c r="Q12" i="1"/>
  <c r="Q26" i="1"/>
  <c r="Q41" i="1"/>
  <c r="N16" i="1"/>
  <c r="N30" i="1"/>
  <c r="N44" i="1"/>
  <c r="K21" i="1"/>
  <c r="K35" i="1"/>
  <c r="O13" i="1"/>
  <c r="O27" i="1"/>
  <c r="O42" i="1"/>
  <c r="L13" i="1"/>
  <c r="L27" i="1"/>
  <c r="L42" i="1"/>
  <c r="Q30" i="1"/>
  <c r="R18" i="1"/>
  <c r="R32" i="1"/>
  <c r="R9" i="1"/>
  <c r="Q13" i="1"/>
  <c r="Q27" i="1"/>
  <c r="Q42" i="1"/>
  <c r="N17" i="1"/>
  <c r="N31" i="1"/>
  <c r="N45" i="1"/>
  <c r="K22" i="1"/>
  <c r="K36" i="1"/>
  <c r="O15" i="1"/>
  <c r="O29" i="1"/>
  <c r="O43" i="1"/>
  <c r="L15" i="1"/>
  <c r="L29" i="1"/>
  <c r="L43" i="1"/>
  <c r="Q44" i="1"/>
  <c r="R19" i="1"/>
  <c r="R34" i="1"/>
  <c r="Q15" i="1"/>
  <c r="Q29" i="1"/>
  <c r="Q43" i="1"/>
  <c r="N18" i="1"/>
  <c r="N32" i="1"/>
  <c r="N9" i="1"/>
  <c r="K23" i="1"/>
  <c r="K37" i="1"/>
  <c r="O16" i="1"/>
  <c r="O30" i="1"/>
  <c r="O44" i="1"/>
  <c r="L16" i="1"/>
  <c r="L30" i="1"/>
  <c r="L44" i="1"/>
  <c r="Q16" i="1"/>
  <c r="N19" i="1"/>
  <c r="O45" i="1"/>
  <c r="R21" i="1"/>
  <c r="R35" i="1"/>
  <c r="R22" i="1"/>
  <c r="R36" i="1"/>
  <c r="Q17" i="1"/>
  <c r="Q31" i="1"/>
  <c r="Q45" i="1"/>
  <c r="N21" i="1"/>
  <c r="N35" i="1"/>
  <c r="K11" i="1"/>
  <c r="K25" i="1"/>
  <c r="K40" i="1"/>
  <c r="O18" i="1"/>
  <c r="O32" i="1"/>
  <c r="O9" i="1"/>
  <c r="L18" i="1"/>
  <c r="L32" i="1"/>
  <c r="L9" i="1"/>
  <c r="R23" i="1"/>
  <c r="R37" i="1"/>
  <c r="Q18" i="1"/>
  <c r="Q32" i="1"/>
  <c r="Q9" i="1"/>
  <c r="N22" i="1"/>
  <c r="N36" i="1"/>
  <c r="K12" i="1"/>
  <c r="K26" i="1"/>
  <c r="K41" i="1"/>
  <c r="O19" i="1"/>
  <c r="O34" i="1"/>
  <c r="L19" i="1"/>
  <c r="L34" i="1"/>
  <c r="X10" i="1"/>
  <c r="X26" i="1"/>
  <c r="X44" i="1"/>
  <c r="W12" i="1"/>
  <c r="W29" i="1"/>
  <c r="U22" i="1"/>
  <c r="U38" i="1"/>
  <c r="T25" i="1"/>
  <c r="T43" i="1"/>
  <c r="X11" i="1"/>
  <c r="X27" i="1"/>
  <c r="X45" i="1"/>
  <c r="W13" i="1"/>
  <c r="W30" i="1"/>
  <c r="U23" i="1"/>
  <c r="U42" i="1"/>
  <c r="T10" i="1"/>
  <c r="T26" i="1"/>
  <c r="T44" i="1"/>
  <c r="W43" i="1"/>
  <c r="U37" i="1"/>
  <c r="T23" i="1"/>
  <c r="X12" i="1"/>
  <c r="X29" i="1"/>
  <c r="W15" i="1"/>
  <c r="W31" i="1"/>
  <c r="W9" i="1"/>
  <c r="U25" i="1"/>
  <c r="U43" i="1"/>
  <c r="T11" i="1"/>
  <c r="T27" i="1"/>
  <c r="T45" i="1"/>
  <c r="X38" i="1"/>
  <c r="W11" i="1"/>
  <c r="X13" i="1"/>
  <c r="X30" i="1"/>
  <c r="W17" i="1"/>
  <c r="W34" i="1"/>
  <c r="U10" i="1"/>
  <c r="U26" i="1"/>
  <c r="U44" i="1"/>
  <c r="T12" i="1"/>
  <c r="T29" i="1"/>
  <c r="T9" i="1"/>
  <c r="U35" i="1"/>
  <c r="T42" i="1"/>
  <c r="X15" i="1"/>
  <c r="X31" i="1"/>
  <c r="X9" i="1"/>
  <c r="W18" i="1"/>
  <c r="W35" i="1"/>
  <c r="U11" i="1"/>
  <c r="U27" i="1"/>
  <c r="U45" i="1"/>
  <c r="T13" i="1"/>
  <c r="T30" i="1"/>
  <c r="W25" i="1"/>
  <c r="T21" i="1"/>
  <c r="X17" i="1"/>
  <c r="X34" i="1"/>
  <c r="W19" i="1"/>
  <c r="W36" i="1"/>
  <c r="U12" i="1"/>
  <c r="U29" i="1"/>
  <c r="T15" i="1"/>
  <c r="T31" i="1"/>
  <c r="X22" i="1"/>
  <c r="T37" i="1"/>
  <c r="X18" i="1"/>
  <c r="X35" i="1"/>
  <c r="W21" i="1"/>
  <c r="W37" i="1"/>
  <c r="U13" i="1"/>
  <c r="U30" i="1"/>
  <c r="T17" i="1"/>
  <c r="T34" i="1"/>
  <c r="T36" i="1"/>
  <c r="X19" i="1"/>
  <c r="X36" i="1"/>
  <c r="W22" i="1"/>
  <c r="W38" i="1"/>
  <c r="U15" i="1"/>
  <c r="U31" i="1"/>
  <c r="U9" i="1"/>
  <c r="T18" i="1"/>
  <c r="T35" i="1"/>
  <c r="W27" i="1"/>
  <c r="X21" i="1"/>
  <c r="X37" i="1"/>
  <c r="W23" i="1"/>
  <c r="W42" i="1"/>
  <c r="U17" i="1"/>
  <c r="U34" i="1"/>
  <c r="T19" i="1"/>
  <c r="U18" i="1"/>
  <c r="U21" i="1"/>
  <c r="X23" i="1"/>
  <c r="X42" i="1"/>
  <c r="W10" i="1"/>
  <c r="W26" i="1"/>
  <c r="W44" i="1"/>
  <c r="U19" i="1"/>
  <c r="U36" i="1"/>
  <c r="T22" i="1"/>
  <c r="T38" i="1"/>
  <c r="X25" i="1"/>
  <c r="X43" i="1"/>
  <c r="W45" i="1"/>
  <c r="L1" i="1"/>
  <c r="B50" i="1"/>
  <c r="B51" i="1" s="1"/>
  <c r="B52" i="1" s="1"/>
  <c r="B53" i="1" s="1"/>
  <c r="B54" i="1" s="1"/>
  <c r="B55" i="1" s="1"/>
  <c r="B56" i="1" s="1"/>
  <c r="B57" i="1" l="1"/>
  <c r="B58" i="1" s="1"/>
  <c r="B59" i="1" s="1"/>
  <c r="B60" i="1" s="1"/>
  <c r="B61" i="1" s="1"/>
  <c r="B62" i="1" s="1"/>
  <c r="B63" i="1" s="1"/>
  <c r="B64" i="1" s="1"/>
  <c r="A17" i="1" a="1"/>
  <c r="A17" i="1" s="1"/>
  <c r="A35" i="1" a="1"/>
  <c r="A35" i="1" s="1"/>
  <c r="A26" i="1" a="1"/>
  <c r="A26" i="1" s="1"/>
  <c r="A36" i="1" a="1"/>
  <c r="A36" i="1" s="1"/>
  <c r="A34" i="1" a="1"/>
  <c r="A34" i="1" s="1"/>
  <c r="A25" i="1" a="1"/>
  <c r="A25" i="1" s="1"/>
  <c r="A50" i="1" a="1"/>
  <c r="A50" i="1" s="1"/>
  <c r="A42" i="1" a="1"/>
  <c r="A42" i="1" s="1"/>
  <c r="A47" i="1" a="1"/>
  <c r="A47" i="1" s="1"/>
  <c r="A55" i="1" a="1"/>
  <c r="A55" i="1" s="1"/>
  <c r="A66" i="1" a="1"/>
  <c r="A66" i="1" s="1"/>
  <c r="A85" i="1" a="1"/>
  <c r="A85" i="1" s="1"/>
  <c r="A27" i="1" a="1"/>
  <c r="A27"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s="1"/>
  <c r="B76" i="1" s="1"/>
  <c r="B77" i="1" s="1"/>
  <c r="B78" i="1" s="1"/>
  <c r="B79" i="1" s="1"/>
  <c r="B80" i="1" s="1"/>
  <c r="B81" i="1" l="1"/>
  <c r="B82" i="1" l="1"/>
  <c r="B83" i="1" l="1"/>
  <c r="B84" i="1" l="1"/>
  <c r="B85" i="1" l="1"/>
  <c r="B86" i="1" l="1"/>
  <c r="B87" i="1" s="1"/>
  <c r="B88" i="1" s="1"/>
  <c r="B89" i="1" s="1"/>
  <c r="B90" i="1" l="1"/>
  <c r="B91" i="1" l="1"/>
  <c r="B92" i="1" s="1"/>
  <c r="B93" i="1" s="1"/>
  <c r="B94" i="1" s="1"/>
  <c r="B95" i="1" s="1"/>
  <c r="B96" i="1" l="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96" i="1" a="1"/>
  <c r="A96" i="1" s="1"/>
  <c r="A113" i="1" a="1"/>
  <c r="A113" i="1" s="1"/>
  <c r="A28" i="1" l="1" a="1"/>
  <c r="A28" i="1" s="1"/>
  <c r="A39" i="1" a="1"/>
  <c r="A39" i="1" s="1"/>
  <c r="A46" i="1" a="1"/>
  <c r="A46" i="1" s="1"/>
  <c r="A20" i="1" a="1"/>
  <c r="A20" i="1" s="1"/>
  <c r="A14" i="1" a="1"/>
  <c r="A14" i="1" s="1"/>
  <c r="U113" i="1"/>
  <c r="X113" i="1"/>
  <c r="AC113" i="1"/>
  <c r="T113" i="1" s="1"/>
  <c r="AD113" i="1"/>
  <c r="W113" i="1" s="1"/>
  <c r="AC96" i="1"/>
  <c r="T96" i="1" s="1"/>
  <c r="AD96" i="1"/>
  <c r="W96" i="1" s="1"/>
  <c r="U96" i="1"/>
  <c r="X96" i="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 r="R106" i="1" l="1"/>
  <c r="AB106" i="1"/>
  <c r="Q106" i="1" s="1"/>
  <c r="AA106" i="1"/>
  <c r="N106" i="1" s="1"/>
  <c r="O106" i="1"/>
  <c r="Z106" i="1"/>
  <c r="K106" i="1" s="1"/>
  <c r="L106" i="1"/>
  <c r="L114" i="1"/>
  <c r="Z114" i="1"/>
  <c r="K114" i="1" s="1"/>
  <c r="R114" i="1"/>
  <c r="AB114" i="1"/>
  <c r="Q114" i="1" s="1"/>
  <c r="AA114" i="1"/>
  <c r="N114" i="1" s="1"/>
  <c r="O114" i="1"/>
  <c r="L89" i="1"/>
  <c r="R89" i="1"/>
  <c r="AB89" i="1"/>
  <c r="Q89" i="1" s="1"/>
  <c r="AA89" i="1"/>
  <c r="N89" i="1" s="1"/>
  <c r="O89" i="1"/>
  <c r="Z89" i="1"/>
  <c r="K89" i="1" s="1"/>
  <c r="R97" i="1"/>
  <c r="AB97" i="1"/>
  <c r="Q97" i="1" s="1"/>
  <c r="AA97" i="1"/>
  <c r="N97" i="1" s="1"/>
  <c r="O97" i="1"/>
  <c r="L97" i="1"/>
  <c r="Z97" i="1"/>
  <c r="K97" i="1" s="1"/>
  <c r="O33" i="1"/>
  <c r="AA33" i="1"/>
  <c r="N33" i="1" s="1"/>
  <c r="Z33" i="1"/>
  <c r="K33" i="1" s="1"/>
  <c r="L33" i="1"/>
  <c r="R33" i="1"/>
  <c r="AB33" i="1"/>
  <c r="Q33" i="1" s="1"/>
  <c r="O81" i="1"/>
  <c r="AA81" i="1"/>
  <c r="N81" i="1" s="1"/>
  <c r="Z81" i="1"/>
  <c r="K81" i="1" s="1"/>
  <c r="L81" i="1"/>
  <c r="R81" i="1"/>
  <c r="AB81" i="1"/>
  <c r="Q81" i="1" s="1"/>
  <c r="AA117" i="1"/>
  <c r="N117" i="1" s="1"/>
  <c r="O117" i="1"/>
  <c r="Z117" i="1"/>
  <c r="K117" i="1" s="1"/>
  <c r="L117" i="1"/>
  <c r="R117" i="1"/>
  <c r="AB117" i="1"/>
  <c r="Q117" i="1" s="1"/>
  <c r="R73" i="1"/>
  <c r="AB73" i="1"/>
  <c r="Q73" i="1" s="1"/>
  <c r="AA73" i="1"/>
  <c r="N73" i="1" s="1"/>
  <c r="O73" i="1"/>
  <c r="L73" i="1"/>
  <c r="Z73" i="1"/>
  <c r="K73" i="1" s="1"/>
  <c r="AA57" i="1"/>
  <c r="N57" i="1" s="1"/>
  <c r="Z57" i="1"/>
  <c r="K57" i="1" s="1"/>
  <c r="L57" i="1"/>
  <c r="R57" i="1"/>
  <c r="AB57" i="1"/>
  <c r="Q57" i="1" s="1"/>
  <c r="O57" i="1"/>
  <c r="R14" i="1"/>
  <c r="AB14" i="1"/>
  <c r="Q14" i="1" s="1"/>
  <c r="AA14" i="1"/>
  <c r="N14" i="1" s="1"/>
  <c r="O14" i="1"/>
  <c r="L14" i="1"/>
  <c r="Z14" i="1"/>
  <c r="K14" i="1" s="1"/>
  <c r="AD14" i="1"/>
  <c r="W14" i="1" s="1"/>
  <c r="X14" i="1"/>
  <c r="AC14" i="1"/>
  <c r="T14" i="1" s="1"/>
  <c r="U14" i="1"/>
  <c r="L65" i="1"/>
  <c r="R65" i="1"/>
  <c r="AB65" i="1"/>
  <c r="Q65" i="1" s="1"/>
  <c r="AA65" i="1"/>
  <c r="N65" i="1" s="1"/>
  <c r="O65" i="1"/>
  <c r="Z65" i="1"/>
  <c r="K65" i="1" s="1"/>
  <c r="AA20" i="1"/>
  <c r="N20" i="1" s="1"/>
  <c r="O20" i="1"/>
  <c r="L20" i="1"/>
  <c r="Z20" i="1"/>
  <c r="K20" i="1" s="1"/>
  <c r="R20" i="1"/>
  <c r="AB20" i="1"/>
  <c r="Q20" i="1" s="1"/>
  <c r="AC20" i="1"/>
  <c r="T20" i="1" s="1"/>
  <c r="U20" i="1"/>
  <c r="AD20" i="1"/>
  <c r="W20" i="1" s="1"/>
  <c r="X20" i="1"/>
  <c r="R49" i="1"/>
  <c r="AB49" i="1"/>
  <c r="Q49" i="1" s="1"/>
  <c r="AA49" i="1"/>
  <c r="N49" i="1" s="1"/>
  <c r="O49" i="1"/>
  <c r="L49" i="1"/>
  <c r="Z49" i="1"/>
  <c r="K49" i="1" s="1"/>
  <c r="R46" i="1"/>
  <c r="AB46" i="1"/>
  <c r="Q46" i="1" s="1"/>
  <c r="AA46" i="1"/>
  <c r="N46" i="1" s="1"/>
  <c r="O46" i="1"/>
  <c r="L46" i="1"/>
  <c r="Z46" i="1"/>
  <c r="K46" i="1" s="1"/>
  <c r="U46" i="1"/>
  <c r="AD46" i="1"/>
  <c r="W46" i="1" s="1"/>
  <c r="X46" i="1"/>
  <c r="AC46" i="1"/>
  <c r="T46" i="1" s="1"/>
  <c r="L39" i="1"/>
  <c r="Z39" i="1"/>
  <c r="K39" i="1" s="1"/>
  <c r="R39" i="1"/>
  <c r="AB39" i="1"/>
  <c r="Q39" i="1" s="1"/>
  <c r="AA39" i="1"/>
  <c r="N39" i="1" s="1"/>
  <c r="O39" i="1"/>
  <c r="X39" i="1"/>
  <c r="U39" i="1"/>
  <c r="AC39" i="1"/>
  <c r="T39" i="1" s="1"/>
  <c r="AD39" i="1"/>
  <c r="W39" i="1" s="1"/>
  <c r="L28" i="1"/>
  <c r="Z28" i="1"/>
  <c r="K28" i="1" s="1"/>
  <c r="R28" i="1"/>
  <c r="AB28" i="1"/>
  <c r="Q28" i="1" s="1"/>
  <c r="AA28" i="1"/>
  <c r="N28" i="1" s="1"/>
  <c r="O28" i="1"/>
  <c r="AD28" i="1"/>
  <c r="W28" i="1" s="1"/>
  <c r="X28" i="1"/>
  <c r="AC28" i="1"/>
  <c r="T28" i="1" s="1"/>
  <c r="U28" i="1"/>
  <c r="AD32" i="1"/>
  <c r="W32" i="1" s="1"/>
  <c r="U32" i="1"/>
  <c r="X32" i="1"/>
  <c r="AC32" i="1"/>
  <c r="T32" i="1" s="1"/>
  <c r="AC56" i="1"/>
  <c r="T56" i="1" s="1"/>
  <c r="AD56" i="1"/>
  <c r="W56" i="1" s="1"/>
  <c r="U56" i="1"/>
  <c r="X56" i="1"/>
  <c r="AC48" i="1"/>
  <c r="T48" i="1" s="1"/>
  <c r="AD48" i="1"/>
  <c r="W48" i="1" s="1"/>
  <c r="U48" i="1"/>
  <c r="X48" i="1"/>
  <c r="AC116" i="1"/>
  <c r="T116" i="1" s="1"/>
  <c r="AD116" i="1"/>
  <c r="W116" i="1" s="1"/>
  <c r="U116" i="1"/>
  <c r="X116" i="1"/>
  <c r="AC105" i="1"/>
  <c r="T105" i="1" s="1"/>
  <c r="AD105" i="1"/>
  <c r="W105" i="1" s="1"/>
  <c r="U105" i="1"/>
  <c r="X105" i="1"/>
  <c r="AC88" i="1"/>
  <c r="T88" i="1" s="1"/>
  <c r="AD88" i="1"/>
  <c r="W88" i="1" s="1"/>
  <c r="U88" i="1"/>
  <c r="X88" i="1"/>
  <c r="AC80" i="1"/>
  <c r="T80" i="1" s="1"/>
  <c r="AD80" i="1"/>
  <c r="W80" i="1" s="1"/>
  <c r="U80" i="1"/>
  <c r="X80" i="1"/>
  <c r="U72" i="1"/>
  <c r="X72" i="1"/>
  <c r="AC72" i="1"/>
  <c r="T72" i="1" s="1"/>
  <c r="AD72" i="1"/>
  <c r="W72" i="1" s="1"/>
  <c r="AC40" i="1"/>
  <c r="T40" i="1" s="1"/>
  <c r="AD40" i="1"/>
  <c r="W40" i="1" s="1"/>
  <c r="U40" i="1"/>
  <c r="X40" i="1"/>
  <c r="AC64" i="1"/>
  <c r="T64" i="1" s="1"/>
  <c r="AD64" i="1"/>
  <c r="W64" i="1" s="1"/>
  <c r="U64" i="1"/>
  <c r="X64" i="1"/>
  <c r="X114" i="1"/>
  <c r="AD114" i="1"/>
  <c r="W114" i="1" s="1"/>
  <c r="U114" i="1"/>
  <c r="AC114" i="1"/>
  <c r="T114" i="1" s="1"/>
  <c r="X106" i="1"/>
  <c r="AD106" i="1"/>
  <c r="W106" i="1" s="1"/>
  <c r="U106" i="1"/>
  <c r="AC106" i="1"/>
  <c r="T106" i="1" s="1"/>
  <c r="U97" i="1"/>
  <c r="AC97" i="1"/>
  <c r="T97" i="1" s="1"/>
  <c r="X97" i="1"/>
  <c r="AD97" i="1"/>
  <c r="W97" i="1" s="1"/>
  <c r="U24" i="1"/>
  <c r="AC24" i="1"/>
  <c r="T24" i="1" s="1"/>
  <c r="X24" i="1"/>
  <c r="AD24" i="1"/>
  <c r="W24" i="1" s="1"/>
  <c r="X89" i="1"/>
  <c r="AD89" i="1"/>
  <c r="W89" i="1" s="1"/>
  <c r="U89" i="1"/>
  <c r="AC89" i="1"/>
  <c r="T89" i="1" s="1"/>
  <c r="X81" i="1"/>
  <c r="AD81" i="1"/>
  <c r="W81" i="1" s="1"/>
  <c r="U81" i="1"/>
  <c r="AC81" i="1"/>
  <c r="T81" i="1" s="1"/>
  <c r="U73" i="1"/>
  <c r="AC73" i="1"/>
  <c r="T73" i="1" s="1"/>
  <c r="X73" i="1"/>
  <c r="AD73" i="1"/>
  <c r="W73" i="1" s="1"/>
  <c r="X41" i="1"/>
  <c r="AD41" i="1"/>
  <c r="W41" i="1" s="1"/>
  <c r="U41" i="1"/>
  <c r="AC41" i="1"/>
  <c r="T41" i="1" s="1"/>
  <c r="X57" i="1"/>
  <c r="AD57" i="1"/>
  <c r="W57" i="1" s="1"/>
  <c r="U57" i="1"/>
  <c r="AC57" i="1"/>
  <c r="T57" i="1" s="1"/>
  <c r="X16" i="1"/>
  <c r="AD16" i="1"/>
  <c r="W16" i="1" s="1"/>
  <c r="U16" i="1"/>
  <c r="AC16" i="1"/>
  <c r="T16" i="1" s="1"/>
  <c r="X33" i="1"/>
  <c r="AD33" i="1"/>
  <c r="W33" i="1" s="1"/>
  <c r="U33" i="1"/>
  <c r="AC33" i="1"/>
  <c r="T33" i="1" s="1"/>
  <c r="X65" i="1"/>
  <c r="AD65" i="1"/>
  <c r="W65" i="1" s="1"/>
  <c r="U65" i="1"/>
  <c r="AC65" i="1"/>
  <c r="T65" i="1" s="1"/>
  <c r="U49" i="1"/>
  <c r="AC49" i="1"/>
  <c r="T49" i="1" s="1"/>
  <c r="X49" i="1"/>
  <c r="AD49" i="1"/>
  <c r="W49" i="1" s="1"/>
  <c r="X117" i="1"/>
  <c r="AD117" i="1"/>
  <c r="W117" i="1" s="1"/>
  <c r="U117" i="1"/>
  <c r="AC117" i="1"/>
  <c r="T117"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<sst xmlns="http://schemas.openxmlformats.org/spreadsheetml/2006/main" count="2516" uniqueCount="857">
  <si>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</si>
  <si>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</si>
  <si>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</si>
  <si>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</si>
  <si>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</si>
  <si>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</si>
  <si>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</si>
  <si>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</si>
  <si>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</si>
  <si>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</si>
  <si>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</si>
  <si>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</si>
  <si>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</si>
  <si>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</si>
  <si>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</si>
  <si>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</si>
  <si>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</si>
  <si>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</si>
  <si>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</si>
  <si>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</si>
  <si>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</si>
  <si>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</si>
  <si>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</si>
  <si>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</si>
  <si>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</si>
  <si>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</si>
  <si>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</si>
  <si>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</si>
  <si>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</si>
  <si>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</si>
  <si>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</si>
  <si>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</si>
  <si>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</si>
  <si>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</si>
  <si>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</si>
  <si>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</si>
  <si>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</si>
  <si>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</si>
  <si>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</si>
  <si>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</si>
  <si>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</si>
  <si>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</si>
  <si>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</si>
  <si>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</si>
  <si>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</si>
  <si>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</si>
  <si>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</si>
  <si>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</si>
  <si>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</si>
  <si>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</si>
  <si>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</si>
  <si>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</si>
  <si>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</si>
  <si>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</si>
  <si>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</si>
  <si>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</si>
  <si>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</si>
  <si>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</si>
  <si>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</si>
  <si>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</si>
  <si>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</si>
  <si>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</si>
  <si>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</si>
  <si>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</si>
  <si>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</si>
  <si>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</si>
  <si>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</si>
  <si>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</si>
  <si>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</si>
  <si>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</si>
  <si>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</si>
  <si>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</si>
  <si>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</si>
  <si>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</si>
  <si>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</si>
  <si>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</si>
  <si>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</si>
  <si>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</si>
  <si>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</si>
  <si>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</si>
  <si>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</si>
  <si>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</si>
  <si>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</si>
  <si>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</si>
  <si>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</si>
  <si>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</si>
  <si>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</si>
  <si>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</si>
  <si>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</si>
  <si>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</si>
  <si>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</si>
  <si>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</si>
  <si>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</si>
  <si>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</si>
  <si>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</si>
  <si>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</si>
  <si>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</si>
  <si>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</si>
  <si>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</si>
  <si>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</si>
  <si>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</si>
  <si>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</si>
  <si>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</si>
  <si>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</si>
  <si>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</si>
  <si>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</si>
  <si>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</si>
  <si>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</si>
  <si>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</si>
  <si>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</si>
  <si>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</si>
  <si>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</si>
  <si>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</si>
  <si>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</si>
  <si>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</si>
  <si>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</si>
  <si>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</si>
  <si>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</si>
  <si>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</si>
  <si>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</si>
  <si>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</si>
  <si>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</si>
  <si>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</si>
  <si>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</si>
  <si>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</si>
  <si>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</si>
  <si>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</si>
  <si>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</si>
  <si>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</si>
  <si>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</si>
  <si>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</si>
  <si>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</si>
  <si>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</si>
  <si>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</si>
  <si>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</si>
  <si>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</si>
  <si>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</si>
  <si>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</si>
  <si>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</si>
  <si>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</si>
  <si>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</si>
  <si>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</si>
  <si>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</si>
  <si>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</si>
  <si>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</si>
  <si>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</si>
  <si>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</si>
  <si>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</si>
  <si>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</si>
  <si>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</si>
  <si>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</si>
  <si>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</si>
  <si>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</si>
  <si>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</si>
  <si>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</si>
  <si>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</si>
  <si>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</si>
  <si>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</si>
  <si>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</si>
  <si>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</si>
  <si>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</si>
  <si>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</si>
  <si>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</si>
  <si>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</si>
  <si>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</si>
  <si>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</si>
  <si>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</si>
  <si>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</si>
  <si>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</si>
  <si>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</si>
  <si>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</si>
  <si>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</si>
  <si>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</si>
  <si>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</si>
  <si>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</si>
  <si>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</si>
  <si>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</si>
  <si>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</si>
  <si>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</si>
  <si>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</si>
  <si>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</si>
  <si>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</si>
  <si>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</si>
  <si>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</si>
  <si>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</si>
  <si>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</si>
  <si>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</si>
  <si>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</si>
  <si>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</si>
  <si>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</si>
  <si>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</si>
  <si>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</si>
  <si>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</si>
  <si>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</si>
  <si>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</si>
  <si>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</si>
  <si>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</si>
  <si>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</si>
  <si>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</si>
  <si>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</si>
  <si>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</si>
  <si>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</si>
  <si>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</si>
  <si>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</si>
  <si>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</si>
  <si>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</si>
  <si>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</si>
  <si>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</si>
  <si>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</si>
  <si>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</si>
  <si>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</si>
  <si>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</si>
  <si>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</si>
  <si>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</si>
  <si>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</si>
  <si>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</si>
  <si>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</si>
  <si>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</si>
  <si>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</si>
  <si>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</si>
  <si>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</si>
  <si>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</si>
  <si>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</si>
  <si>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</si>
  <si>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</si>
  <si>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</si>
  <si>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</si>
  <si>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</si>
  <si>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</si>
  <si>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</si>
  <si>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</si>
  <si>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</si>
  <si>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</si>
  <si>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</si>
  <si>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</si>
  <si>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</si>
  <si>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</si>
  <si>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</si>
  <si>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</si>
  <si>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</si>
  <si>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</si>
  <si>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</si>
  <si>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</si>
  <si>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</si>
  <si>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</si>
  <si>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</si>
  <si>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</si>
  <si>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</si>
  <si>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</si>
  <si>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</si>
  <si>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</si>
  <si>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</si>
  <si>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</si>
  <si>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</si>
  <si>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</si>
  <si>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</si>
  <si>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</si>
  <si>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</si>
  <si>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</si>
  <si>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</si>
  <si>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</si>
  <si>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</si>
  <si>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</si>
  <si>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</si>
  <si>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</si>
  <si>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</si>
  <si>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</si>
  <si>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</si>
  <si>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</si>
  <si>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</si>
  <si>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</si>
  <si>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</si>
  <si>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</si>
  <si>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</si>
  <si>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</si>
  <si>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</si>
  <si>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</si>
  <si>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</si>
  <si>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</si>
  <si>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</si>
  <si>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</si>
  <si>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</si>
  <si>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</si>
  <si>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</si>
  <si>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</si>
  <si>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</si>
  <si>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</si>
  <si>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</si>
  <si>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</si>
  <si>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</si>
  <si>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</si>
  <si>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</si>
  <si>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</si>
  <si>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</si>
  <si>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</si>
  <si>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</si>
  <si>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</si>
  <si>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</si>
  <si>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</si>
  <si>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</si>
  <si>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</si>
  <si>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</si>
  <si>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</si>
  <si>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</si>
  <si>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</si>
  <si>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</si>
  <si>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</si>
  <si>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</si>
  <si>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</si>
  <si>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</si>
  <si>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</si>
  <si>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</si>
  <si>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</si>
  <si>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</si>
  <si>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</si>
  <si>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</si>
  <si>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</si>
  <si>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</si>
  <si>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</si>
  <si>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</si>
  <si>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</si>
  <si>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</si>
  <si>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</si>
  <si>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</si>
  <si>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</si>
  <si>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</si>
  <si>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</si>
  <si>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</si>
  <si>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</si>
  <si>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</si>
  <si>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</si>
  <si>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</si>
  <si>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</si>
  <si>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</si>
  <si>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</si>
  <si>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</si>
  <si>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</si>
  <si>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</si>
  <si>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</si>
  <si>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</si>
  <si>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</si>
  <si>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</si>
  <si>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</si>
  <si>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</si>
  <si>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</si>
  <si>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</si>
  <si>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</si>
  <si>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</si>
  <si>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</si>
  <si>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</si>
  <si>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</si>
  <si>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</si>
  <si>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</si>
  <si>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</si>
  <si>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</si>
  <si>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</si>
  <si>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</si>
  <si>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</si>
  <si>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</si>
  <si>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</si>
  <si>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</si>
  <si>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</si>
  <si>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</si>
  <si>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</si>
  <si>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</si>
  <si>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</si>
  <si>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</si>
  <si>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</si>
  <si>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</si>
  <si>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</si>
  <si>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</si>
  <si>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</si>
  <si>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</si>
  <si>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</si>
  <si>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</si>
  <si>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</si>
  <si>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</si>
  <si>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</si>
  <si>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</si>
  <si>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</si>
  <si>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</si>
  <si>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</si>
  <si>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</si>
  <si>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</si>
  <si>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</si>
  <si>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</si>
  <si>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</si>
  <si>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</si>
  <si>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</si>
  <si>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</si>
  <si>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</si>
  <si>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</si>
  <si>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</si>
  <si>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</si>
  <si>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</si>
  <si>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</si>
  <si>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</si>
  <si>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</si>
  <si>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</si>
  <si>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</si>
  <si>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</si>
  <si>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</si>
  <si>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</si>
  <si>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</si>
  <si>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</si>
  <si>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</si>
  <si>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</si>
  <si>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</si>
  <si>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</si>
  <si>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</si>
  <si>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</si>
  <si>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</si>
  <si>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</si>
  <si>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</si>
  <si>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</si>
  <si>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</si>
  <si>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</si>
  <si>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</si>
  <si>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</si>
  <si>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</si>
  <si>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</si>
  <si>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</si>
  <si>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</si>
  <si>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</si>
  <si>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</si>
  <si>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</si>
  <si>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</si>
  <si>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</si>
  <si>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</si>
  <si>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</si>
  <si>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</si>
  <si>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</si>
  <si>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</si>
  <si>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</si>
  <si>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</si>
  <si>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</si>
  <si>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</si>
  <si>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</si>
  <si>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</si>
  <si>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</si>
  <si>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</si>
  <si>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</si>
  <si>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</si>
  <si>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</si>
  <si>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</si>
  <si>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</si>
  <si>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</si>
  <si>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</si>
  <si>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</si>
  <si>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</si>
  <si>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</si>
  <si>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</si>
  <si>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</si>
  <si>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</si>
  <si>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</si>
  <si>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</si>
  <si>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</si>
  <si>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</si>
  <si>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</si>
  <si>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</si>
  <si>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</si>
  <si>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</si>
  <si>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</si>
  <si>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</si>
  <si>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</si>
  <si>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</si>
  <si>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</si>
  <si>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</si>
  <si>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</si>
  <si>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</si>
  <si>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</si>
  <si>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</si>
  <si>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</si>
  <si>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</si>
  <si>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</si>
  <si>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</si>
  <si>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</si>
  <si>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</si>
  <si>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</si>
  <si>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</si>
  <si>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</si>
  <si>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</si>
  <si>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</si>
  <si>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</si>
  <si>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</si>
  <si>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</si>
  <si>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</si>
  <si>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</si>
  <si>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</si>
  <si>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</si>
  <si>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</si>
  <si>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</si>
  <si>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</si>
  <si>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</si>
  <si>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</si>
  <si>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</si>
  <si>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</si>
  <si>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</si>
  <si>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</si>
  <si>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</si>
  <si>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</si>
  <si>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</si>
  <si>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</si>
  <si>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</si>
  <si>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</si>
  <si>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</si>
  <si>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</si>
  <si>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</si>
  <si>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</si>
  <si>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</si>
  <si>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</si>
  <si>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</si>
  <si>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</si>
  <si>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</si>
  <si>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</si>
  <si>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</si>
  <si>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</si>
  <si>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</si>
  <si>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</si>
  <si>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</si>
  <si>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</si>
  <si>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</si>
  <si>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</si>
  <si>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</si>
  <si>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</si>
  <si>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</si>
  <si>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</si>
  <si>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</si>
  <si>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</si>
  <si>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</si>
  <si>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</si>
  <si>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</si>
  <si>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</si>
  <si>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</si>
  <si>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</si>
  <si>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</si>
  <si>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</si>
  <si>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</si>
  <si>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</si>
  <si>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</si>
  <si>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</si>
  <si>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</si>
  <si>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</si>
  <si>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</si>
  <si>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</si>
  <si>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</si>
  <si>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</si>
  <si>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</si>
  <si>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</si>
  <si>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</si>
  <si>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</si>
  <si>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</si>
  <si>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</si>
  <si>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</si>
  <si>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</si>
  <si>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</si>
  <si>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</si>
  <si>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</si>
  <si>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</si>
  <si>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</si>
  <si>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</si>
  <si>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</si>
  <si>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</si>
  <si>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</si>
  <si>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</si>
  <si>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</si>
  <si>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</si>
  <si>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</si>
  <si>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</si>
  <si>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</si>
  <si>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</si>
  <si>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</si>
  <si>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</si>
  <si>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</si>
  <si>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</si>
  <si>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</si>
  <si>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</si>
  <si>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</si>
  <si>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</si>
  <si>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</si>
  <si>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</si>
  <si>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</si>
  <si>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</si>
  <si>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</si>
  <si>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</si>
  <si>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</si>
  <si>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</si>
  <si>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</si>
  <si>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</si>
  <si>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</si>
  <si>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</si>
  <si>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</si>
  <si>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</si>
  <si>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</si>
  <si>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</si>
  <si>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</si>
  <si>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</si>
  <si>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</si>
  <si>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</si>
  <si>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</si>
  <si>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</si>
  <si>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</si>
  <si>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</si>
  <si>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</si>
  <si>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</si>
  <si>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</si>
  <si>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</si>
  <si>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</si>
  <si>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</si>
  <si>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</si>
  <si>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</si>
  <si>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</si>
  <si>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</si>
  <si>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</si>
  <si>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</si>
  <si>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</si>
  <si>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</si>
  <si>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</si>
  <si>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</si>
  <si>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</si>
  <si>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</si>
  <si>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</si>
  <si>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</si>
  <si>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</si>
  <si>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</si>
  <si>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</si>
  <si>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</si>
  <si>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</si>
  <si>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</si>
  <si>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</si>
  <si>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</si>
  <si>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</si>
  <si>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</si>
  <si>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</si>
  <si>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</si>
  <si>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</si>
  <si>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</si>
  <si>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</si>
  <si>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</si>
  <si>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</si>
  <si>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</si>
  <si>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</si>
  <si>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</si>
  <si>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</si>
  <si>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</si>
  <si>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</si>
  <si>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</si>
  <si>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</si>
  <si>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</si>
  <si>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</si>
  <si>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</si>
  <si>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</si>
  <si>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</si>
  <si>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</si>
  <si>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</si>
  <si>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</si>
  <si>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</si>
  <si>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</si>
  <si>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</si>
  <si>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</si>
  <si>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</si>
  <si>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</si>
  <si>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</si>
  <si>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</si>
  <si>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</si>
  <si>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</si>
  <si>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</si>
  <si>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</si>
  <si>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</si>
  <si>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</si>
  <si>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</si>
  <si>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</si>
  <si>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</si>
  <si>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</si>
  <si>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</si>
  <si>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</si>
  <si>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</si>
  <si>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</si>
  <si>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</si>
  <si>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</si>
  <si>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</si>
  <si>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</si>
  <si>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</si>
  <si>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</si>
  <si>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</si>
  <si>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</si>
  <si>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</si>
  <si>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</si>
  <si>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</si>
  <si>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</si>
  <si>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</si>
  <si>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</si>
  <si>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</si>
  <si>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</si>
  <si>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</si>
  <si>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</si>
  <si>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</si>
  <si>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</si>
  <si>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</si>
  <si>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</si>
  <si>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</si>
  <si>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</si>
  <si>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</si>
  <si>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</si>
  <si>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</si>
  <si>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</si>
  <si>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</si>
  <si>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</si>
  <si>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Yes</t>
  </si>
  <si>
    <t>79 characters (PEP 8 standard)</t>
  </si>
  <si>
    <t>Expect clean functional composition, closures, decorators, generator expressions, and type hints. Enforce zero OOP classes and zero class definitions.</t>
  </si>
  <si>
    <t>Expect complete modular scripts with asyncio event loops, subprocess I/O, custom context managers, and structural pattern matching using match/case.</t>
  </si>
  <si>
    <t>Use descriptive snake_case for functions/variables, UPPER_CASE for constants, and snake_case for file names.</t>
  </si>
  <si>
    <t>Reject class definitions, OOP methods, mutating global variables, abusing Any type, or writing un-annotated monolithic scripts.</t>
  </si>
  <si>
    <t>If using default parameters, NEVER use mutable default arguments (e.g. default_list=[]); use None as default and initialize inside function.</t>
  </si>
  <si>
    <t>Use descriptive snake_case for variables/functions, UPPER_CASE for constants, and snake_case for file names.</t>
  </si>
  <si>
    <t>Code MUST adhere strictly to PEP 8 guidelines. Use snake_case for variables/functions, UPPER_CASE for constants, snake_case for files. Avoid global state; emphasize strict type hints, functools, and clean functional architectures without OOP classes.</t>
  </si>
  <si>
    <t>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</si>
  <si>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</si>
  <si>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</si>
  <si>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</si>
  <si>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</si>
  <si>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</si>
  <si>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</si>
  <si>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</si>
  <si>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</si>
  <si>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</si>
  <si>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Native built-in functions, basic operators, and standard core execution models.</t>
  </si>
  <si>
    <t>Basic primitive types (int, float, str, bool) or simple lists/dictionaries.</t>
  </si>
  <si>
    <t>print() statements with comma-separated values to display outputs clearly.</t>
  </si>
  <si>
    <t>Standard basic logic validation using native assert statements.</t>
  </si>
  <si>
    <t>visual block tags separating functional script sections (e.g., '# --- BLOQUE 1: [NAME] ---')</t>
  </si>
  <si>
    <t>Evaluate based on basic print statements, data structures, and conditional logic. Do NOT expect decorators, generators, or functions unless explicitly demanded.</t>
  </si>
  <si>
    <t>Basic Python built-ins, primitive operators, and explicit type conversion.</t>
  </si>
  <si>
    <t>Focus strictly on flat linear scripts, variables, print statements, and primitive data types. DO NOT use custom def functions.</t>
  </si>
  <si>
    <t>Advanced functional composition, closures, decorators, generator expressions, and async coroutines.</t>
  </si>
  <si>
    <t>Enforce encoding='utf-8' and newline='' when handling files via open() with context managers or pathlib.Path.</t>
  </si>
  <si>
    <t>Environment variables via os.getenv() or python-dotenv may be used but bugs MUST exist ONLY in Python code logic, NEVER in .env files.</t>
  </si>
  <si>
    <t>Support files (.env, .env.example) MUST be provided BEFORE the broken code, fully correct, and contain NO bugs.</t>
  </si>
  <si>
    <t>Validation using print() statements or native assert statements. Avoid defining OOP TestClasses or complex test suites.</t>
  </si>
  <si>
    <t>Standard Python runtime context. If external packages are needed, specify them strictly in support files or inline pip comments.</t>
  </si>
  <si>
    <t>Each challenge MUST include: internal data OR dataset usage, at least 1 print statement, at least 1 loop (when applicable), EXACTLY 1 function, and EXACTLY 1 function call.</t>
  </si>
  <si>
    <t>All challenges MUST have similar complexity, length, and functional scope.</t>
  </si>
  <si>
    <t>Simulate a messy Python script. The project MUST contain EXACTLY 2–5 bugs mixing Syntax errors, Logic errors, and common Runtime Exceptions.</t>
  </si>
  <si>
    <t>1. Syntax &amp; Type Errors (e.g., indentation errors, typos, missing colons/brackets, TypeError, unhandled NoneType access),</t>
  </si>
  <si>
    <t>2. Logic Errors (e.g., incorrect calculations, faulty comparison operators, improper loop boundaries, wrong return values), AND</t>
  </si>
  <si>
    <t>3. Runtime Exceptions (e.g., KeyError, FileNotFoundError, ValueError in type casting, ZeroDivisionError, IndexError).</t>
  </si>
  <si>
    <t>Clean, Pythonic, PEP 8 compliant code, descriptive snake_case naming, 4-space indentation, and explicit Minimal Intervention Rule.</t>
  </si>
  <si>
    <t>Act as 'The Analytical Partner' (El Detective con Café). Translate machine tracebacks from bottom to top into plain human language. Enforce NO KEYBOARD rule in Phase 1.</t>
  </si>
  <si>
    <t>NEVER use mutable default arguments (e.g., default_list=[]); use None as default and initialize inside function.</t>
  </si>
  <si>
    <t>Require standard pip tooling and requirements.txt file for external dependencies when applicable.</t>
  </si>
  <si>
    <t>MUST be between 25–40 lines of EXECUTABLE base Python code (STRICT: Do NOT count comments or # TODO blocks).</t>
  </si>
  <si>
    <t>Multi-step functional script flow. Max 2 functions, NO classes. Lógica de integración ubicada exclusivamente dentro de los bloques # TODO.</t>
  </si>
  <si>
    <t>Clean, Pythonic, PEP 8 compliant code with 4-space indentation. Enforce Minimal Intervention Rule and NO KEYBOARD rule in Phase 1.</t>
  </si>
  <si>
    <t>Reject OOP class definitions and global variable mutations. NEVER use mutable default arguments in functions (use None instead).</t>
  </si>
  <si>
    <t>Standard Python built-ins. Strictly ZERO external PyPI packages required for beginner topics.</t>
  </si>
  <si>
    <t>Simple console output verification via standard print() statements.</t>
  </si>
  <si>
    <t>For Beginner level, # TODO MUST be atomic (1-2 simple lines max, e.g., basic variable assignment, primitive print call, or direct comparison). NO complex buffer redirections or string parsing.</t>
  </si>
  <si>
    <t>5–15 lines of EXECUTABLE base code. Code outside # TODO MUST be 100% valid and readable. If no_def flag is present in AJ, use flat linear code without def.</t>
  </si>
  <si>
    <t>Act as 'The Logical Scaffold' (El Maestro de Obra). Focus on simple Data Gap Analysis (Point A -&gt; Point B -&gt; Point C) and structural code completion.</t>
  </si>
  <si>
    <t>reinventing native package features using raw Python code, manual boilerplate parsing, or ignoring the library's built-in helper functions and idioms</t>
  </si>
  <si>
    <t>official API design patterns, native objects, core helper modules, and idiomatic execution flows</t>
  </si>
  <si>
    <t>STRICT REQUIREMENT: Integrate custom 'def' function definitions, return values, and positional/keyword arguments in EVERY example.</t>
  </si>
  <si>
    <t>Use basic primitive data types (int, float, str, bool) and simple data structures like standard lists or dictionaries without complex nesting.</t>
  </si>
  <si>
    <t>Print intermediate steps and final results explicitly using standard print() statements with comma-separated values or formatted variables.</t>
  </si>
  <si>
    <t>MUST NOT exceed exactly 6 lines of EXECUTABLE code per example (STRICT: Do NOT count comment lines or blank lines towards this limit).</t>
  </si>
  <si>
    <t>[EXECUTION_CALL_RULE]</t>
  </si>
  <si>
    <t>If a custom def function is used, you MUST include a single, direct function call at the very end of the script to execute it. STRICTLY PROHIBITED: Do NOT use if __name__ == '__main__': or complex boilerplate entry points.</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</si>
  <si>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</si>
  <si>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</si>
  <si>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comprehensive docstrings using triple quotes ('3xquotes') explaining function parameters, return types, and exceptions</t>
  </si>
  <si>
    <t>[TESTING_FRAMEWORK_RULE]</t>
  </si>
  <si>
    <t>[DEPENDENCY_MANAGEMENT_RULE]</t>
  </si>
  <si>
    <t>lines of EXECUTABLE broken Python code per challenge (STRICT: Do NOT count blank lines). NO classes and NO global executable code EXCEPT the single function call.</t>
  </si>
  <si>
    <t>[CORE_QUALITY_POLICY]</t>
  </si>
  <si>
    <t>UP</t>
  </si>
  <si>
    <t>Execute basic GET requests using httpx.get to retrieve web page data and evaluate the status_code to confirm successful connections</t>
  </si>
  <si>
    <t>Executing Basic GET Requests (requests.get, .status_code)</t>
  </si>
  <si>
    <t>Read and extract the payload from httpx responses using .text for string formatting and .content for raw byte extraction</t>
  </si>
  <si>
    <t>Reading Response Content (.text, .content)</t>
  </si>
  <si>
    <t>Parse structured JSON payloads from API responses by utilizing the .json() method in httpx to convert text data into native Python dictionaries</t>
  </si>
  <si>
    <t>Parsing JSON Responses (.json())</t>
  </si>
  <si>
    <t>Append dynamic query strings to endpoint URLs by passing a Python dictionary to the params argument in httpx requests</t>
  </si>
  <si>
    <t>Passing URL Query Parameters (params dictionary)</t>
  </si>
  <si>
    <t>Inspect HTTP response metadata by accessing the .headers, .url, and .encoding attributes of an httpx response object to understand server configurations</t>
  </si>
  <si>
    <t>Inspecting Response Metadata (.headers, .url, .encoding)</t>
  </si>
  <si>
    <t>N/A</t>
  </si>
  <si>
    <t>Build a simple API data fetcher using httpx that takes a public REST endpoint as input, processes basic GET requests to retrieve JSON data, and outputs formatted textual information to the user</t>
  </si>
  <si>
    <t>Project 1: Simple API Data Fetcher</t>
  </si>
  <si>
    <t>Load environment variables securely for httpx scripts by implementing python-dotenv functions like load_dotenv and os.getenv to protect sensitive API credentials</t>
  </si>
  <si>
    <t>Introduction to python-dotenv (load_dotenv, os.getenv)</t>
  </si>
  <si>
    <t>Customize HTTP request headers in httpx by passing a dictionary to the headers parameter to specify accepted content types or simulate specific browser user agents</t>
  </si>
  <si>
    <t>Customizing Request Headers (headers dictionary)</t>
  </si>
  <si>
    <t>Implement Basic Authentication in httpx requests by supplying a secure username and password tuple to the auth parameter to access protected endpoints</t>
  </si>
  <si>
    <t>Implementing Basic Authentication (auth tuple)</t>
  </si>
  <si>
    <t>Authenticate API requests using Bearer Tokens by manually injecting the authorization string into the custom headers dictionary within an httpx request payload</t>
  </si>
  <si>
    <t>Implementing Bearer Token Authentication (via custom headers)</t>
  </si>
  <si>
    <t>Handle HTTP error codes automatically by invoking the raise_for_status() method on an httpx response object to trigger Python exceptions for failed or rejected requests</t>
  </si>
  <si>
    <t>Handling HTTP Errors Automatically (raise_for_status())</t>
  </si>
  <si>
    <t>Build a secure API client that takes hidden API keys loaded via dotenv as input, processes secure httpx requests using customized headers and authentication protocols, and outputs verified data from protected endpoints</t>
  </si>
  <si>
    <t>Project 2: Secure API Client (Dotenv, Auth, Headers)</t>
  </si>
  <si>
    <t>Transmit form-encoded data to remote servers by executing POST requests with httpx.post and passing a formatted Python dictionary to the data parameter</t>
  </si>
  <si>
    <t>Sending Form-Encoded Data with POST (data parameter)</t>
  </si>
  <si>
    <t>Send structured JSON payloads to RESTful APIs by utilizing the json parameter in httpx.post requests to automatically serialize Python dictionaries and set correct headers</t>
  </si>
  <si>
    <t>Sending JSON Data with POST (json parameter)</t>
  </si>
  <si>
    <t>Manipulate server-side resources by executing httpx.put, httpx.patch, and httpx.delete HTTP methods to update, modify, or permanently remove API data records</t>
  </si>
  <si>
    <t>Modifying and Deleting Resources (requests.put, .patch, .delete)</t>
  </si>
  <si>
    <t>Debug outgoing HTTP traffic by inspecting the .request.headers and .request.content attributes of a completed httpx response to verify the exact payload transmitted to the server</t>
  </si>
  <si>
    <t>Inspecting the Prepared Request (response.request.headers, .body)</t>
  </si>
  <si>
    <t>Enforce strict network constraints by configuring the timeout parameter in httpx requests to prevent hanging connections and ensure predictable application execution times</t>
  </si>
  <si>
    <t>Enforcing Request Timeouts (timeout parameter)</t>
  </si>
  <si>
    <t>Implement robust error handling by wrapping httpx client calls in try-except blocks to gracefully catch and log specific network exceptions such as httpx.TimeoutException and httpx.RequestError</t>
  </si>
  <si>
    <t>Catching Network Exceptions (Timeout, ConnectionError, RequestException)</t>
  </si>
  <si>
    <t>Extract comprehensive datasets across multiple API pages by implementing while loops alongside httpx requests to systematically parse and follow pagination cursors or next-page link headers</t>
  </si>
  <si>
    <t>Handling API Pagination (While loops, next cursors/links)</t>
  </si>
  <si>
    <t>Build a complete CRUD manager application that takes user terminal commands as input, processes data modifications across paginated API endpoints using secure httpx methods with strict network timeouts, and outputs execution status confirmations for each operation</t>
  </si>
  <si>
    <t>Project 3: Complete CRUD Manager with Pagination &amp; Timeouts</t>
  </si>
  <si>
    <t>Control HTTP redirection behavior by toggling the follow_redirects parameter in httpx methods and logically tracing the routing sequence through the response.history list attribute</t>
  </si>
  <si>
    <t>Managing HTTP Redirects (allow_redirects, response.history)</t>
  </si>
  <si>
    <t>Download massive binary files efficiently by utilizing the httpx .iter_bytes() method to stream and write data to disk in manageable chunk sizes without exhausting system RAM</t>
  </si>
  <si>
    <t>Downloading Large/Binary Files in Chunks (iter_content)</t>
  </si>
  <si>
    <t>Upload individual files to remote servers by passing binary file objects created with open() to the files parameter within an httpx.post multipart form request</t>
  </si>
  <si>
    <t>Uploading Single Files (files parameter with open())</t>
  </si>
  <si>
    <t>Construct complex multipart/form-data requests in httpx by transmitting multiple binary file objects alongside supplementary string-based form data dictionaries simultaneously in a single POST operation</t>
  </si>
  <si>
    <t>Uploading Multiple Files and Form Data Simultaneously</t>
  </si>
  <si>
    <t>Build a robust bidirectional file transfer utility that takes local file paths and remote destination URLs as input, processes chunked byte streams for both network downloads and uploads utilizing httpx, and outputs real-time visual progress indicators to the user</t>
  </si>
  <si>
    <t>Project 4: Robust File Transfer Utility (Chunked downloads, uploads)</t>
  </si>
  <si>
    <t>Optimize HTTP performance and implement underlying connection pooling by initializing an httpx.Client() instance to persist TCP connections across multiple sequential network requests</t>
  </si>
  <si>
    <t>Initializing Connection Pooling and State (requests.Session())</t>
  </si>
  <si>
    <t>Configure client-level network defaults by assigning base URLs, default authentication schemas, and universal headers to an httpx.Client() object to standardize parameters across all outbound application requests</t>
  </si>
  <si>
    <t>Configuring Session-Level Defaults (Default headers, default auth)</t>
  </si>
  <si>
    <t>Manage persistent HTTP states by manipulating the cookies parameter, extracting response.cookies, and utilizing the httpx.Cookies class to dynamically handle and inject server-issued session identifiers</t>
  </si>
  <si>
    <t>Managing Cookies (cookies param, response.cookies, RequestsCookieJar)</t>
  </si>
  <si>
    <t>Obfuscate origin IP addresses and securely route network traffic by configuring the proxy or proxies parameter in httpx clients to forward outgoing requests through designated HTTP/HTTPS proxy servers</t>
  </si>
  <si>
    <t>Routing Traffic through Proxies (proxies dictionary)</t>
  </si>
  <si>
    <t>Manage secure socket layer constraints by adjusting the verify parameter in httpx to either enforce strict SSL certificate validation or explicitly bypass security checks for custom internal network certificates</t>
  </si>
  <si>
    <t>Managing SSL Certificate Verification (verify parameter)</t>
  </si>
  <si>
    <t>Build an advanced stateful API crawler that takes target domains and external proxy lists as input, processes repetitive requests through a persistent httpx.Client() featuring automatic proxy rotation and cookie management, and outputs structured scraped data to local storage</t>
  </si>
  <si>
    <t>Project 5: Stateful API Crawler (Sessions, persistence, proxy rotation)</t>
  </si>
  <si>
    <t>Consume continuous Server-Sent Events (SSE) and live text streams by utilizing the httpx.stream() context manager and continuously iterating over the active response using the .iter_lines() generator method</t>
  </si>
  <si>
    <t>Streaming Text Lines and SSE (stream=True, .iter_lines())</t>
  </si>
  <si>
    <t>Instrument advanced network monitoring by attaching custom Python callback functions to the event_hooks dictionary in httpx clients to automatically log, measure, or inspect HTTP responses asynchronously immediately upon receipt</t>
  </si>
  <si>
    <t>Attaching Callbacks to Responses (hooks={'response': callback_function})</t>
  </si>
  <si>
    <t>Craft and construct HTTP requests manually by instantiating raw httpx.Request objects and explicitly dispatching them using the client.send() method to achieve granular programmatic control over the entire network transmission lifecycle</t>
  </si>
  <si>
    <t>Manual Request Crafting (Request, Session.prepare_request, Session.send)</t>
  </si>
  <si>
    <t>Enhance application resilience by configuring procedural network retries utilizing httpx.HTTPTransport parameters to automatically re-attempt failed connections based on specific HTTP status codes or unexpected TCP connection drops</t>
  </si>
  <si>
    <t>Configuring Procedural Retries (urllib3.util.Retry, HTTPAdapter, mount)</t>
  </si>
  <si>
    <t>Access low-level network socket data by reading raw byte streams directly from an active httpx response stream to completely bypass standard library decoders and manipulate unaltered network payloads</t>
  </si>
  <si>
    <t>Accessing the Underlying Socket Response (response.raw, decode_content)</t>
  </si>
  <si>
    <t>Implement deterministic unit tests for network operations by utilizing mocking libraries like respx or pytest-httpx to intercept outgoing httpx requests and inject simulated JSON responses without hitting live endpoints</t>
  </si>
  <si>
    <t>Testing and Mocking Requests (Using the responses library)</t>
  </si>
  <si>
    <t>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t>
  </si>
  <si>
    <t>Project 6: Resilient Data Pipeline (Prepared requests, hooks, retries, mocking)</t>
  </si>
  <si>
    <t>HTTPX</t>
  </si>
  <si>
    <t>Python</t>
  </si>
  <si>
    <t>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</si>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</sst>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Python | [TASK] Teach and explain concepts clearly with correct code examples | [TOPIC] Execute basic GET requests using httpx.get to retrieve web page data and evaluate the status_code to confirm successful connections | [LEVEL] Beginner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Python | 📊 Level: Beginner | 🌐 Coding5s.com
**Concept:** Executing Basic GET Requests (requests.get, .status_code)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6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854</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13</v>
      </c>
      <c r="F3" s="97" t="s">
        <v>266</v>
      </c>
      <c r="G3" s="2"/>
      <c r="H3" s="2"/>
      <c r="I3" s="16" t="s">
        <v>853</v>
      </c>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25</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492</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672</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671</v>
      </c>
      <c r="L7" s="31" t="s">
        <v>671</v>
      </c>
      <c r="M7" s="38"/>
      <c r="N7" s="31" t="s">
        <v>671</v>
      </c>
      <c r="O7" s="31" t="s">
        <v>775</v>
      </c>
      <c r="P7" s="22"/>
      <c r="Q7" s="31" t="s">
        <v>671</v>
      </c>
      <c r="R7" s="31" t="s">
        <v>671</v>
      </c>
      <c r="S7" s="39"/>
      <c r="T7" s="31" t="s">
        <v>671</v>
      </c>
      <c r="U7" s="31" t="s">
        <v>671</v>
      </c>
      <c r="V7" s="22"/>
      <c r="W7" s="31" t="s">
        <v>671</v>
      </c>
      <c r="X7" s="31" t="s">
        <v>671</v>
      </c>
      <c r="Y7" s="39"/>
      <c r="Z7" s="31" t="s">
        <v>671</v>
      </c>
      <c r="AA7" s="31" t="s">
        <v>775</v>
      </c>
      <c r="AB7" s="31" t="s">
        <v>671</v>
      </c>
      <c r="AC7" s="31" t="s">
        <v>671</v>
      </c>
      <c r="AD7" s="31" t="s">
        <v>671</v>
      </c>
      <c r="AE7" s="35" t="str">
        <f>_xlfn.CONCAT(AH9:AH200)</f>
        <v/>
      </c>
      <c r="AF7" s="15"/>
      <c r="AG7" s="15"/>
      <c r="AH7" s="15"/>
      <c r="AI7" s="15"/>
      <c r="AJ7" s="15"/>
      <c r="AK7" s="138" t="s">
        <v>497</v>
      </c>
      <c r="AL7" s="138"/>
      <c r="AM7" s="138"/>
    </row>
    <row r="8" spans="1:39">
      <c r="A8" s="42" t="s">
        <v>19</v>
      </c>
      <c r="B8" s="43">
        <v>0</v>
      </c>
      <c r="C8" s="41" t="s">
        <v>18</v>
      </c>
      <c r="D8" s="43" t="s">
        <v>493</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494</v>
      </c>
      <c r="AF8" s="42" t="s">
        <v>495</v>
      </c>
      <c r="AG8" s="42" t="s">
        <v>496</v>
      </c>
      <c r="AH8" s="42" t="s">
        <v>42</v>
      </c>
      <c r="AI8" s="42" t="s">
        <v>43</v>
      </c>
      <c r="AJ8" s="42" t="s">
        <v>499</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6</v>
      </c>
      <c r="D9" s="46">
        <v>3</v>
      </c>
      <c r="E9" s="47" t="s">
        <v>46</v>
      </c>
      <c r="F9" s="48">
        <v>1</v>
      </c>
      <c r="G9" s="49" t="s">
        <v>47</v>
      </c>
      <c r="H9" s="49" t="s">
        <v>48</v>
      </c>
      <c r="I9" s="50" t="s">
        <v>776</v>
      </c>
      <c r="J9" s="51" t="s">
        <v>777</v>
      </c>
      <c r="K9" s="129" t="str">
        <f>IF(H9="Topic",
"[ROLE] Friendly tutor specializing in " &amp; $I$2 &amp; " | " &amp;
"[TOPIC] " &amp; I9 &amp; " | " &amp;
"[LEVEL] " &amp; G9 &amp; " | " &amp;
"[COUNT] " &amp; D9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Python | [TOPIC] Execute basic GET requests using httpx.get to retrieve web page data and evaluate the status_code to confirm successful connections | [LEVEL] Beginner | [COUNT] 3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Python - HTTPX | 📊 Level: Beginner | 🌐 Coding5s.com
**Concept:** Executing Basic GET Requests (requests.get, .status_code)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basic GET requests using httpx.get to retrieve web page data and evaluate the status_code to confirm successful connections. Topic details: Executing Basic GET Requests (requests.get, .status_code)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Python - HTTPX | 📊 Level: Beginner
**Topic:** Execute basic GET requests using httpx.get to retrieve web page data and evaluate the status_code to confirm successful connections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Python Developer | [TASK] Generate debugging challenges in Python | | [TOPIC] Execute basic GET requests using httpx.get to retrieve web page data and evaluate the status_code to confirm successful connections | | [LEVEL] Beginner |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2 🐛 Debug | Python - HTTPX | 📊 Level: Beginner | 🌐 Coding5s.com
Concept: Executing Basic GET Requests (requests.get, .status_code)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basic GET requests using httpx.get to retrieve web page data and evaluate the status_code to confirm successful connections. Topic details: Executing Basic GET Requests (requests.get, .status_code)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Python - HTTPX | 📊 Level: Beginner
**Topic:** Execute basic GET requests using httpx.get to retrieve web page data and evaluate the status_code to confirm successful connections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Python script challenges | [TOPIC] Execute basic GET requests using httpx.get to retrieve web page data and evaluate the status_code to confirm successful connections | [LEVEL] Beginner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3 🧩 Complete | Python - HTTPX | 📊 Level: Beginner | 🌐 Coding5s.com
**Concept:** Executing Basic GET Requests (requests.get, .status_code)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basic GET requests using httpx.get to retrieve web page data and evaluate the status_code to confirm successful connections.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basic GET requests using httpx.get to retrieve web page data and evaluate the status_code to confirm successful connections. Topic details: Executing Basic GET Requests (requests.get, .status_code)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Python - HTTPX | 📊 Level: Beginner
**Topic:** Execute basic GET requests using httpx.get to retrieve web page data and evaluate the status_code to confirm successful connections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Execute basic GET requests using httpx.get to retrieve web page data and evaluate the status_code to confirm successful connections | [LEVEL] Beginner | [COUNT] 3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Python - HTTPX | 📊 Level: Beginner | 🌐 Coding5s.com
**Concept:** Executing Basic GET Requests (requests.get, .status_code)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basic GET requests using httpx.get to retrieve web page data and evaluate the status_code to confirm successful connections. Topic details: Executing Basic GET Requests (requests.get, .status_code)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Python - HTTPX | 📊 Level: Beginner
**Topic:** Execute basic GET requests using httpx.get to retrieve web page data and evaluate the status_code to confirm successful connections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Python Jira Ticket | [TASK] Provide a guided implementation exercise with full solution for learning purposes | [TOPIC] Execute basic GET requests using httpx.get to retrieve web page data and evaluate the status_code to confirm successful connections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Python - HTTPX | 📊 Level: Beginner | 🌐 Coding5s.com
**Concept:** Executing Basic GET Requests (requests.get, .status_code)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basic GET requests using httpx.get to retrieve web page data and evaluate the status_code to confirm successful connections. Goal: Executing Basic GET Requests (requests.get, .status_code)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Python - HTTPX | 📊 Level: Beginner
**Topic:** Execute basic GET requests using httpx.get to retrieve web page data and evaluate the status_code to confirm successful connections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6</v>
      </c>
      <c r="D10" s="57">
        <v>3</v>
      </c>
      <c r="E10" s="58" t="s">
        <v>46</v>
      </c>
      <c r="F10" s="59">
        <v>2</v>
      </c>
      <c r="G10" s="60" t="s">
        <v>47</v>
      </c>
      <c r="H10" s="60" t="s">
        <v>48</v>
      </c>
      <c r="I10" s="61" t="s">
        <v>778</v>
      </c>
      <c r="J10" s="62" t="s">
        <v>779</v>
      </c>
      <c r="K10" s="129" t="str">
        <f t="shared" ref="K10:K73" si="2">IF(H10="Topic",
"[ROLE] Friendly tutor specializing in " &amp; $I$2 &amp; " | " &amp;
"[TOPIC] " &amp; I10 &amp; " | " &amp;
"[LEVEL] " &amp; G10 &amp; " | " &amp;
"[COUNT] " &amp; D10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strictly on flat linear scripts, variables, print statements, and primitive data types. DO NOT use custom def functions.", IF(G10="Intermediate",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Python | [TOPIC] Read and extract the payload from httpx responses using .text for string formatting and .content for raw byte extraction | [LEVEL] Beginner | [COUNT] 3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Python - HTTPX | 📊 Level: Beginner | 🌐 Coding5s.com
**Concept:** Reading Response Content (.text, .content)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print statements, data structures, and conditional logic. Do NOT expect decorators, generators, or functions unless explicitly demanded.", IF(G10="Intermediate",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Read and extract the payload from httpx responses using .text for string formatting and .content for raw byte extraction. Topic details: Reading Response Content (.text, .content)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Python - HTTPX | 📊 Level: Beginner
**Topic:** Read and extract the payload from httpx responses using .text for string formatting and .content for raw byte extraction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IF(G10="Beginner", "5–15", IF(G10="Intermediate",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Python Developer | [TASK] Generate debugging challenges in Python | | [TOPIC] Read and extract the payload from httpx responses using .text for string formatting and .content for raw byte extraction | | [LEVEL] Beginner |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2 🐛 Debug | Python - HTTPX | 📊 Level: Beginner | 🌐 Coding5s.com
Concept: Reading Response Content (.text, .content)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Read and extract the payload from httpx responses using .text for string formatting and .content for raw byte extraction. Topic details: Reading Response Content (.text, .content)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Python - HTTPX | 📊 Level: Beginner
**Topic:** Read and extract the payload from httpx responses using .text for string formatting and .content for raw byte extraction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IF(G10="Beginner","5–15", IF(G10="Intermediate","10–25","15–35"))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Python script challenges | [TOPIC] Read and extract the payload from httpx responses using .text for string formatting and .content for raw byte extraction | [LEVEL] Beginner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3 🧩 Complete | Python - HTTPX | 📊 Level: Beginner | 🌐 Coding5s.com
**Concept:** Reading Response Content (.text, .content)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Read and extract the payload from httpx responses using .text for string formatting and .content for raw byte extraction.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Read and extract the payload from httpx responses using .text for string formatting and .content for raw byte extraction. Topic details: Reading Response Content (.text, .content)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Python - HTTPX | 📊 Level: Beginner
**Topic:** Read and extract the payload from httpx responses using .text for string formatting and .content for raw byte extraction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Read and extract the payload from httpx responses using .text for string formatting and .content for raw byte extraction | [LEVEL] Beginner | [COUNT] 3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Python - HTTPX | 📊 Level: Beginner | 🌐 Coding5s.com
**Concept:** Reading Response Content (.text, .content)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Read and extract the payload from httpx responses using .text for string formatting and .content for raw byte extraction. Topic details: Reading Response Content (.text, .content)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Python - HTTPX | 📊 Level: Beginner
**Topic:** Read and extract the payload from httpx responses using .text for string formatting and .content for raw byte extraction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Python Jira Ticket | [TASK] Provide a guided implementation exercise with full solution for learning purposes | [TOPIC] Read and extract the payload from httpx responses using .text for string formatting and .content for raw byte extraction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Python - HTTPX | 📊 Level: Beginner | 🌐 Coding5s.com
**Concept:** Reading Response Content (.text, .content)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Read and extract the payload from httpx responses using .text for string formatting and .content for raw byte extraction. Goal: Reading Response Content (.text, .content)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Python - HTTPX | 📊 Level: Beginner
**Topic:** Read and extract the payload from httpx responses using .text for string formatting and .content for raw byte extraction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IF(G10="Beginner","25–40", IF(G10="Intermediate","30–60","40–100"))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6</v>
      </c>
      <c r="D11" s="46">
        <v>3</v>
      </c>
      <c r="E11" s="58" t="s">
        <v>46</v>
      </c>
      <c r="F11" s="48">
        <v>3</v>
      </c>
      <c r="G11" s="49" t="s">
        <v>47</v>
      </c>
      <c r="H11" s="49" t="s">
        <v>48</v>
      </c>
      <c r="I11" s="50" t="s">
        <v>780</v>
      </c>
      <c r="J11" s="51" t="s">
        <v>781</v>
      </c>
      <c r="K11" s="129" t="str">
        <f t="shared" si="2"/>
        <v xml:space="preserve">[ROLE] Friendly tutor specializing in Python | [TOPIC] Parse structured JSON payloads from API responses by utilizing the .json() method in httpx to convert text data into native Python dictionaries | [LEVEL] Beginner | [COUNT] 3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Python - HTTPX | 📊 Level: Beginner | 🌐 Coding5s.com
**Concept:** Parsing JSON Responses (.json())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Parse structured JSON payloads from API responses by utilizing the .json() method in httpx to convert text data into native Python dictionaries. Topic details: Parsing JSON Responses (.json())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Python - HTTPX | 📊 Level: Beginner
**Topic:** Parse structured JSON payloads from API responses by utilizing the .json() method in httpx to convert text data into native Python dictionaries
---
 | [FOOTER RULE - STRICT] End your response with: '--- ⚡ *Coding5s Mentor System — Eliminating Epistemic Debt*' | </v>
      </c>
      <c r="M11" s="52">
        <v>0</v>
      </c>
      <c r="N11" s="102" t="str">
        <f t="shared" si="4"/>
        <v>[ROLE] Careless Python Developer | [TASK] Generate debugging challenges in Python | | [TOPIC] Parse structured JSON payloads from API responses by utilizing the .json() method in httpx to convert text data into native Python dictionaries | | [LEVEL] Beginner |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2 🐛 Debug | Python - HTTPX | 📊 Level: Beginner | 🌐 Coding5s.com
Concept: Parsing JSON Responses (.json())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Parse structured JSON payloads from API responses by utilizing the .json() method in httpx to convert text data into native Python dictionaries. Topic details: Parsing JSON Responses (.json())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Python - HTTPX | 📊 Level: Beginner
**Topic:** Parse structured JSON payloads from API responses by utilizing the .json() method in httpx to convert text data into native Python dictionaries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Python script challenges | [TOPIC] Parse structured JSON payloads from API responses by utilizing the .json() method in httpx to convert text data into native Python dictionaries | [LEVEL] Beginner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3 🧩 Complete | Python - HTTPX | 📊 Level: Beginner | 🌐 Coding5s.com
**Concept:** Parsing JSON Responses (.json())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Parse structured JSON payloads from API responses by utilizing the .json() method in httpx to convert text data into native Python dictionaries.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Parse structured JSON payloads from API responses by utilizing the .json() method in httpx to convert text data into native Python dictionaries. Topic details: Parsing JSON Responses (.json())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Python - HTTPX | 📊 Level: Beginner
**Topic:** Parse structured JSON payloads from API responses by utilizing the .json() method in httpx to convert text data into native Python dictionaries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Parse structured JSON payloads from API responses by utilizing the .json() method in httpx to convert text data into native Python dictionaries | [LEVEL] Beginner | [COUNT] 3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Python - HTTPX | 📊 Level: Beginner | 🌐 Coding5s.com
**Concept:** Parsing JSON Responses (.json())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Parse structured JSON payloads from API responses by utilizing the .json() method in httpx to convert text data into native Python dictionaries. Topic details: Parsing JSON Responses (.json())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Python - HTTPX | 📊 Level: Beginner
**Topic:** Parse structured JSON payloads from API responses by utilizing the .json() method in httpx to convert text data into native Python dictionaries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Python Jira Ticket | [TASK] Provide a guided implementation exercise with full solution for learning purposes | [TOPIC] Parse structured JSON payloads from API responses by utilizing the .json() method in httpx to convert text data into native Python dictionaries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Python - HTTPX | 📊 Level: Beginner | 🌐 Coding5s.com
**Concept:** Parsing JSON Responses (.json())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Parse structured JSON payloads from API responses by utilizing the .json() method in httpx to convert text data into native Python dictionaries. Goal: Parsing JSON Responses (.json())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Python - HTTPX | 📊 Level: Beginner
**Topic:** Parse structured JSON payloads from API responses by utilizing the .json() method in httpx to convert text data into native Python dictionaries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8</v>
      </c>
      <c r="D12" s="57">
        <v>4</v>
      </c>
      <c r="E12" s="58" t="s">
        <v>46</v>
      </c>
      <c r="F12" s="59">
        <v>4</v>
      </c>
      <c r="G12" s="60" t="s">
        <v>47</v>
      </c>
      <c r="H12" s="60" t="s">
        <v>48</v>
      </c>
      <c r="I12" s="61" t="s">
        <v>782</v>
      </c>
      <c r="J12" s="62" t="s">
        <v>783</v>
      </c>
      <c r="K12" s="129" t="str">
        <f t="shared" si="2"/>
        <v xml:space="preserve">[ROLE] Friendly tutor specializing in Python | [TOPIC] Append dynamic query strings to endpoint URLs by passing a Python dictionary to the params argument in httpx requests | [LEVEL] Beginner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Python - HTTPX | 📊 Level: Beginner | 🌐 Coding5s.com
**Concept:** Passing URL Query Parameters (params dictionary)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Append dynamic query strings to endpoint URLs by passing a Python dictionary to the params argument in httpx requests. Topic details: Passing URL Query Parameters (params dictionary)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Python - HTTPX | 📊 Level: Beginner
**Topic:** Append dynamic query strings to endpoint URLs by passing a Python dictionary to the params argument in httpx requests
---
 | [FOOTER RULE - STRICT] End your response with: '--- ⚡ *Coding5s Mentor System — Eliminating Epistemic Debt*' | </v>
      </c>
      <c r="M12" s="52">
        <v>0</v>
      </c>
      <c r="N12" s="102" t="str">
        <f t="shared" si="4"/>
        <v>[ROLE] Careless Python Developer | [TASK] Generate debugging challenges in Python | | [TOPIC] Append dynamic query strings to endpoint URLs by passing a Python dictionary to the params argument in httpx requests | | [LEVEL] Beginner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2 🐛 Debug | Python - HTTPX | 📊 Level: Beginner | 🌐 Coding5s.com
Concept: Passing URL Query Parameters (params dictionary)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Append dynamic query strings to endpoint URLs by passing a Python dictionary to the params argument in httpx requests. Topic details: Passing URL Query Parameters (params dictionary)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Python - HTTPX | 📊 Level: Beginner
**Topic:** Append dynamic query strings to endpoint URLs by passing a Python dictionary to the params argument in httpx requests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Python script challenges | [TOPIC] Append dynamic query strings to endpoint URLs by passing a Python dictionary to the params argument in httpx requests | [LEVEL] Beginner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3 🧩 Complete | Python - HTTPX | 📊 Level: Beginner | 🌐 Coding5s.com
**Concept:** Passing URL Query Parameters (params dictionary)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Append dynamic query strings to endpoint URLs by passing a Python dictionary to the params argument in httpx requests.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Append dynamic query strings to endpoint URLs by passing a Python dictionary to the params argument in httpx requests. Topic details: Passing URL Query Parameters (params dictionary)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Python - HTTPX | 📊 Level: Beginner
**Topic:** Append dynamic query strings to endpoint URLs by passing a Python dictionary to the params argument in httpx requests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Append dynamic query strings to endpoint URLs by passing a Python dictionary to the params argument in httpx requests | [LEVEL] Beginner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Python - HTTPX | 📊 Level: Beginner | 🌐 Coding5s.com
**Concept:** Passing URL Query Parameters (params dictionary)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Append dynamic query strings to endpoint URLs by passing a Python dictionary to the params argument in httpx requests. Topic details: Passing URL Query Parameters (params dictionary)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Python - HTTPX | 📊 Level: Beginner
**Topic:** Append dynamic query strings to endpoint URLs by passing a Python dictionary to the params argument in httpx requests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Python Jira Ticket | [TASK] Provide a guided implementation exercise with full solution for learning purposes | [TOPIC] Append dynamic query strings to endpoint URLs by passing a Python dictionary to the params argument in httpx requests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Python - HTTPX | 📊 Level: Beginner | 🌐 Coding5s.com
**Concept:** Passing URL Query Parameters (params dictionary)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Append dynamic query strings to endpoint URLs by passing a Python dictionary to the params argument in httpx requests. Goal: Passing URL Query Parameters (params dictionary)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Python - HTTPX | 📊 Level: Beginner
**Topic:** Append dynamic query strings to endpoint URLs by passing a Python dictionary to the params argument in httpx requests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8</v>
      </c>
      <c r="D13" s="46">
        <v>3</v>
      </c>
      <c r="E13" s="58" t="s">
        <v>46</v>
      </c>
      <c r="F13" s="48">
        <v>5</v>
      </c>
      <c r="G13" s="49" t="s">
        <v>47</v>
      </c>
      <c r="H13" s="49" t="s">
        <v>48</v>
      </c>
      <c r="I13" s="50" t="s">
        <v>784</v>
      </c>
      <c r="J13" s="51" t="s">
        <v>785</v>
      </c>
      <c r="K13" s="129" t="str">
        <f t="shared" si="2"/>
        <v xml:space="preserve">[ROLE] Friendly tutor specializing in Python | [TOPIC] Inspect HTTP response metadata by accessing the .headers, .url, and .encoding attributes of an httpx response object to understand server configurations | [LEVEL] Beginner | [COUNT] 3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Python - HTTPX | 📊 Level: Beginner | 🌐 Coding5s.com
**Concept:** Inspecting Response Metadata (.headers, .url, .encoding)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HTTP response metadata by accessing the .headers, .url, and .encoding attributes of an httpx response object to understand server configurations. Topic details: Inspecting Response Metadata (.headers, .url, .encoding)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Python - HTTPX | 📊 Level: Beginner
**Topic:** Inspect HTTP response metadata by accessing the .headers, .url, and .encoding attributes of an httpx response object to understand server configurations
---
 | [FOOTER RULE - STRICT] End your response with: '--- ⚡ *Coding5s Mentor System — Eliminating Epistemic Debt*' | </v>
      </c>
      <c r="M13" s="52">
        <v>0</v>
      </c>
      <c r="N13" s="102" t="str">
        <f t="shared" si="4"/>
        <v>[ROLE] Careless Python Developer | [TASK] Generate debugging challenges in Python | | [TOPIC] Inspect HTTP response metadata by accessing the .headers, .url, and .encoding attributes of an httpx response object to understand server configurations | | [LEVEL] Beginner |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2 🐛 Debug | Python - HTTPX | 📊 Level: Beginner | 🌐 Coding5s.com
Concept: Inspecting Response Metadata (.headers, .url, .encoding)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HTTP response metadata by accessing the .headers, .url, and .encoding attributes of an httpx response object to understand server configurations. Topic details: Inspecting Response Metadata (.headers, .url, .encoding)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Python - HTTPX | 📊 Level: Beginner
**Topic:** Inspect HTTP response metadata by accessing the .headers, .url, and .encoding attributes of an httpx response object to understand server configurations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Python script challenges | [TOPIC] Inspect HTTP response metadata by accessing the .headers, .url, and .encoding attributes of an httpx response object to understand server configurations | [LEVEL] Beginner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3 🧩 Complete | Python - HTTPX | 📊 Level: Beginner | 🌐 Coding5s.com
**Concept:** Inspecting Response Metadata (.headers, .url, .encoding)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HTTP response metadata by accessing the .headers, .url, and .encoding attributes of an httpx response object to understand server configurations.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HTTP response metadata by accessing the .headers, .url, and .encoding attributes of an httpx response object to understand server configurations. Topic details: Inspecting Response Metadata (.headers, .url, .encoding)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Python - HTTPX | 📊 Level: Beginner
**Topic:** Inspect HTTP response metadata by accessing the .headers, .url, and .encoding attributes of an httpx response object to understand server configurations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Inspect HTTP response metadata by accessing the .headers, .url, and .encoding attributes of an httpx response object to understand server configurations | [LEVEL] Beginner | [COUNT] 3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Python - HTTPX | 📊 Level: Beginner | 🌐 Coding5s.com
**Concept:** Inspecting Response Metadata (.headers, .url, .encoding)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Inspect HTTP response metadata by accessing the .headers, .url, and .encoding attributes of an httpx response object to understand server configurations. Topic details: Inspecting Response Metadata (.headers, .url, .encoding)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Python - HTTPX | 📊 Level: Beginner
**Topic:** Inspect HTTP response metadata by accessing the .headers, .url, and .encoding attributes of an httpx response object to understand server configurations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Python Jira Ticket | [TASK] Provide a guided implementation exercise with full solution for learning purposes | [TOPIC] Inspect HTTP response metadata by accessing the .headers, .url, and .encoding attributes of an httpx response object to understand server configurations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Python - HTTPX | 📊 Level: Beginner | 🌐 Coding5s.com
**Concept:** Inspecting Response Metadata (.headers, .url, .encoding)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HTTP response metadata by accessing the .headers, .url, and .encoding attributes of an httpx response object to understand server configurations. Goal: Inspecting Response Metadata (.headers, .url, .encoding)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Python - HTTPX | 📊 Level: Beginner
**Topic:** Inspect HTTP response metadata by accessing the .headers, .url, and .encoding attributes of an httpx response object to understand server configurations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xml:space="preserve">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v>
      </c>
      <c r="B14" s="45">
        <f t="shared" si="1"/>
        <v>1</v>
      </c>
      <c r="C14" s="95" t="s">
        <v>786</v>
      </c>
      <c r="D14" s="57">
        <v>0</v>
      </c>
      <c r="E14" s="58" t="s">
        <v>708</v>
      </c>
      <c r="F14" s="59">
        <v>6</v>
      </c>
      <c r="G14" s="60" t="s">
        <v>47</v>
      </c>
      <c r="H14" s="60" t="s">
        <v>77</v>
      </c>
      <c r="I14" s="61" t="s">
        <v>787</v>
      </c>
      <c r="J14" s="62" t="s">
        <v>788</v>
      </c>
      <c r="K14" s="129" t="str">
        <f t="shared" si="2"/>
        <v>[TASK] Teach through a practical Python - HTTPX project following the micro-learning methodology, acting as a supportive tutor, creating a project about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 | Stage 1 | Python - HTTPX | 📊 Level: Beginner | 🌐 Coding5s.com
**Project:** Project 1: Simple API Data Fetcher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4"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simple API data fetcher using httpx that takes a public REST endpoint as input, processes basic GET requests to retrieve JSON data, and outputs formatted textual information to the user. Topics applied in this project: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Project objective: Project 1: Simple API Data Fetcher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 | Practice | Python - HTTPX | 📊 Level: Beginner
**Project:** Build a simple API data fetcher using httpx that takes a public REST endpoint as input, processes basic GET requests to retrieve JSON data, and outputs formatted textual information to the user
---
 | [FOOTER RULE - STRICT] End your response with: '--- ⚡ *Coding5s Mentor System — Eliminating Epistemic Debt*' | </v>
      </c>
      <c r="M14" s="52">
        <v>0</v>
      </c>
      <c r="N14" s="102" t="str">
        <f t="shared" si="4"/>
        <v>[ROLE] Careless Python Developer | [TASK] Generate debugging project in Python | [PROJECT]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[OUTPUT] Only header, dataset summary or statement (if any), email intro, objective, expected output, broken code, and footer | [HEADER RULE - STRICT] You MUST start your entire response EXACTLY with this markdown block (do not print anything before it):
### 🚀 Project #6 | Stage 2 | Python - HTTPX | 📊 Level: Beginner | 🌐 Coding5s.com
Project: Project 1: Simple API Data Fetcher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Mam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simple API data fetcher using httpx that takes a public REST endpoint as input, processes basic GET requests to retrieve JSON data, and outputs formatted textual information to the user. Topics involved: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Project objective: Project 1: Simple API Data Fetcher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 | Debug | Python - HTTPX | 📊 Level: Beginner
**Project:** Build a simple API data fetcher using httpx that takes a public REST endpoint as input, processes basic GET requests to retrieve JSON data, and outputs formatted textual information to the user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project script | [PROJECT]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 | Stage 3 | Python - HTTPX | 📊 Level: Beginner | 🌐 Coding5s.com
**Project:** Project 1: Simple API Data Fetcher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simple API data fetcher using httpx that takes a public REST endpoint as input, processes basic GET requests to retrieve JSON data, and outputs formatted textual information to the user. Topics involved: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Project objective: Project 1: Simple API Data Fetcher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 | Complete | Python - HTTPX | 📊 Level: Beginner
**Project:** Build a simple API data fetcher using httpx that takes a public REST endpoint as input, processes basic GET requests to retrieve JSON data, and outputs formatted textual information to the user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a messy but functional project for refactoring | [PROJECT]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[PERSONA RULE] Act as a Tech Lead. A junior wrote this working but messy code. Tone: professional but exhausted | [HEADER RULE - STRICT] You MUST start your entire response EXACTLY with this markdown block (do not print anything before it):
### 🚀 Project #6 | Stage 4 | Python - HTTPX | 📊 Level: Beginner | 🌐 Coding5s.com
**Project:** Project 1: Simple API Data Fetcher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simple API data fetcher using httpx that takes a public REST endpoint as input, processes basic GET requests to retrieve JSON data, and outputs formatted textual information to the user. Topics involved: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Project objective: Project 1: Simple API Data Fetcher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 | Refactor | Python - HTTPX | 📊 Level: Beginner
**Project:** Build a simple API data fetcher using httpx that takes a public REST endpoint as input, processes basic GET requests to retrieve JSON data, and outputs formatted textual information to the user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Python Jira Ticket | [TASK] Provide a guided project implementation with full solution | [PROJECT]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 | Stage 5 | Python - HTTPX | 📊 Level: Beginner | 🌐 Coding5s.com
**Project:** Project 1: Simple API Data Fetcher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simple API data fetcher using httpx that takes a public REST endpoint as input, processes basic GET requests to retrieve JSON data, and outputs formatted textual information to the user. Topics integrated: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Business Goal: Project 1: Simple API Data Fetcher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 | Extend | Python - HTTPX | 📊 Level: Beginner
**Project:** Build a simple API data fetcher using httpx that takes a public REST endpoint as input, processes basic GET requests to retrieve JSON data, and outputs formatted textual information to the user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[TASK] Teach through a practical Python - HTTPX project following the micro-learning methodology, acting as a supportive tutor, creating a project about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 | Stage 1 | Python - HTTPX | 📊 Level: Beginner | 🌐 Coding5s.com
**Project:** Project 1: Simple API Data Fetcher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4" s="56" t="str">
        <f t="shared" si="13"/>
        <v>[ROLE] Careless Python Developer | [TASK] Generate debugging project in Python | [PROJECT]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[OUTPUT] Only header, dataset summary or statement (if any), email intro, objective, expected output, broken code, and footer | [HEADER RULE - STRICT] You MUST start your entire response EXACTLY with this markdown block (do not print anything before it):
### 🚀 Project #6 | Stage 2 | Python - HTTPX | 📊 Level: Beginner | 🌐 Coding5s.com
Project: Project 1: Simple API Data Fetcher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Mam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4" s="56" t="str">
        <f t="shared" si="14"/>
        <v>[ROLE] Tech Lead | [TASK] Assign incomplete project script | [PROJECT]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 | Stage 3 | Python - HTTPX | 📊 Level: Beginner | 🌐 Coding5s.com
**Project:** Project 1: Simple API Data Fetcher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4" s="56" t="str">
        <f t="shared" si="15"/>
        <v>[ROLE] Tech Lead | [TASK] Provide a messy but functional project for refactoring | [PROJECT]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[PERSONA RULE] Act as a Tech Lead. A junior wrote this working but messy code. Tone: professional but exhausted | [HEADER RULE - STRICT] You MUST start your entire response EXACTLY with this markdown block (do not print anything before it):
### 🚀 Project #6 | Stage 4 | Python - HTTPX | 📊 Level: Beginner | 🌐 Coding5s.com
**Project:** Project 1: Simple API Data Fetcher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4" s="56" t="str">
        <f t="shared" si="16"/>
        <v>[ROLE] Tech Product Manager assigning a Python Jira Ticket | [TASK] Provide a guided project implementation with full solution | [PROJECT]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 | Stage 5 | Python - HTTPX | 📊 Level: Beginner | 🌐 Coding5s.com
**Project:** Project 1: Simple API Data Fetcher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2</v>
      </c>
      <c r="C15" s="95">
        <v>8</v>
      </c>
      <c r="D15" s="46">
        <v>3</v>
      </c>
      <c r="E15" s="58" t="s">
        <v>46</v>
      </c>
      <c r="F15" s="48">
        <v>7</v>
      </c>
      <c r="G15" s="49" t="s">
        <v>47</v>
      </c>
      <c r="H15" s="49" t="s">
        <v>48</v>
      </c>
      <c r="I15" s="50" t="s">
        <v>789</v>
      </c>
      <c r="J15" s="51" t="s">
        <v>790</v>
      </c>
      <c r="K15" s="129" t="str">
        <f t="shared" si="2"/>
        <v xml:space="preserve">[ROLE] Friendly tutor specializing in Python | [TOPIC] Load environment variables securely for httpx scripts by implementing python-dotenv functions like load_dotenv and os.getenv to protect sensitive API credentials | [LEVEL] Beginner | [COUNT] 3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Python - HTTPX | 📊 Level: Beginner | 🌐 Coding5s.com
**Concept:** Introduction to python-dotenv (load_dotenv, os.getenv)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Load environment variables securely for httpx scripts by implementing python-dotenv functions like load_dotenv and os.getenv to protect sensitive API credentials. Topic details: Introduction to python-dotenv (load_dotenv, os.getenv)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Python - HTTPX | 📊 Level: Beginner
**Topic:** Load environment variables securely for httpx scripts by implementing python-dotenv functions like load_dotenv and os.getenv to protect sensitive API credentials
---
 | [FOOTER RULE - STRICT] End your response with: '--- ⚡ *Coding5s Mentor System — Eliminating Epistemic Debt*' | </v>
      </c>
      <c r="M15" s="52">
        <v>0</v>
      </c>
      <c r="N15" s="102" t="str">
        <f t="shared" si="4"/>
        <v>[ROLE] Careless Python Developer | [TASK] Generate debugging challenges in Python | | [TOPIC] Load environment variables securely for httpx scripts by implementing python-dotenv functions like load_dotenv and os.getenv to protect sensitive API credentials | | [LEVEL] Beginner |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 | Stage 2 🐛 Debug | Python - HTTPX | 📊 Level: Beginner | 🌐 Coding5s.com
Concept: Introduction to python-dotenv (load_dotenv, os.getenv)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Load environment variables securely for httpx scripts by implementing python-dotenv functions like load_dotenv and os.getenv to protect sensitive API credentials. Topic details: Introduction to python-dotenv (load_dotenv, os.getenv)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Python - HTTPX | 📊 Level: Beginner
**Topic:** Load environment variables securely for httpx scripts by implementing python-dotenv functions like load_dotenv and os.getenv to protect sensitive API credentials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Python script challenges | [TOPIC] Load environment variables securely for httpx scripts by implementing python-dotenv functions like load_dotenv and os.getenv to protect sensitive API credentials | [LEVEL] Beginner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 | Stage 3 🧩 Complete | Python - HTTPX | 📊 Level: Beginner | 🌐 Coding5s.com
**Concept:** Introduction to python-dotenv (load_dotenv, os.getenv)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Load environment variables securely for httpx scripts by implementing python-dotenv functions like load_dotenv and os.getenv to protect sensitive API credentials.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Load environment variables securely for httpx scripts by implementing python-dotenv functions like load_dotenv and os.getenv to protect sensitive API credentials. Topic details: Introduction to python-dotenv (load_dotenv, os.getenv)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Python - HTTPX | 📊 Level: Beginner
**Topic:** Load environment variables securely for httpx scripts by implementing python-dotenv functions like load_dotenv and os.getenv to protect sensitive API credentials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Load environment variables securely for httpx scripts by implementing python-dotenv functions like load_dotenv and os.getenv to protect sensitive API credentials | [LEVEL] Beginner | [COUNT] 3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Python - HTTPX | 📊 Level: Beginner | 🌐 Coding5s.com
**Concept:** Introduction to python-dotenv (load_dotenv, os.getenv)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Load environment variables securely for httpx scripts by implementing python-dotenv functions like load_dotenv and os.getenv to protect sensitive API credentials. Topic details: Introduction to python-dotenv (load_dotenv, os.getenv)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Python - HTTPX | 📊 Level: Beginner
**Topic:** Load environment variables securely for httpx scripts by implementing python-dotenv functions like load_dotenv and os.getenv to protect sensitive API credentials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Python Jira Ticket | [TASK] Provide a guided implementation exercise with full solution for learning purposes | [TOPIC] Load environment variables securely for httpx scripts by implementing python-dotenv functions like load_dotenv and os.getenv to protect sensitive API credentials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Python - HTTPX | 📊 Level: Beginner | 🌐 Coding5s.com
**Concept:** Introduction to python-dotenv (load_dotenv, os.getenv)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Load environment variables securely for httpx scripts by implementing python-dotenv functions like load_dotenv and os.getenv to protect sensitive API credentials. Goal: Introduction to python-dotenv (load_dotenv, os.getenv)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Python - HTTPX | 📊 Level: Beginner
**Topic:** Load environment variables securely for httpx scripts by implementing python-dotenv functions like load_dotenv and os.getenv to protect sensitive API credentials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c>
      <c r="B16" s="45">
        <f t="shared" si="1"/>
        <v>2</v>
      </c>
      <c r="C16" s="95">
        <v>8</v>
      </c>
      <c r="D16" s="57">
        <v>4</v>
      </c>
      <c r="E16" s="58" t="s">
        <v>46</v>
      </c>
      <c r="F16" s="59">
        <v>8</v>
      </c>
      <c r="G16" s="60" t="s">
        <v>47</v>
      </c>
      <c r="H16" s="60" t="s">
        <v>48</v>
      </c>
      <c r="I16" s="61" t="s">
        <v>791</v>
      </c>
      <c r="J16" s="62" t="s">
        <v>792</v>
      </c>
      <c r="K16" s="129" t="str">
        <f t="shared" si="2"/>
        <v xml:space="preserve">[ROLE] Friendly tutor specializing in Python | [TOPIC] Customize HTTP request headers in httpx by passing a dictionary to the headers parameter to specify accepted content types or simulate specific browser user agents | [LEVEL] Beginner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 | Stage 1 📖 Practice | Python - HTTPX | 📊 Level: Beginner | 🌐 Coding5s.com
**Concept:** Customizing Request Headers (headers dictionary)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6"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Customize HTTP request headers in httpx by passing a dictionary to the headers parameter to specify accepted content types or simulate specific browser user agents. Topic details: Customizing Request Headers (headers dictionary)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 | Practice | Python - HTTPX | 📊 Level: Beginner
**Topic:** Customize HTTP request headers in httpx by passing a dictionary to the headers parameter to specify accepted content types or simulate specific browser user agents
---
 | [FOOTER RULE - STRICT] End your response with: '--- ⚡ *Coding5s Mentor System — Eliminating Epistemic Debt*' | </v>
      </c>
      <c r="M16" s="52">
        <v>0</v>
      </c>
      <c r="N16" s="102" t="str">
        <f t="shared" si="4"/>
        <v>[ROLE] Careless Python Developer | [TASK] Generate debugging challenges in Python | | [TOPIC] Customize HTTP request headers in httpx by passing a dictionary to the headers parameter to specify accepted content types or simulate specific browser user agents | | [LEVEL] Beginner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2 🐛 Debug | Python - HTTPX | 📊 Level: Beginner | 🌐 Coding5s.com
Concept: Customizing Request Headers (headers dictionary)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Customize HTTP request headers in httpx by passing a dictionary to the headers parameter to specify accepted content types or simulate specific browser user agents. Topic details: Customizing Request Headers (headers dictionary)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 | Debug | Python - HTTPX | 📊 Level: Beginner
**Topic:** Customize HTTP request headers in httpx by passing a dictionary to the headers parameter to specify accepted content types or simulate specific browser user agents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Python script challenges | [TOPIC] Customize HTTP request headers in httpx by passing a dictionary to the headers parameter to specify accepted content types or simulate specific browser user agents | [LEVEL] Beginner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3 🧩 Complete | Python - HTTPX | 📊 Level: Beginner | 🌐 Coding5s.com
**Concept:** Customizing Request Headers (headers dictionary)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Customize HTTP request headers in httpx by passing a dictionary to the headers parameter to specify accepted content types or simulate specific browser user agents.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Customize HTTP request headers in httpx by passing a dictionary to the headers parameter to specify accepted content types or simulate specific browser user agents. Topic details: Customizing Request Headers (headers dictionary)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 | Complete | Python - HTTPX | 📊 Level: Beginner
**Topic:** Customize HTTP request headers in httpx by passing a dictionary to the headers parameter to specify accepted content types or simulate specific browser user agents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intentionally messy but functional code for learning debugging and improvement | [TOPIC] Customize HTTP request headers in httpx by passing a dictionary to the headers parameter to specify accepted content types or simulate specific browser user agents | [LEVEL] Beginner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 | Stage 4 🧹 Refactor | Python - HTTPX | 📊 Level: Beginner | 🌐 Coding5s.com
**Concept:** Customizing Request Headers (headers dictionary)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Customize HTTP request headers in httpx by passing a dictionary to the headers parameter to specify accepted content types or simulate specific browser user agents. Topic details: Customizing Request Headers (headers dictionary)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 | Refactor | Python - HTTPX | 📊 Level: Beginner
**Topic:** Customize HTTP request headers in httpx by passing a dictionary to the headers parameter to specify accepted content types or simulate specific browser user agents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Python Jira Ticket | [TASK] Provide a guided implementation exercise with full solution for learning purposes | [TOPIC] Customize HTTP request headers in httpx by passing a dictionary to the headers parameter to specify accepted content types or simulate specific browser user agents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 | Stage 5 | Python - HTTPX | 📊 Level: Beginner | 🌐 Coding5s.com
**Concept:** Customizing Request Headers (headers dictionary)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Customize HTTP request headers in httpx by passing a dictionary to the headers parameter to specify accepted content types or simulate specific browser user agents. Goal: Customizing Request Headers (headers dictionary)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 | Extend | Python - HTTPX | 📊 Level: Beginner
**Topic:** Customize HTTP request headers in httpx by passing a dictionary to the headers parameter to specify accepted content types or simulate specific browser user agents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
      </c>
      <c r="AA16" s="56" t="str">
        <f t="shared" si="13"/>
        <v/>
      </c>
      <c r="AB16" s="56" t="str">
        <f t="shared" si="14"/>
        <v/>
      </c>
      <c r="AC16" s="56" t="str">
        <f t="shared" si="15"/>
        <v/>
      </c>
      <c r="AD16" s="56" t="str">
        <f t="shared" si="16"/>
        <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8</v>
      </c>
      <c r="D17" s="46">
        <v>3</v>
      </c>
      <c r="E17" s="58" t="s">
        <v>46</v>
      </c>
      <c r="F17" s="48">
        <v>9</v>
      </c>
      <c r="G17" s="49" t="s">
        <v>47</v>
      </c>
      <c r="H17" s="49" t="s">
        <v>48</v>
      </c>
      <c r="I17" s="50" t="s">
        <v>793</v>
      </c>
      <c r="J17" s="51" t="s">
        <v>794</v>
      </c>
      <c r="K17" s="129" t="str">
        <f t="shared" si="2"/>
        <v xml:space="preserve">[ROLE] Friendly tutor specializing in Python | [TOPIC] Implement Basic Authentication in httpx requests by supplying a secure username and password tuple to the auth parameter to access protected endpoints | [LEVEL] Beginner | [COUNT] 3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Python - HTTPX | 📊 Level: Beginner | 🌐 Coding5s.com
**Concept:** Implementing Basic Authentication (auth tuple)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Basic Authentication in httpx requests by supplying a secure username and password tuple to the auth parameter to access protected endpoints. Topic details: Implementing Basic Authentication (auth tuple)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Python - HTTPX | 📊 Level: Beginner
**Topic:** Implement Basic Authentication in httpx requests by supplying a secure username and password tuple to the auth parameter to access protected endpoints
---
 | [FOOTER RULE - STRICT] End your response with: '--- ⚡ *Coding5s Mentor System — Eliminating Epistemic Debt*' | </v>
      </c>
      <c r="M17" s="53">
        <v>0</v>
      </c>
      <c r="N17" s="102" t="str">
        <f t="shared" si="4"/>
        <v>[ROLE] Careless Python Developer | [TASK] Generate debugging challenges in Python | | [TOPIC] Implement Basic Authentication in httpx requests by supplying a secure username and password tuple to the auth parameter to access protected endpoints | | [LEVEL] Beginner |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2 🐛 Debug | Python - HTTPX | 📊 Level: Beginner | 🌐 Coding5s.com
Concept: Implementing Basic Authentication (auth tuple)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Basic Authentication in httpx requests by supplying a secure username and password tuple to the auth parameter to access protected endpoints. Topic details: Implementing Basic Authentication (auth tuple)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Python - HTTPX | 📊 Level: Beginner
**Topic:** Implement Basic Authentication in httpx requests by supplying a secure username and password tuple to the auth parameter to access protected endpoints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Python script challenges | [TOPIC] Implement Basic Authentication in httpx requests by supplying a secure username and password tuple to the auth parameter to access protected endpoints | [LEVEL] Beginner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3 🧩 Complete | Python - HTTPX | 📊 Level: Beginner | 🌐 Coding5s.com
**Concept:** Implementing Basic Authentication (auth tuple)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Basic Authentication in httpx requests by supplying a secure username and password tuple to the auth parameter to access protected endpoints.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Basic Authentication in httpx requests by supplying a secure username and password tuple to the auth parameter to access protected endpoints. Topic details: Implementing Basic Authentication (auth tuple)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Python - HTTPX | 📊 Level: Beginner
**Topic:** Implement Basic Authentication in httpx requests by supplying a secure username and password tuple to the auth parameter to access protected endpoints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Implement Basic Authentication in httpx requests by supplying a secure username and password tuple to the auth parameter to access protected endpoints | [LEVEL] Beginner | [COUNT] 3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Python - HTTPX | 📊 Level: Beginner | 🌐 Coding5s.com
**Concept:** Implementing Basic Authentication (auth tuple)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Basic Authentication in httpx requests by supplying a secure username and password tuple to the auth parameter to access protected endpoints. Topic details: Implementing Basic Authentication (auth tuple)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Python - HTTPX | 📊 Level: Beginner
**Topic:** Implement Basic Authentication in httpx requests by supplying a secure username and password tuple to the auth parameter to access protected endpoints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Python Jira Ticket | [TASK] Provide a guided implementation exercise with full solution for learning purposes | [TOPIC] Implement Basic Authentication in httpx requests by supplying a secure username and password tuple to the auth parameter to access protected endpoints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Python - HTTPX | 📊 Level: Beginner | 🌐 Coding5s.com
**Concept:** Implementing Basic Authentication (auth tuple)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Basic Authentication in httpx requests by supplying a secure username and password tuple to the auth parameter to access protected endpoints. Goal: Implementing Basic Authentication (auth tuple)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Python - HTTPX | 📊 Level: Beginner
**Topic:** Implement Basic Authentication in httpx requests by supplying a secure username and password tuple to the auth parameter to access protected endpoints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8</v>
      </c>
      <c r="D18" s="57">
        <v>4</v>
      </c>
      <c r="E18" s="58" t="s">
        <v>46</v>
      </c>
      <c r="F18" s="59">
        <v>10</v>
      </c>
      <c r="G18" s="60" t="s">
        <v>47</v>
      </c>
      <c r="H18" s="60" t="s">
        <v>48</v>
      </c>
      <c r="I18" s="61" t="s">
        <v>795</v>
      </c>
      <c r="J18" s="62" t="s">
        <v>796</v>
      </c>
      <c r="K18" s="129" t="str">
        <f t="shared" si="2"/>
        <v xml:space="preserve">[ROLE] Friendly tutor specializing in Python | [TOPIC] Authenticate API requests using Bearer Tokens by manually injecting the authorization string into the custom headers dictionary within an httpx request payload | [LEVEL] Beginner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Python - HTTPX | 📊 Level: Beginner | 🌐 Coding5s.com
**Concept:** Implementing Bearer Token Authentication (via custom headers)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Authenticate API requests using Bearer Tokens by manually injecting the authorization string into the custom headers dictionary within an httpx request payload. Topic details: Implementing Bearer Token Authentication (via custom headers)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Python - HTTPX | 📊 Level: Beginner
**Topic:** Authenticate API requests using Bearer Tokens by manually injecting the authorization string into the custom headers dictionary within an httpx request payload
---
 | [FOOTER RULE - STRICT] End your response with: '--- ⚡ *Coding5s Mentor System — Eliminating Epistemic Debt*' | </v>
      </c>
      <c r="M18" s="52">
        <v>0</v>
      </c>
      <c r="N18" s="102" t="str">
        <f t="shared" si="4"/>
        <v>[ROLE] Careless Python Developer | [TASK] Generate debugging challenges in Python | | [TOPIC] Authenticate API requests using Bearer Tokens by manually injecting the authorization string into the custom headers dictionary within an httpx request payload | | [LEVEL] Beginner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2 🐛 Debug | Python - HTTPX | 📊 Level: Beginner | 🌐 Coding5s.com
Concept: Implementing Bearer Token Authentication (via custom headers)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Authenticate API requests using Bearer Tokens by manually injecting the authorization string into the custom headers dictionary within an httpx request payload. Topic details: Implementing Bearer Token Authentication (via custom headers)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Python - HTTPX | 📊 Level: Beginner
**Topic:** Authenticate API requests using Bearer Tokens by manually injecting the authorization string into the custom headers dictionary within an httpx request payload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Python script challenges | [TOPIC] Authenticate API requests using Bearer Tokens by manually injecting the authorization string into the custom headers dictionary within an httpx request payload | [LEVEL] Beginner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3 🧩 Complete | Python - HTTPX | 📊 Level: Beginner | 🌐 Coding5s.com
**Concept:** Implementing Bearer Token Authentication (via custom headers)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Authenticate API requests using Bearer Tokens by manually injecting the authorization string into the custom headers dictionary within an httpx request payload.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Authenticate API requests using Bearer Tokens by manually injecting the authorization string into the custom headers dictionary within an httpx request payload. Topic details: Implementing Bearer Token Authentication (via custom headers)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Python - HTTPX | 📊 Level: Beginner
**Topic:** Authenticate API requests using Bearer Tokens by manually injecting the authorization string into the custom headers dictionary within an httpx request payload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Authenticate API requests using Bearer Tokens by manually injecting the authorization string into the custom headers dictionary within an httpx request payload | [LEVEL] Beginner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Python - HTTPX | 📊 Level: Beginner | 🌐 Coding5s.com
**Concept:** Implementing Bearer Token Authentication (via custom headers)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Authenticate API requests using Bearer Tokens by manually injecting the authorization string into the custom headers dictionary within an httpx request payload. Topic details: Implementing Bearer Token Authentication (via custom headers)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Python - HTTPX | 📊 Level: Beginner
**Topic:** Authenticate API requests using Bearer Tokens by manually injecting the authorization string into the custom headers dictionary within an httpx request payload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Python Jira Ticket | [TASK] Provide a guided implementation exercise with full solution for learning purposes | [TOPIC] Authenticate API requests using Bearer Tokens by manually injecting the authorization string into the custom headers dictionary within an httpx request payload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Python - HTTPX | 📊 Level: Beginner | 🌐 Coding5s.com
**Concept:** Implementing Bearer Token Authentication (via custom headers)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Authenticate API requests using Bearer Tokens by manually injecting the authorization string into the custom headers dictionary within an httpx request payload. Goal: Implementing Bearer Token Authentication (via custom headers)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Python - HTTPX | 📊 Level: Beginner
**Topic:** Authenticate API requests using Bearer Tokens by manually injecting the authorization string into the custom headers dictionary within an httpx request payload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8</v>
      </c>
      <c r="D19" s="46">
        <v>4</v>
      </c>
      <c r="E19" s="58" t="s">
        <v>46</v>
      </c>
      <c r="F19" s="48">
        <v>11</v>
      </c>
      <c r="G19" s="49" t="s">
        <v>47</v>
      </c>
      <c r="H19" s="49" t="s">
        <v>48</v>
      </c>
      <c r="I19" s="50" t="s">
        <v>797</v>
      </c>
      <c r="J19" s="51" t="s">
        <v>798</v>
      </c>
      <c r="K19" s="129" t="str">
        <f t="shared" si="2"/>
        <v xml:space="preserve">[ROLE] Friendly tutor specializing in Python | [TOPIC] Handle HTTP error codes automatically by invoking the raise_for_status() method on an httpx response object to trigger Python exceptions for failed or rejected requests | [LEVEL] Beginner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Python - HTTPX | 📊 Level: Beginner | 🌐 Coding5s.com
**Concept:** Handling HTTP Errors Automatically (raise_for_status())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Handle HTTP error codes automatically by invoking the raise_for_status() method on an httpx response object to trigger Python exceptions for failed or rejected requests. Topic details: Handling HTTP Errors Automatically (raise_for_status())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Python - HTTPX | 📊 Level: Beginner
**Topic:** Handle HTTP error codes automatically by invoking the raise_for_status() method on an httpx response object to trigger Python exceptions for failed or rejected requests
---
 | [FOOTER RULE - STRICT] End your response with: '--- ⚡ *Coding5s Mentor System — Eliminating Epistemic Debt*' | </v>
      </c>
      <c r="M19" s="53">
        <v>0</v>
      </c>
      <c r="N19" s="102" t="str">
        <f t="shared" si="4"/>
        <v>[ROLE] Careless Python Developer | [TASK] Generate debugging challenges in Python | | [TOPIC] Handle HTTP error codes automatically by invoking the raise_for_status() method on an httpx response object to trigger Python exceptions for failed or rejected requests | | [LEVEL] Beginner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2 🐛 Debug | Python - HTTPX | 📊 Level: Beginner | 🌐 Coding5s.com
Concept: Handling HTTP Errors Automatically (raise_for_status())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Handle HTTP error codes automatically by invoking the raise_for_status() method on an httpx response object to trigger Python exceptions for failed or rejected requests. Topic details: Handling HTTP Errors Automatically (raise_for_status())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Python - HTTPX | 📊 Level: Beginner
**Topic:** Handle HTTP error codes automatically by invoking the raise_for_status() method on an httpx response object to trigger Python exceptions for failed or rejected requests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Python script challenges | [TOPIC] Handle HTTP error codes automatically by invoking the raise_for_status() method on an httpx response object to trigger Python exceptions for failed or rejected requests | [LEVEL] Beginner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3 🧩 Complete | Python - HTTPX | 📊 Level: Beginner | 🌐 Coding5s.com
**Concept:** Handling HTTP Errors Automatically (raise_for_status())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Handle HTTP error codes automatically by invoking the raise_for_status() method on an httpx response object to trigger Python exceptions for failed or rejected requests.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Handle HTTP error codes automatically by invoking the raise_for_status() method on an httpx response object to trigger Python exceptions for failed or rejected requests. Topic details: Handling HTTP Errors Automatically (raise_for_status())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Python - HTTPX | 📊 Level: Beginner
**Topic:** Handle HTTP error codes automatically by invoking the raise_for_status() method on an httpx response object to trigger Python exceptions for failed or rejected requests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Handle HTTP error codes automatically by invoking the raise_for_status() method on an httpx response object to trigger Python exceptions for failed or rejected requests | [LEVEL] Beginner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Python - HTTPX | 📊 Level: Beginner | 🌐 Coding5s.com
**Concept:** Handling HTTP Errors Automatically (raise_for_status())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Handle HTTP error codes automatically by invoking the raise_for_status() method on an httpx response object to trigger Python exceptions for failed or rejected requests. Topic details: Handling HTTP Errors Automatically (raise_for_status())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Python - HTTPX | 📊 Level: Beginner
**Topic:** Handle HTTP error codes automatically by invoking the raise_for_status() method on an httpx response object to trigger Python exceptions for failed or rejected requests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Python Jira Ticket | [TASK] Provide a guided implementation exercise with full solution for learning purposes | [TOPIC] Handle HTTP error codes automatically by invoking the raise_for_status() method on an httpx response object to trigger Python exceptions for failed or rejected requests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Python - HTTPX | 📊 Level: Beginner | 🌐 Coding5s.com
**Concept:** Handling HTTP Errors Automatically (raise_for_status())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Handle HTTP error codes automatically by invoking the raise_for_status() method on an httpx response object to trigger Python exceptions for failed or rejected requests. Goal: Handling HTTP Errors Automatically (raise_for_status())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Python - HTTPX | 📊 Level: Beginner
**Topic:** Handle HTTP error codes automatically by invoking the raise_for_status() method on an httpx response object to trigger Python exceptions for failed or rejected requests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xml:space="preserve">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v>
      </c>
      <c r="B20" s="45">
        <f t="shared" si="1"/>
        <v>2</v>
      </c>
      <c r="C20" s="95" t="s">
        <v>786</v>
      </c>
      <c r="D20" s="57">
        <v>0</v>
      </c>
      <c r="E20" s="58" t="s">
        <v>708</v>
      </c>
      <c r="F20" s="59">
        <v>12</v>
      </c>
      <c r="G20" s="60" t="s">
        <v>47</v>
      </c>
      <c r="H20" s="60" t="s">
        <v>77</v>
      </c>
      <c r="I20" s="61" t="s">
        <v>799</v>
      </c>
      <c r="J20" s="62" t="s">
        <v>800</v>
      </c>
      <c r="K20" s="129" t="str">
        <f t="shared" si="2"/>
        <v>[TASK] Teach through a practical Python - HTTPX project following the micro-learning methodology, acting as a supportive tutor, creating a project about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#12 | Stage 1 | Python - HTTPX | 📊 Level: Beginner | 🌐 Coding5s.com
**Project:** Project 2: Secure API Client (Dotenv, Auth, Headers)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0"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secure API client that takes hidden API keys loaded via dotenv as input, processes secure httpx requests using customized headers and authentication protocols, and outputs verified data from protected endpoints. Topics applied in this project: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Project objective: Project 2: Secure API Client (Dotenv, Auth, Headers)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#12 | Practice | Python - HTTPX | 📊 Level: Beginner
**Project:** Build a secure API client that takes hidden API keys loaded via dotenv as input, processes secure httpx requests using customized headers and authentication protocols, and outputs verified data from protected endpoints
---
 | [FOOTER RULE - STRICT] End your response with: '--- ⚡ *Coding5s Mentor System — Eliminating Epistemic Debt*' | </v>
      </c>
      <c r="M20" s="52">
        <v>0</v>
      </c>
      <c r="N20" s="102" t="str">
        <f t="shared" si="4"/>
        <v>[ROLE] Careless Python Developer | [TASK] Generate debugging project in Python | [PROJECT]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[OUTPUT] Only header, dataset summary or statement (if any), email intro, objective, expected output, broken code, and footer | [HEADER RULE - STRICT] You MUST start your entire response EXACTLY with this markdown block (do not print anything before it):
### 🚀 Project #12 | Stage 2 | Python - HTTPX | 📊 Level: Beginner | 🌐 Coding5s.com
Project: Project 2: Secure API Client (Dotenv, Auth, Headers)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Mapudungun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secure API client that takes hidden API keys loaded via dotenv as input, processes secure httpx requests using customized headers and authentication protocols, and outputs verified data from protected endpoints. Topics involved: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Project objective: Project 2: Secure API Client (Dotenv, Auth, Headers)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#12 | Debug | Python - HTTPX | 📊 Level: Beginner
**Project:** Build a secure API client that takes hidden API keys loaded via dotenv as input, processes secure httpx requests using customized headers and authentication protocols, and outputs verified data from protected endpoints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project script | [PROJECT]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#12 | Stage 3 | Python - HTTPX | 📊 Level: Beginner | 🌐 Coding5s.com
**Project:** Project 2: Secure API Client (Dotenv, Auth, Headers)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secure API client that takes hidden API keys loaded via dotenv as input, processes secure httpx requests using customized headers and authentication protocols, and outputs verified data from protected endpoints. Topics involved: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Project objective: Project 2: Secure API Client (Dotenv, Auth, Headers)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#12 | Complete | Python - HTTPX | 📊 Level: Beginner
**Project:** Build a secure API client that takes hidden API keys loaded via dotenv as input, processes secure httpx requests using customized headers and authentication protocols, and outputs verified data from protected endpoints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a messy but functional project for refactoring | [PROJECT]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[PERSONA RULE] Act as a Tech Lead. A junior wrote this working but messy code. Tone: professional but exhausted | [HEADER RULE - STRICT] You MUST start your entire response EXACTLY with this markdown block (do not print anything before it):
### 🚀 Project #12 | Stage 4 | Python - HTTPX | 📊 Level: Beginner | 🌐 Coding5s.com
**Project:** Project 2: Secure API Client (Dotenv, Auth, Headers)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secure API client that takes hidden API keys loaded via dotenv as input, processes secure httpx requests using customized headers and authentication protocols, and outputs verified data from protected endpoints. Topics involved: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Project objective: Project 2: Secure API Client (Dotenv, Auth, Headers)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#12 | Refactor | Python - HTTPX | 📊 Level: Beginner
**Project:** Build a secure API client that takes hidden API keys loaded via dotenv as input, processes secure httpx requests using customized headers and authentication protocols, and outputs verified data from protected endpoints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Python Jira Ticket | [TASK] Provide a guided project implementation with full solution | [PROJECT]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#12 | Stage 5 | Python - HTTPX | 📊 Level: Beginner | 🌐 Coding5s.com
**Project:** Project 2: Secure API Client (Dotenv, Auth, Headers)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secure API client that takes hidden API keys loaded via dotenv as input, processes secure httpx requests using customized headers and authentication protocols, and outputs verified data from protected endpoints. Topics integrated: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Business Goal: Project 2: Secure API Client (Dotenv, Auth, Headers)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#12 | Extend | Python - HTTPX | 📊 Level: Beginner
**Project:** Build a secure API client that takes hidden API keys loaded via dotenv as input, processes secure httpx requests using customized headers and authentication protocols, and outputs verified data from protected endpoints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[TASK] Teach through a practical Python - HTTPX project following the micro-learning methodology, acting as a supportive tutor, creating a project about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#12 | Stage 1 | Python - HTTPX | 📊 Level: Beginner | 🌐 Coding5s.com
**Project:** Project 2: Secure API Client (Dotenv, Auth, Headers)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0" s="56" t="str">
        <f t="shared" si="13"/>
        <v>[ROLE] Careless Python Developer | [TASK] Generate debugging project in Python | [PROJECT]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[OUTPUT] Only header, dataset summary or statement (if any), email intro, objective, expected output, broken code, and footer | [HEADER RULE - STRICT] You MUST start your entire response EXACTLY with this markdown block (do not print anything before it):
### 🚀 Project #12 | Stage 2 | Python - HTTPX | 📊 Level: Beginner | 🌐 Coding5s.com
Project: Project 2: Secure API Client (Dotenv, Auth, Headers)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Mapudungun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0" s="56" t="str">
        <f t="shared" si="14"/>
        <v>[ROLE] Tech Lead | [TASK] Assign incomplete project script | [PROJECT]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#12 | Stage 3 | Python - HTTPX | 📊 Level: Beginner | 🌐 Coding5s.com
**Project:** Project 2: Secure API Client (Dotenv, Auth, Headers)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0" s="56" t="str">
        <f t="shared" si="15"/>
        <v>[ROLE] Tech Lead | [TASK] Provide a messy but functional project for refactoring | [PROJECT]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[PERSONA RULE] Act as a Tech Lead. A junior wrote this working but messy code. Tone: professional but exhausted | [HEADER RULE - STRICT] You MUST start your entire response EXACTLY with this markdown block (do not print anything before it):
### 🚀 Project #12 | Stage 4 | Python - HTTPX | 📊 Level: Beginner | 🌐 Coding5s.com
**Project:** Project 2: Secure API Client (Dotenv, Auth, Headers)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0" s="56" t="str">
        <f t="shared" si="16"/>
        <v>[ROLE] Tech Product Manager assigning a Python Jira Ticket | [TASK] Provide a guided project implementation with full solution | [PROJECT]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#12 | Stage 5 | Python - HTTPX | 📊 Level: Beginner | 🌐 Coding5s.com
**Project:** Project 2: Secure API Client (Dotenv, Auth, Headers)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3</v>
      </c>
      <c r="C21" s="95">
        <v>10</v>
      </c>
      <c r="D21" s="46">
        <v>4</v>
      </c>
      <c r="E21" s="58" t="s">
        <v>46</v>
      </c>
      <c r="F21" s="48">
        <v>13</v>
      </c>
      <c r="G21" s="49" t="s">
        <v>158</v>
      </c>
      <c r="H21" s="49" t="s">
        <v>48</v>
      </c>
      <c r="I21" s="50" t="s">
        <v>801</v>
      </c>
      <c r="J21" s="51" t="s">
        <v>802</v>
      </c>
      <c r="K21" s="129" t="str">
        <f t="shared" si="2"/>
        <v xml:space="preserve">[ROLE] Friendly tutor specializing in Python | [TOPIC] Transmit form-encoded data to remote servers by executing POST requests with httpx.post and passing a formatted Python dictionary to the data parameter | [LEVEL] Intermediate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Python - HTTPX | 📊 Level: Intermediate | 🌐 Coding5s.com
**Concept:** Sending Form-Encoded Data with POST (data parameter)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Transmit form-encoded data to remote servers by executing POST requests with httpx.post and passing a formatted Python dictionary to the data parameter. Topic details: Sending Form-Encoded Data with POST (data parameter)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Python - HTTPX | 📊 Level: Intermediate
**Topic:** Transmit form-encoded data to remote servers by executing POST requests with httpx.post and passing a formatted Python dictionary to the data parameter
---
 | [FOOTER RULE - STRICT] End your response with: '--- ⚡ *Coding5s Mentor System — Eliminating Epistemic Debt*' | </v>
      </c>
      <c r="M21" s="53">
        <v>0</v>
      </c>
      <c r="N21" s="102" t="str">
        <f t="shared" si="4"/>
        <v>[ROLE] Careless Python Developer | [TASK] Generate debugging challenges in Python | | [TOPIC] Transmit form-encoded data to remote servers by executing POST requests with httpx.post and passing a formatted Python dictionary to the data parameter | | [LEVEL] Intermediate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2 🐛 Debug | Python - HTTPX | 📊 Level: Intermediate | 🌐 Coding5s.com
Concept: Sending Form-Encoded Data with POST (data parameter)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Transmit form-encoded data to remote servers by executing POST requests with httpx.post and passing a formatted Python dictionary to the data parameter. Topic details: Sending Form-Encoded Data with POST (data parameter)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Python - HTTPX | 📊 Level: Intermediate
**Topic:** Transmit form-encoded data to remote servers by executing POST requests with httpx.post and passing a formatted Python dictionary to the data parameter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Python script challenges | [TOPIC] Transmit form-encoded data to remote servers by executing POST requests with httpx.post and passing a formatted Python dictionary to the data parameter | [LEVEL] Intermediate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3 🧩 Complete | Python - HTTPX | 📊 Level: Intermediate | 🌐 Coding5s.com
**Concept:** Sending Form-Encoded Data with POST (data parameter)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Transmit form-encoded data to remote servers by executing POST requests with httpx.post and passing a formatted Python dictionary to the data parameter.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Transmit form-encoded data to remote servers by executing POST requests with httpx.post and passing a formatted Python dictionary to the data parameter. Topic details: Sending Form-Encoded Data with POST (data parameter)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Python - HTTPX | 📊 Level: Intermediate
**Topic:** Transmit form-encoded data to remote servers by executing POST requests with httpx.post and passing a formatted Python dictionary to the data parameter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Transmit form-encoded data to remote servers by executing POST requests with httpx.post and passing a formatted Python dictionary to the data parameter | [LEVEL] Intermediate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Python - HTTPX | 📊 Level: Intermediate | 🌐 Coding5s.com
**Concept:** Sending Form-Encoded Data with POST (data parameter)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Transmit form-encoded data to remote servers by executing POST requests with httpx.post and passing a formatted Python dictionary to the data parameter. Topic details: Sending Form-Encoded Data with POST (data parameter)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Python - HTTPX | 📊 Level: Intermediate
**Topic:** Transmit form-encoded data to remote servers by executing POST requests with httpx.post and passing a formatted Python dictionary to the data parameter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Python Jira Ticket | [TASK] Provide a guided implementation exercise with full solution for learning purposes | [TOPIC] Transmit form-encoded data to remote servers by executing POST requests with httpx.post and passing a formatted Python dictionary to the data parameter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Python - HTTPX | 📊 Level: Intermediate | 🌐 Coding5s.com
**Concept:** Sending Form-Encoded Data with POST (data parameter)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Transmit form-encoded data to remote servers by executing POST requests with httpx.post and passing a formatted Python dictionary to the data parameter. Goal: Sending Form-Encoded Data with POST (data parameter)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Python - HTTPX | 📊 Level: Intermediate
**Topic:** Transmit form-encoded data to remote servers by executing POST requests with httpx.post and passing a formatted Python dictionary to the data parameter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3</v>
      </c>
      <c r="C22" s="95">
        <v>10</v>
      </c>
      <c r="D22" s="57">
        <v>4</v>
      </c>
      <c r="E22" s="58" t="s">
        <v>46</v>
      </c>
      <c r="F22" s="59">
        <v>14</v>
      </c>
      <c r="G22" s="60" t="s">
        <v>158</v>
      </c>
      <c r="H22" s="60" t="s">
        <v>48</v>
      </c>
      <c r="I22" s="61" t="s">
        <v>803</v>
      </c>
      <c r="J22" s="62" t="s">
        <v>804</v>
      </c>
      <c r="K22" s="129" t="str">
        <f t="shared" si="2"/>
        <v xml:space="preserve">[ROLE] Friendly tutor specializing in Python | [TOPIC] Send structured JSON payloads to RESTful APIs by utilizing the json parameter in httpx.post requests to automatically serialize Python dictionaries and set correct headers | [LEVEL] Intermediate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Python - HTTPX | 📊 Level: Intermediate | 🌐 Coding5s.com
**Concept:** Sending JSON Data with POST (json parameter)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Send structured JSON payloads to RESTful APIs by utilizing the json parameter in httpx.post requests to automatically serialize Python dictionaries and set correct headers. Topic details: Sending JSON Data with POST (json parameter)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Python - HTTPX | 📊 Level: Intermediate
**Topic:** Send structured JSON payloads to RESTful APIs by utilizing the json parameter in httpx.post requests to automatically serialize Python dictionaries and set correct headers
---
 | [FOOTER RULE - STRICT] End your response with: '--- ⚡ *Coding5s Mentor System — Eliminating Epistemic Debt*' | </v>
      </c>
      <c r="M22" s="52">
        <v>0</v>
      </c>
      <c r="N22" s="102" t="str">
        <f t="shared" si="4"/>
        <v>[ROLE] Careless Python Developer | [TASK] Generate debugging challenges in Python | | [TOPIC] Send structured JSON payloads to RESTful APIs by utilizing the json parameter in httpx.post requests to automatically serialize Python dictionaries and set correct headers | | [LEVEL] Intermediate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2 🐛 Debug | Python - HTTPX | 📊 Level: Intermediate | 🌐 Coding5s.com
Concept: Sending JSON Data with POST (json parameter)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Send structured JSON payloads to RESTful APIs by utilizing the json parameter in httpx.post requests to automatically serialize Python dictionaries and set correct headers. Topic details: Sending JSON Data with POST (json parameter)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Python - HTTPX | 📊 Level: Intermediate
**Topic:** Send structured JSON payloads to RESTful APIs by utilizing the json parameter in httpx.post requests to automatically serialize Python dictionaries and set correct headers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Python script challenges | [TOPIC] Send structured JSON payloads to RESTful APIs by utilizing the json parameter in httpx.post requests to automatically serialize Python dictionaries and set correct headers | [LEVEL] Intermediate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3 🧩 Complete | Python - HTTPX | 📊 Level: Intermediate | 🌐 Coding5s.com
**Concept:** Sending JSON Data with POST (json parameter)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Send structured JSON payloads to RESTful APIs by utilizing the json parameter in httpx.post requests to automatically serialize Python dictionaries and set correct headers.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Send structured JSON payloads to RESTful APIs by utilizing the json parameter in httpx.post requests to automatically serialize Python dictionaries and set correct headers. Topic details: Sending JSON Data with POST (json parameter)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Python - HTTPX | 📊 Level: Intermediate
**Topic:** Send structured JSON payloads to RESTful APIs by utilizing the json parameter in httpx.post requests to automatically serialize Python dictionaries and set correct headers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Send structured JSON payloads to RESTful APIs by utilizing the json parameter in httpx.post requests to automatically serialize Python dictionaries and set correct headers | [LEVEL] Intermediate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Python - HTTPX | 📊 Level: Intermediate | 🌐 Coding5s.com
**Concept:** Sending JSON Data with POST (json parameter)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Send structured JSON payloads to RESTful APIs by utilizing the json parameter in httpx.post requests to automatically serialize Python dictionaries and set correct headers. Topic details: Sending JSON Data with POST (json parameter)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Python - HTTPX | 📊 Level: Intermediate
**Topic:** Send structured JSON payloads to RESTful APIs by utilizing the json parameter in httpx.post requests to automatically serialize Python dictionaries and set correct headers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Python Jira Ticket | [TASK] Provide a guided implementation exercise with full solution for learning purposes | [TOPIC] Send structured JSON payloads to RESTful APIs by utilizing the json parameter in httpx.post requests to automatically serialize Python dictionaries and set correct headers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Python - HTTPX | 📊 Level: Intermediate | 🌐 Coding5s.com
**Concept:** Sending JSON Data with POST (json parameter)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Send structured JSON payloads to RESTful APIs by utilizing the json parameter in httpx.post requests to automatically serialize Python dictionaries and set correct headers. Goal: Sending JSON Data with POST (json parameter)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Python - HTTPX | 📊 Level: Intermediate
**Topic:** Send structured JSON payloads to RESTful APIs by utilizing the json parameter in httpx.post requests to automatically serialize Python dictionaries and set correct headers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3</v>
      </c>
      <c r="C23" s="95">
        <v>12</v>
      </c>
      <c r="D23" s="46">
        <v>5</v>
      </c>
      <c r="E23" s="58" t="s">
        <v>46</v>
      </c>
      <c r="F23" s="48">
        <v>15</v>
      </c>
      <c r="G23" s="49" t="s">
        <v>158</v>
      </c>
      <c r="H23" s="49" t="s">
        <v>48</v>
      </c>
      <c r="I23" s="50" t="s">
        <v>805</v>
      </c>
      <c r="J23" s="51" t="s">
        <v>806</v>
      </c>
      <c r="K23" s="129" t="str">
        <f t="shared" si="2"/>
        <v xml:space="preserve">[ROLE] Friendly tutor specializing in Python | [TOPIC] Manipulate server-side resources by executing httpx.put, httpx.patch, and httpx.delete HTTP methods to update, modify, or permanently remove API data records | [LEVEL] Intermediate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Python - HTTPX | 📊 Level: Intermediate | 🌐 Coding5s.com
**Concept:** Modifying and Deleting Resources (requests.put, .patch, .delete)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server-side resources by executing httpx.put, httpx.patch, and httpx.delete HTTP methods to update, modify, or permanently remove API data records. Topic details: Modifying and Deleting Resources (requests.put, .patch, .delete)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Python - HTTPX | 📊 Level: Intermediate
**Topic:** Manipulate server-side resources by executing httpx.put, httpx.patch, and httpx.delete HTTP methods to update, modify, or permanently remove API data records
---
 | [FOOTER RULE - STRICT] End your response with: '--- ⚡ *Coding5s Mentor System — Eliminating Epistemic Debt*' | </v>
      </c>
      <c r="M23" s="53">
        <v>0</v>
      </c>
      <c r="N23" s="102" t="str">
        <f t="shared" si="4"/>
        <v>[ROLE] Careless Python Developer | [TASK] Generate debugging challenges in Python | | [TOPIC] Manipulate server-side resources by executing httpx.put, httpx.patch, and httpx.delete HTTP methods to update, modify, or permanently remove API data records | | [LEVEL] Intermediate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2 🐛 Debug | Python - HTTPX | 📊 Level: Intermediate | 🌐 Coding5s.com
Concept: Modifying and Deleting Resources (requests.put, .patch, .delete)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server-side resources by executing httpx.put, httpx.patch, and httpx.delete HTTP methods to update, modify, or permanently remove API data records. Topic details: Modifying and Deleting Resources (requests.put, .patch, .delete)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Python - HTTPX | 📊 Level: Intermediate
**Topic:** Manipulate server-side resources by executing httpx.put, httpx.patch, and httpx.delete HTTP methods to update, modify, or permanently remove API data records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Python script challenges | [TOPIC] Manipulate server-side resources by executing httpx.put, httpx.patch, and httpx.delete HTTP methods to update, modify, or permanently remove API data records | [LEVEL] Intermediate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3 🧩 Complete | Python - HTTPX | 📊 Level: Intermediate | 🌐 Coding5s.com
**Concept:** Modifying and Deleting Resources (requests.put, .patch, .delete)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server-side resources by executing httpx.put, httpx.patch, and httpx.delete HTTP methods to update, modify, or permanently remove API data records.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server-side resources by executing httpx.put, httpx.patch, and httpx.delete HTTP methods to update, modify, or permanently remove API data records. Topic details: Modifying and Deleting Resources (requests.put, .patch, .delete)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Python - HTTPX | 📊 Level: Intermediate
**Topic:** Manipulate server-side resources by executing httpx.put, httpx.patch, and httpx.delete HTTP methods to update, modify, or permanently remove API data records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Manipulate server-side resources by executing httpx.put, httpx.patch, and httpx.delete HTTP methods to update, modify, or permanently remove API data records | [LEVEL] Intermediate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Python - HTTPX | 📊 Level: Intermediate | 🌐 Coding5s.com
**Concept:** Modifying and Deleting Resources (requests.put, .patch, .delete)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Manipulate server-side resources by executing httpx.put, httpx.patch, and httpx.delete HTTP methods to update, modify, or permanently remove API data records. Topic details: Modifying and Deleting Resources (requests.put, .patch, .delete)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Python - HTTPX | 📊 Level: Intermediate
**Topic:** Manipulate server-side resources by executing httpx.put, httpx.patch, and httpx.delete HTTP methods to update, modify, or permanently remove API data records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Python Jira Ticket | [TASK] Provide a guided implementation exercise with full solution for learning purposes | [TOPIC] Manipulate server-side resources by executing httpx.put, httpx.patch, and httpx.delete HTTP methods to update, modify, or permanently remove API data records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Python - HTTPX | 📊 Level: Intermediate | 🌐 Coding5s.com
**Concept:** Modifying and Deleting Resources (requests.put, .patch, .delete)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server-side resources by executing httpx.put, httpx.patch, and httpx.delete HTTP methods to update, modify, or permanently remove API data records. Goal: Modifying and Deleting Resources (requests.put, .patch, .delete)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Python - HTTPX | 📊 Level: Intermediate
**Topic:** Manipulate server-side resources by executing httpx.put, httpx.patch, and httpx.delete HTTP methods to update, modify, or permanently remove API data records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c>
      <c r="B24" s="45">
        <f t="shared" si="1"/>
        <v>3</v>
      </c>
      <c r="C24" s="95">
        <v>8</v>
      </c>
      <c r="D24" s="57">
        <v>4</v>
      </c>
      <c r="E24" s="58" t="s">
        <v>46</v>
      </c>
      <c r="F24" s="59">
        <v>16</v>
      </c>
      <c r="G24" s="60" t="s">
        <v>158</v>
      </c>
      <c r="H24" s="60" t="s">
        <v>48</v>
      </c>
      <c r="I24" s="61" t="s">
        <v>807</v>
      </c>
      <c r="J24" s="62" t="s">
        <v>808</v>
      </c>
      <c r="K24" s="129" t="str">
        <f t="shared" si="2"/>
        <v xml:space="preserve">[ROLE] Friendly tutor specializing in Python | [TOPIC] Debug outgoing HTTP traffic by inspecting the .request.headers and .request.content attributes of a completed httpx response to verify the exact payload transmitted to the server | [LEVEL] Intermediate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#16 | Stage 1 📖 Practice | Python - HTTPX | 📊 Level: Intermediate | 🌐 Coding5s.com
**Concept:** Inspecting the Prepared Request (response.request.headers, .body)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4"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Debug outgoing HTTP traffic by inspecting the .request.headers and .request.content attributes of a completed httpx response to verify the exact payload transmitted to the server. Topic details: Inspecting the Prepared Request (response.request.headers, .body)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#16 | Practice | Python - HTTPX | 📊 Level: Intermediate
**Topic:** Debug outgoing HTTP traffic by inspecting the .request.headers and .request.content attributes of a completed httpx response to verify the exact payload transmitted to the server
---
 | [FOOTER RULE - STRICT] End your response with: '--- ⚡ *Coding5s Mentor System — Eliminating Epistemic Debt*' | </v>
      </c>
      <c r="M24" s="52">
        <v>0</v>
      </c>
      <c r="N24" s="102" t="str">
        <f t="shared" si="4"/>
        <v>[ROLE] Careless Python Developer | [TASK] Generate debugging challenges in Python | | [TOPIC] Debug outgoing HTTP traffic by inspecting the .request.headers and .request.content attributes of a completed httpx response to verify the exact payload transmitted to the server | | [LEVEL] Intermediate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2 🐛 Debug | Python - HTTPX | 📊 Level: Intermediate | 🌐 Coding5s.com
Concept: Inspecting the Prepared Request (response.request.headers, .body)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Debug outgoing HTTP traffic by inspecting the .request.headers and .request.content attributes of a completed httpx response to verify the exact payload transmitted to the server. Topic details: Inspecting the Prepared Request (response.request.headers, .body)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#16 | Debug | Python - HTTPX | 📊 Level: Intermediate
**Topic:** Debug outgoing HTTP traffic by inspecting the .request.headers and .request.content attributes of a completed httpx response to verify the exact payload transmitted to the server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Python script challenges | [TOPIC] Debug outgoing HTTP traffic by inspecting the .request.headers and .request.content attributes of a completed httpx response to verify the exact payload transmitted to the server | [LEVEL] Intermediate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3 🧩 Complete | Python - HTTPX | 📊 Level: Intermediate | 🌐 Coding5s.com
**Concept:** Inspecting the Prepared Request (response.request.headers, .body)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Debug outgoing HTTP traffic by inspecting the .request.headers and .request.content attributes of a completed httpx response to verify the exact payload transmitted to the server.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Debug outgoing HTTP traffic by inspecting the .request.headers and .request.content attributes of a completed httpx response to verify the exact payload transmitted to the server. Topic details: Inspecting the Prepared Request (response.request.headers, .body)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#16 | Complete | Python - HTTPX | 📊 Level: Intermediate
**Topic:** Debug outgoing HTTP traffic by inspecting the .request.headers and .request.content attributes of a completed httpx response to verify the exact payload transmitted to the server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intentionally messy but functional code for learning debugging and improvement | [TOPIC] Debug outgoing HTTP traffic by inspecting the .request.headers and .request.content attributes of a completed httpx response to verify the exact payload transmitted to the server | [LEVEL] Intermediate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#16 | Stage 4 🧹 Refactor | Python - HTTPX | 📊 Level: Intermediate | 🌐 Coding5s.com
**Concept:** Inspecting the Prepared Request (response.request.headers, .body)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Debug outgoing HTTP traffic by inspecting the .request.headers and .request.content attributes of a completed httpx response to verify the exact payload transmitted to the server. Topic details: Inspecting the Prepared Request (response.request.headers, .body)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#16 | Refactor | Python - HTTPX | 📊 Level: Intermediate
**Topic:** Debug outgoing HTTP traffic by inspecting the .request.headers and .request.content attributes of a completed httpx response to verify the exact payload transmitted to the server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Python Jira Ticket | [TASK] Provide a guided implementation exercise with full solution for learning purposes | [TOPIC] Debug outgoing HTTP traffic by inspecting the .request.headers and .request.content attributes of a completed httpx response to verify the exact payload transmitted to the server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#16 | Stage 5 | Python - HTTPX | 📊 Level: Intermediate | 🌐 Coding5s.com
**Concept:** Inspecting the Prepared Request (response.request.headers, .body)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Debug outgoing HTTP traffic by inspecting the .request.headers and .request.content attributes of a completed httpx response to verify the exact payload transmitted to the server. Goal: Inspecting the Prepared Request (response.request.headers, .body)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#16 | Extend | Python - HTTPX | 📊 Level: Intermediate
**Topic:** Debug outgoing HTTP traffic by inspecting the .request.headers and .request.content attributes of a completed httpx response to verify the exact payload transmitted to the server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
      </c>
      <c r="AA24" s="56" t="str">
        <f t="shared" si="13"/>
        <v/>
      </c>
      <c r="AB24" s="56" t="str">
        <f t="shared" si="14"/>
        <v/>
      </c>
      <c r="AC24" s="56" t="str">
        <f t="shared" si="15"/>
        <v/>
      </c>
      <c r="AD24" s="56" t="str">
        <f t="shared" si="16"/>
        <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3</v>
      </c>
      <c r="C25" s="95">
        <v>10</v>
      </c>
      <c r="D25" s="46">
        <v>3</v>
      </c>
      <c r="E25" s="58" t="s">
        <v>46</v>
      </c>
      <c r="F25" s="48">
        <v>17</v>
      </c>
      <c r="G25" s="49" t="s">
        <v>158</v>
      </c>
      <c r="H25" s="49" t="s">
        <v>48</v>
      </c>
      <c r="I25" s="50" t="s">
        <v>809</v>
      </c>
      <c r="J25" s="51" t="s">
        <v>810</v>
      </c>
      <c r="K25" s="129" t="str">
        <f t="shared" si="2"/>
        <v xml:space="preserve">[ROLE] Friendly tutor specializing in Python | [TOPIC] Enforce strict network constraints by configuring the timeout parameter in httpx requests to prevent hanging connections and ensure predictable application execution times | [LEVEL] Intermediate | [COUNT] 3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Python - HTTPX | 📊 Level: Intermediate | 🌐 Coding5s.com
**Concept:** Enforcing Request Timeouts (timeout parameter)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Enforce strict network constraints by configuring the timeout parameter in httpx requests to prevent hanging connections and ensure predictable application execution times. Topic details: Enforcing Request Timeouts (timeout parameter)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Python - HTTPX | 📊 Level: Intermediate
**Topic:** Enforce strict network constraints by configuring the timeout parameter in httpx requests to prevent hanging connections and ensure predictable application execution times
---
 | [FOOTER RULE - STRICT] End your response with: '--- ⚡ *Coding5s Mentor System — Eliminating Epistemic Debt*' | </v>
      </c>
      <c r="M25" s="53">
        <v>0</v>
      </c>
      <c r="N25" s="102" t="str">
        <f t="shared" si="4"/>
        <v>[ROLE] Careless Python Developer | [TASK] Generate debugging challenges in Python | | [TOPIC] Enforce strict network constraints by configuring the timeout parameter in httpx requests to prevent hanging connections and ensure predictable application execution times | | [LEVEL] Intermediate |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2 🐛 Debug | Python - HTTPX | 📊 Level: Intermediate | 🌐 Coding5s.com
Concept: Enforcing Request Timeouts (timeout parameter)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Enforce strict network constraints by configuring the timeout parameter in httpx requests to prevent hanging connections and ensure predictable application execution times. Topic details: Enforcing Request Timeouts (timeout parameter)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Python - HTTPX | 📊 Level: Intermediate
**Topic:** Enforce strict network constraints by configuring the timeout parameter in httpx requests to prevent hanging connections and ensure predictable application execution times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Python script challenges | [TOPIC] Enforce strict network constraints by configuring the timeout parameter in httpx requests to prevent hanging connections and ensure predictable application execution times | [LEVEL] Intermediate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3 🧩 Complete | Python - HTTPX | 📊 Level: Intermediate | 🌐 Coding5s.com
**Concept:** Enforcing Request Timeouts (timeout parameter)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Enforce strict network constraints by configuring the timeout parameter in httpx requests to prevent hanging connections and ensure predictable application execution times.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Enforce strict network constraints by configuring the timeout parameter in httpx requests to prevent hanging connections and ensure predictable application execution times. Topic details: Enforcing Request Timeouts (timeout parameter)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Python - HTTPX | 📊 Level: Intermediate
**Topic:** Enforce strict network constraints by configuring the timeout parameter in httpx requests to prevent hanging connections and ensure predictable application execution times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intentionally messy but functional code for learning debugging and improvement | [TOPIC] Enforce strict network constraints by configuring the timeout parameter in httpx requests to prevent hanging connections and ensure predictable application execution times | [LEVEL] Intermediate | [COUNT] 3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Python - HTTPX | 📊 Level: Intermediate | 🌐 Coding5s.com
**Concept:** Enforcing Request Timeouts (timeout parameter)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Enforce strict network constraints by configuring the timeout parameter in httpx requests to prevent hanging connections and ensure predictable application execution times. Topic details: Enforcing Request Timeouts (timeout parameter)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Python - HTTPX | 📊 Level: Intermediate
**Topic:** Enforce strict network constraints by configuring the timeout parameter in httpx requests to prevent hanging connections and ensure predictable application execution times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Python Jira Ticket | [TASK] Provide a guided implementation exercise with full solution for learning purposes | [TOPIC] Enforce strict network constraints by configuring the timeout parameter in httpx requests to prevent hanging connections and ensure predictable application execution times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Python - HTTPX | 📊 Level: Intermediate | 🌐 Coding5s.com
**Concept:** Enforcing Request Timeouts (timeout parameter)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Enforce strict network constraints by configuring the timeout parameter in httpx requests to prevent hanging connections and ensure predictable application execution times. Goal: Enforcing Request Timeouts (timeout parameter)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Python - HTTPX | 📊 Level: Intermediate
**Topic:** Enforce strict network constraints by configuring the timeout parameter in httpx requests to prevent hanging connections and ensure predictable application execution times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5">
        <v>8</v>
      </c>
      <c r="D26" s="57">
        <v>5</v>
      </c>
      <c r="E26" s="58" t="s">
        <v>46</v>
      </c>
      <c r="F26" s="59">
        <v>18</v>
      </c>
      <c r="G26" s="60" t="s">
        <v>158</v>
      </c>
      <c r="H26" s="60" t="s">
        <v>48</v>
      </c>
      <c r="I26" s="61" t="s">
        <v>811</v>
      </c>
      <c r="J26" s="62" t="s">
        <v>812</v>
      </c>
      <c r="K26" s="129" t="str">
        <f t="shared" si="2"/>
        <v xml:space="preserve">[ROLE] Friendly tutor specializing in Python | [TOPIC] Implement robust error handling by wrapping httpx client calls in try-except blocks to gracefully catch and log specific network exceptions such as httpx.TimeoutException and httpx.RequestError | [LEVEL] Intermediate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Python - HTTPX | 📊 Level: Intermediate | 🌐 Coding5s.com
**Concept:** Catching Network Exceptions (Timeout, ConnectionError, RequestException)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robust error handling by wrapping httpx client calls in try-except blocks to gracefully catch and log specific network exceptions such as httpx.TimeoutException and httpx.RequestError. Topic details: Catching Network Exceptions (Timeout, ConnectionError, RequestException)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Python - HTTPX | 📊 Level: Intermediate
**Topic:** Implement robust error handling by wrapping httpx client calls in try-except blocks to gracefully catch and log specific network exceptions such as httpx.TimeoutException and httpx.RequestError
---
 | [FOOTER RULE - STRICT] End your response with: '--- ⚡ *Coding5s Mentor System — Eliminating Epistemic Debt*' | </v>
      </c>
      <c r="M26" s="52">
        <v>0</v>
      </c>
      <c r="N26" s="102" t="str">
        <f t="shared" si="4"/>
        <v>[ROLE] Careless Python Developer | [TASK] Generate debugging challenges in Python | | [TOPIC] Implement robust error handling by wrapping httpx client calls in try-except blocks to gracefully catch and log specific network exceptions such as httpx.TimeoutException and httpx.RequestError | | [LEVEL] Intermediate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2 🐛 Debug | Python - HTTPX | 📊 Level: Intermediate | 🌐 Coding5s.com
Concept: Catching Network Exceptions (Timeout, ConnectionError, RequestException)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robust error handling by wrapping httpx client calls in try-except blocks to gracefully catch and log specific network exceptions such as httpx.TimeoutException and httpx.RequestError. Topic details: Catching Network Exceptions (Timeout, ConnectionError, RequestException)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Python - HTTPX | 📊 Level: Intermediate
**Topic:** Implement robust error handling by wrapping httpx client calls in try-except blocks to gracefully catch and log specific network exceptions such as httpx.TimeoutException and httpx.RequestError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Python script challenges | [TOPIC] Implement robust error handling by wrapping httpx client calls in try-except blocks to gracefully catch and log specific network exceptions such as httpx.TimeoutException and httpx.RequestError | [LEVEL] Intermediate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3 🧩 Complete | Python - HTTPX | 📊 Level: Intermediate | 🌐 Coding5s.com
**Concept:** Catching Network Exceptions (Timeout, ConnectionError, RequestException)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robust error handling by wrapping httpx client calls in try-except blocks to gracefully catch and log specific network exceptions such as httpx.TimeoutException and httpx.RequestError.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robust error handling by wrapping httpx client calls in try-except blocks to gracefully catch and log specific network exceptions such as httpx.TimeoutException and httpx.RequestError. Topic details: Catching Network Exceptions (Timeout, ConnectionError, RequestException)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Python - HTTPX | 📊 Level: Intermediate
**Topic:** Implement robust error handling by wrapping httpx client calls in try-except blocks to gracefully catch and log specific network exceptions such as httpx.TimeoutException and httpx.RequestError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intentionally messy but functional code for learning debugging and improvement | [TOPIC] Implement robust error handling by wrapping httpx client calls in try-except blocks to gracefully catch and log specific network exceptions such as httpx.TimeoutException and httpx.RequestError | [LEVEL] Intermediate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Python - HTTPX | 📊 Level: Intermediate | 🌐 Coding5s.com
**Concept:** Catching Network Exceptions (Timeout, ConnectionError, RequestException)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robust error handling by wrapping httpx client calls in try-except blocks to gracefully catch and log specific network exceptions such as httpx.TimeoutException and httpx.RequestError. Topic details: Catching Network Exceptions (Timeout, ConnectionError, RequestException)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Python - HTTPX | 📊 Level: Intermediate
**Topic:** Implement robust error handling by wrapping httpx client calls in try-except blocks to gracefully catch and log specific network exceptions such as httpx.TimeoutException and httpx.RequestError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Python Jira Ticket | [TASK] Provide a guided implementation exercise with full solution for learning purposes | [TOPIC] Implement robust error handling by wrapping httpx client calls in try-except blocks to gracefully catch and log specific network exceptions such as httpx.TimeoutException and httpx.RequestError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Python - HTTPX | 📊 Level: Intermediate | 🌐 Coding5s.com
**Concept:** Catching Network Exceptions (Timeout, ConnectionError, RequestException)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robust error handling by wrapping httpx client calls in try-except blocks to gracefully catch and log specific network exceptions such as httpx.TimeoutException and httpx.RequestError. Goal: Catching Network Exceptions (Timeout, ConnectionError, RequestException)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Python - HTTPX | 📊 Level: Intermediate
**Topic:** Implement robust error handling by wrapping httpx client calls in try-except blocks to gracefully catch and log specific network exceptions such as httpx.TimeoutException and httpx.RequestError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10</v>
      </c>
      <c r="D27" s="46">
        <v>4</v>
      </c>
      <c r="E27" s="58" t="s">
        <v>708</v>
      </c>
      <c r="F27" s="48">
        <v>19</v>
      </c>
      <c r="G27" s="49" t="s">
        <v>158</v>
      </c>
      <c r="H27" s="49" t="s">
        <v>48</v>
      </c>
      <c r="I27" s="50" t="s">
        <v>813</v>
      </c>
      <c r="J27" s="51" t="s">
        <v>814</v>
      </c>
      <c r="K27" s="129" t="str">
        <f t="shared" si="2"/>
        <v xml:space="preserve">[ROLE] Friendly tutor specializing in Python | [TOPIC] Extract comprehensive datasets across multiple API pages by implementing while loops alongside httpx requests to systematically parse and follow pagination cursors or next-page link headers | [LEVEL] Intermediate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Python - HTTPX | 📊 Level: Intermediate | 🌐 Coding5s.com
**Concept:** Handling API Pagination (While loops, next cursors/links)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comprehensive datasets across multiple API pages by implementing while loops alongside httpx requests to systematically parse and follow pagination cursors or next-page link headers. Topic details: Handling API Pagination (While loops, next cursors/links)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Python - HTTPX | 📊 Level: Intermediate
**Topic:** Extract comprehensive datasets across multiple API pages by implementing while loops alongside httpx requests to systematically parse and follow pagination cursors or next-page link headers
---
 | [FOOTER RULE - STRICT] End your response with: '--- ⚡ *Coding5s Mentor System — Eliminating Epistemic Debt*' | </v>
      </c>
      <c r="M27" s="53">
        <v>0</v>
      </c>
      <c r="N27" s="102" t="str">
        <f t="shared" si="4"/>
        <v>[ROLE] Careless Python Developer | [TASK] Generate debugging challenges in Python | | [TOPIC] Extract comprehensive datasets across multiple API pages by implementing while loops alongside httpx requests to systematically parse and follow pagination cursors or next-page link headers | | [LEVEL] Intermediate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2 🐛 Debug | Python - HTTPX | 📊 Level: Intermediate | 🌐 Coding5s.com
Concept: Handling API Pagination (While loops, next cursors/links)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comprehensive datasets across multiple API pages by implementing while loops alongside httpx requests to systematically parse and follow pagination cursors or next-page link headers. Topic details: Handling API Pagination (While loops, next cursors/links)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Python - HTTPX | 📊 Level: Intermediate
**Topic:** Extract comprehensive datasets across multiple API pages by implementing while loops alongside httpx requests to systematically parse and follow pagination cursors or next-page link headers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Python script challenges | [TOPIC] Extract comprehensive datasets across multiple API pages by implementing while loops alongside httpx requests to systematically parse and follow pagination cursors or next-page link headers | [LEVEL] Intermediate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3 🧩 Complete | Python - HTTPX | 📊 Level: Intermediate | 🌐 Coding5s.com
**Concept:** Handling API Pagination (While loops, next cursors/links)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comprehensive datasets across multiple API pages by implementing while loops alongside httpx requests to systematically parse and follow pagination cursors or next-page link headers.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comprehensive datasets across multiple API pages by implementing while loops alongside httpx requests to systematically parse and follow pagination cursors or next-page link headers. Topic details: Handling API Pagination (While loops, next cursors/links)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Python - HTTPX | 📊 Level: Intermediate
**Topic:** Extract comprehensive datasets across multiple API pages by implementing while loops alongside httpx requests to systematically parse and follow pagination cursors or next-page link headers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Extract comprehensive datasets across multiple API pages by implementing while loops alongside httpx requests to systematically parse and follow pagination cursors or next-page link headers | [LEVEL] Intermediate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Python - HTTPX | 📊 Level: Intermediate | 🌐 Coding5s.com
**Concept:** Handling API Pagination (While loops, next cursors/links)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comprehensive datasets across multiple API pages by implementing while loops alongside httpx requests to systematically parse and follow pagination cursors or next-page link headers. Topic details: Handling API Pagination (While loops, next cursors/links)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Python - HTTPX | 📊 Level: Intermediate
**Topic:** Extract comprehensive datasets across multiple API pages by implementing while loops alongside httpx requests to systematically parse and follow pagination cursors or next-page link headers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Python Jira Ticket | [TASK] Provide a guided implementation exercise with full solution for learning purposes | [TOPIC] Extract comprehensive datasets across multiple API pages by implementing while loops alongside httpx requests to systematically parse and follow pagination cursors or next-page link headers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Python - HTTPX | 📊 Level: Intermediate | 🌐 Coding5s.com
**Concept:** Handling API Pagination (While loops, next cursors/links)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comprehensive datasets across multiple API pages by implementing while loops alongside httpx requests to systematically parse and follow pagination cursors or next-page link headers. Goal: Handling API Pagination (While loops, next cursors/links)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Python - HTTPX | 📊 Level: Intermediate
**Topic:** Extract comprehensive datasets across multiple API pages by implementing while loops alongside httpx requests to systematically parse and follow pagination cursors or next-page link headers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xml:space="preserve">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v>
      </c>
      <c r="B28" s="45">
        <f t="shared" si="1"/>
        <v>3</v>
      </c>
      <c r="C28" s="95" t="s">
        <v>786</v>
      </c>
      <c r="D28" s="57">
        <v>0</v>
      </c>
      <c r="E28" s="58" t="s">
        <v>708</v>
      </c>
      <c r="F28" s="59">
        <v>20</v>
      </c>
      <c r="G28" s="60" t="s">
        <v>158</v>
      </c>
      <c r="H28" s="60" t="s">
        <v>77</v>
      </c>
      <c r="I28" s="61" t="s">
        <v>815</v>
      </c>
      <c r="J28" s="62" t="s">
        <v>816</v>
      </c>
      <c r="K28" s="129" t="str">
        <f t="shared" si="2"/>
        <v>[TASK] Teach through a practical Python - HTTPX project following the micro-learning methodology, acting as a supportive tutor, creating a project about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#20 | Stage 1 | Python - HTTPX | 📊 Level: Intermediate | 🌐 Coding5s.com
**Project:** Project 3: Complete CRUD Manager with Pagination &amp; Timeouts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8"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complete CRUD manager application that takes user terminal commands as input, processes data modifications across paginated API endpoints using secure httpx methods with strict network timeouts, and outputs execution status confirmations for each operation. Topics applied in this project: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Project objective: Project 3: Complete CRUD Manager with Pagination &amp; Timeouts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#20 | Practice | Python - HTTPX | 📊 Level: Intermediate
**Project:** Build a complete CRUD manager application that takes user terminal commands as input, processes data modifications across paginated API endpoints using secure httpx methods with strict network timeouts, and outputs execution status confirmations for each operation
---
 | [FOOTER RULE - STRICT] End your response with: '--- ⚡ *Coding5s Mentor System — Eliminating Epistemic Debt*' | </v>
      </c>
      <c r="M28" s="52">
        <v>0</v>
      </c>
      <c r="N28" s="102" t="str">
        <f t="shared" si="4"/>
        <v>[ROLE] Careless Python Developer | [TASK] Generate debugging project in Python | [PROJECT]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[OUTPUT] Only header, dataset summary or statement (if any), email intro, objective, expected output, broken code, and footer | [HEADER RULE - STRICT] You MUST start your entire response EXACTLY with this markdown block (do not print anything before it):
### 🚀 Project #20 | Stage 2 | Python - HTTPX | 📊 Level: Intermediate | 🌐 Coding5s.com
Project: Project 3: Complete CRUD Manager with Pagination &amp; Timeouts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Amharic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complete CRUD manager application that takes user terminal commands as input, processes data modifications across paginated API endpoints using secure httpx methods with strict network timeouts, and outputs execution status confirmations for each operation. Topics involved: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Project objective: Project 3: Complete CRUD Manager with Pagination &amp; Timeouts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#20 | Debug | Python - HTTPX | 📊 Level: Intermediate
**Project:** Build a complete CRUD manager application that takes user terminal commands as input, processes data modifications across paginated API endpoints using secure httpx methods with strict network timeouts, and outputs execution status confirmations for each operation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project script | [PROJECT]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#20 | Stage 3 | Python - HTTPX | 📊 Level: Intermediate | 🌐 Coding5s.com
**Project:** Project 3: Complete CRUD Manager with Pagination &amp; Timeouts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complete CRUD manager application that takes user terminal commands as input, processes data modifications across paginated API endpoints using secure httpx methods with strict network timeouts, and outputs execution status confirmations for each operation. Topics involved: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Project objective: Project 3: Complete CRUD Manager with Pagination &amp; Timeouts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#20 | Complete | Python - HTTPX | 📊 Level: Intermediate
**Project:** Build a complete CRUD manager application that takes user terminal commands as input, processes data modifications across paginated API endpoints using secure httpx methods with strict network timeouts, and outputs execution status confirmations for each operation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a messy but functional project for refactoring | [PROJECT]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[PERSONA RULE] Act as a Tech Lead. A junior wrote this working but messy code. Tone: professional but exhausted | [HEADER RULE - STRICT] You MUST start your entire response EXACTLY with this markdown block (do not print anything before it):
### 🚀 Project #20 | Stage 4 | Python - HTTPX | 📊 Level: Intermediate | 🌐 Coding5s.com
**Project:** Project 3: Complete CRUD Manager with Pagination &amp; Timeouts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complete CRUD manager application that takes user terminal commands as input, processes data modifications across paginated API endpoints using secure httpx methods with strict network timeouts, and outputs execution status confirmations for each operation. Topics involved: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Project objective: Project 3: Complete CRUD Manager with Pagination &amp; Timeouts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#20 | Refactor | Python - HTTPX | 📊 Level: Intermediate
**Project:** Build a complete CRUD manager application that takes user terminal commands as input, processes data modifications across paginated API endpoints using secure httpx methods with strict network timeouts, and outputs execution status confirmations for each operation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Python Jira Ticket | [TASK] Provide a guided project implementation with full solution | [PROJECT]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#20 | Stage 5 | Python - HTTPX | 📊 Level: Intermediate | 🌐 Coding5s.com
**Project:** Project 3: Complete CRUD Manager with Pagination &amp; Timeouts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complete CRUD manager application that takes user terminal commands as input, processes data modifications across paginated API endpoints using secure httpx methods with strict network timeouts, and outputs execution status confirmations for each operation. Topics integrated: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Business Goal: Project 3: Complete CRUD Manager with Pagination &amp; Timeouts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#20 | Extend | Python - HTTPX | 📊 Level: Intermediate
**Project:** Build a complete CRUD manager application that takes user terminal commands as input, processes data modifications across paginated API endpoints using secure httpx methods with strict network timeouts, and outputs execution status confirmations for each operation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[TASK] Teach through a practical Python - HTTPX project following the micro-learning methodology, acting as a supportive tutor, creating a project about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#20 | Stage 1 | Python - HTTPX | 📊 Level: Intermediate | 🌐 Coding5s.com
**Project:** Project 3: Complete CRUD Manager with Pagination &amp; Timeouts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8" s="56" t="str">
        <f t="shared" si="13"/>
        <v>[ROLE] Careless Python Developer | [TASK] Generate debugging project in Python | [PROJECT]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[OUTPUT] Only header, dataset summary or statement (if any), email intro, objective, expected output, broken code, and footer | [HEADER RULE - STRICT] You MUST start your entire response EXACTLY with this markdown block (do not print anything before it):
### 🚀 Project #20 | Stage 2 | Python - HTTPX | 📊 Level: Intermediate | 🌐 Coding5s.com
Project: Project 3: Complete CRUD Manager with Pagination &amp; Timeouts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Amharic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8" s="56" t="str">
        <f t="shared" si="14"/>
        <v>[ROLE] Tech Lead | [TASK] Assign incomplete project script | [PROJECT]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#20 | Stage 3 | Python - HTTPX | 📊 Level: Intermediate | 🌐 Coding5s.com
**Project:** Project 3: Complete CRUD Manager with Pagination &amp; Timeouts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8" s="56" t="str">
        <f t="shared" si="15"/>
        <v>[ROLE] Tech Lead | [TASK] Provide a messy but functional project for refactoring | [PROJECT]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[PERSONA RULE] Act as a Tech Lead. A junior wrote this working but messy code. Tone: professional but exhausted | [HEADER RULE - STRICT] You MUST start your entire response EXACTLY with this markdown block (do not print anything before it):
### 🚀 Project #20 | Stage 4 | Python - HTTPX | 📊 Level: Intermediate | 🌐 Coding5s.com
**Project:** Project 3: Complete CRUD Manager with Pagination &amp; Timeouts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8" s="56" t="str">
        <f t="shared" si="16"/>
        <v>[ROLE] Tech Product Manager assigning a Python Jira Ticket | [TASK] Provide a guided project implementation with full solution | [PROJECT]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#20 | Stage 5 | Python - HTTPX | 📊 Level: Intermediate | 🌐 Coding5s.com
**Project:** Project 3: Complete CRUD Manager with Pagination &amp; Timeouts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4</v>
      </c>
      <c r="C29" s="95">
        <v>8</v>
      </c>
      <c r="D29" s="46">
        <v>4</v>
      </c>
      <c r="E29" s="58" t="s">
        <v>46</v>
      </c>
      <c r="F29" s="48">
        <v>21</v>
      </c>
      <c r="G29" s="49" t="s">
        <v>158</v>
      </c>
      <c r="H29" s="49" t="s">
        <v>48</v>
      </c>
      <c r="I29" s="50" t="s">
        <v>817</v>
      </c>
      <c r="J29" s="51" t="s">
        <v>818</v>
      </c>
      <c r="K29" s="129" t="str">
        <f t="shared" si="2"/>
        <v xml:space="preserve">[ROLE] Friendly tutor specializing in Python | [TOPIC] Control HTTP redirection behavior by toggling the follow_redirects parameter in httpx methods and logically tracing the routing sequence through the response.history list attribute | [LEVEL] Intermediate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Python - HTTPX | 📊 Level: Intermediate | 🌐 Coding5s.com
**Concept:** Managing HTTP Redirects (allow_redirects, response.history)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HTTP redirection behavior by toggling the follow_redirects parameter in httpx methods and logically tracing the routing sequence through the response.history list attribute. Topic details: Managing HTTP Redirects (allow_redirects, response.history)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Python - HTTPX | 📊 Level: Intermediate
**Topic:** Control HTTP redirection behavior by toggling the follow_redirects parameter in httpx methods and logically tracing the routing sequence through the response.history list attribute
---
 | [FOOTER RULE - STRICT] End your response with: '--- ⚡ *Coding5s Mentor System — Eliminating Epistemic Debt*' | </v>
      </c>
      <c r="M29" s="53">
        <v>0</v>
      </c>
      <c r="N29" s="102" t="str">
        <f t="shared" si="4"/>
        <v>[ROLE] Careless Python Developer | [TASK] Generate debugging challenges in Python | | [TOPIC] Control HTTP redirection behavior by toggling the follow_redirects parameter in httpx methods and logically tracing the routing sequence through the response.history list attribute | | [LEVEL] Intermediate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2 🐛 Debug | Python - HTTPX | 📊 Level: Intermediate | 🌐 Coding5s.com
Concept: Managing HTTP Redirects (allow_redirects, response.history)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HTTP redirection behavior by toggling the follow_redirects parameter in httpx methods and logically tracing the routing sequence through the response.history list attribute. Topic details: Managing HTTP Redirects (allow_redirects, response.history)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Python - HTTPX | 📊 Level: Intermediate
**Topic:** Control HTTP redirection behavior by toggling the follow_redirects parameter in httpx methods and logically tracing the routing sequence through the response.history list attribute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Python script challenges | [TOPIC] Control HTTP redirection behavior by toggling the follow_redirects parameter in httpx methods and logically tracing the routing sequence through the response.history list attribute | [LEVEL] Intermediate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3 🧩 Complete | Python - HTTPX | 📊 Level: Intermediate | 🌐 Coding5s.com
**Concept:** Managing HTTP Redirects (allow_redirects, response.history)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HTTP redirection behavior by toggling the follow_redirects parameter in httpx methods and logically tracing the routing sequence through the response.history list attribute.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HTTP redirection behavior by toggling the follow_redirects parameter in httpx methods and logically tracing the routing sequence through the response.history list attribute. Topic details: Managing HTTP Redirects (allow_redirects, response.history)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Python - HTTPX | 📊 Level: Intermediate
**Topic:** Control HTTP redirection behavior by toggling the follow_redirects parameter in httpx methods and logically tracing the routing sequence through the response.history list attribute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Control HTTP redirection behavior by toggling the follow_redirects parameter in httpx methods and logically tracing the routing sequence through the response.history list attribute | [LEVEL] Intermediate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Python - HTTPX | 📊 Level: Intermediate | 🌐 Coding5s.com
**Concept:** Managing HTTP Redirects (allow_redirects, response.history)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Control HTTP redirection behavior by toggling the follow_redirects parameter in httpx methods and logically tracing the routing sequence through the response.history list attribute. Topic details: Managing HTTP Redirects (allow_redirects, response.history)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Python - HTTPX | 📊 Level: Intermediate
**Topic:** Control HTTP redirection behavior by toggling the follow_redirects parameter in httpx methods and logically tracing the routing sequence through the response.history list attribute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Python Jira Ticket | [TASK] Provide a guided implementation exercise with full solution for learning purposes | [TOPIC] Control HTTP redirection behavior by toggling the follow_redirects parameter in httpx methods and logically tracing the routing sequence through the response.history list attribute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Python - HTTPX | 📊 Level: Intermediate | 🌐 Coding5s.com
**Concept:** Managing HTTP Redirects (allow_redirects, response.history)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HTTP redirection behavior by toggling the follow_redirects parameter in httpx methods and logically tracing the routing sequence through the response.history list attribute. Goal: Managing HTTP Redirects (allow_redirects, response.history)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Python - HTTPX | 📊 Level: Intermediate
**Topic:** Control HTTP redirection behavior by toggling the follow_redirects parameter in httpx methods and logically tracing the routing sequence through the response.history list attribute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4</v>
      </c>
      <c r="C30" s="95">
        <v>10</v>
      </c>
      <c r="D30" s="57">
        <v>5</v>
      </c>
      <c r="E30" s="58" t="s">
        <v>708</v>
      </c>
      <c r="F30" s="59">
        <v>22</v>
      </c>
      <c r="G30" s="60" t="s">
        <v>158</v>
      </c>
      <c r="H30" s="60" t="s">
        <v>48</v>
      </c>
      <c r="I30" s="61" t="s">
        <v>819</v>
      </c>
      <c r="J30" s="62" t="s">
        <v>820</v>
      </c>
      <c r="K30" s="129" t="str">
        <f t="shared" si="2"/>
        <v xml:space="preserve">[ROLE] Friendly tutor specializing in Python | [TOPIC] Download massive binary files efficiently by utilizing the httpx .iter_bytes() method to stream and write data to disk in manageable chunk sizes without exhausting system RAM | [LEVEL] Intermediate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Python - HTTPX | 📊 Level: Intermediate | 🌐 Coding5s.com
**Concept:** Downloading Large/Binary Files in Chunks (iter_content)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Download massive binary files efficiently by utilizing the httpx .iter_bytes() method to stream and write data to disk in manageable chunk sizes without exhausting system RAM. Topic details: Downloading Large/Binary Files in Chunks (iter_content)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Python - HTTPX | 📊 Level: Intermediate
**Topic:** Download massive binary files efficiently by utilizing the httpx .iter_bytes() method to stream and write data to disk in manageable chunk sizes without exhausting system RAM
---
 | [FOOTER RULE - STRICT] End your response with: '--- ⚡ *Coding5s Mentor System — Eliminating Epistemic Debt*' | </v>
      </c>
      <c r="M30" s="52">
        <v>0</v>
      </c>
      <c r="N30" s="102" t="str">
        <f t="shared" si="4"/>
        <v>[ROLE] Careless Python Developer | [TASK] Generate debugging challenges in Python | | [TOPIC] Download massive binary files efficiently by utilizing the httpx .iter_bytes() method to stream and write data to disk in manageable chunk sizes without exhausting system RAM | | [LEVEL] Intermediate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2 🐛 Debug | Python - HTTPX | 📊 Level: Intermediate | 🌐 Coding5s.com
Concept: Downloading Large/Binary Files in Chunks (iter_content)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Download massive binary files efficiently by utilizing the httpx .iter_bytes() method to stream and write data to disk in manageable chunk sizes without exhausting system RAM. Topic details: Downloading Large/Binary Files in Chunks (iter_content)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Python - HTTPX | 📊 Level: Intermediate
**Topic:** Download massive binary files efficiently by utilizing the httpx .iter_bytes() method to stream and write data to disk in manageable chunk sizes without exhausting system RAM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Python script challenges | [TOPIC] Download massive binary files efficiently by utilizing the httpx .iter_bytes() method to stream and write data to disk in manageable chunk sizes without exhausting system RAM | [LEVEL] Intermediate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3 🧩 Complete | Python - HTTPX | 📊 Level: Intermediate | 🌐 Coding5s.com
**Concept:** Downloading Large/Binary Files in Chunks (iter_content)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Download massive binary files efficiently by utilizing the httpx .iter_bytes() method to stream and write data to disk in manageable chunk sizes without exhausting system RAM.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Download massive binary files efficiently by utilizing the httpx .iter_bytes() method to stream and write data to disk in manageable chunk sizes without exhausting system RAM. Topic details: Downloading Large/Binary Files in Chunks (iter_content)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Python - HTTPX | 📊 Level: Intermediate
**Topic:** Download massive binary files efficiently by utilizing the httpx .iter_bytes() method to stream and write data to disk in manageable chunk sizes without exhausting system RAM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Download massive binary files efficiently by utilizing the httpx .iter_bytes() method to stream and write data to disk in manageable chunk sizes without exhausting system RAM | [LEVEL] Intermediate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Python - HTTPX | 📊 Level: Intermediate | 🌐 Coding5s.com
**Concept:** Downloading Large/Binary Files in Chunks (iter_content)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Download massive binary files efficiently by utilizing the httpx .iter_bytes() method to stream and write data to disk in manageable chunk sizes without exhausting system RAM. Topic details: Downloading Large/Binary Files in Chunks (iter_content)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Python - HTTPX | 📊 Level: Intermediate
**Topic:** Download massive binary files efficiently by utilizing the httpx .iter_bytes() method to stream and write data to disk in manageable chunk sizes without exhausting system RAM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Python Jira Ticket | [TASK] Provide a guided implementation exercise with full solution for learning purposes | [TOPIC] Download massive binary files efficiently by utilizing the httpx .iter_bytes() method to stream and write data to disk in manageable chunk sizes without exhausting system RAM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Python - HTTPX | 📊 Level: Intermediate | 🌐 Coding5s.com
**Concept:** Downloading Large/Binary Files in Chunks (iter_content)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Download massive binary files efficiently by utilizing the httpx .iter_bytes() method to stream and write data to disk in manageable chunk sizes without exhausting system RAM. Goal: Downloading Large/Binary Files in Chunks (iter_content)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Python - HTTPX | 📊 Level: Intermediate
**Topic:** Download massive binary files efficiently by utilizing the httpx .iter_bytes() method to stream and write data to disk in manageable chunk sizes without exhausting system RAM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4</v>
      </c>
      <c r="C31" s="95">
        <v>8</v>
      </c>
      <c r="D31" s="46">
        <v>5</v>
      </c>
      <c r="E31" s="58" t="s">
        <v>708</v>
      </c>
      <c r="F31" s="48">
        <v>23</v>
      </c>
      <c r="G31" s="49" t="s">
        <v>158</v>
      </c>
      <c r="H31" s="49" t="s">
        <v>48</v>
      </c>
      <c r="I31" s="50" t="s">
        <v>821</v>
      </c>
      <c r="J31" s="51" t="s">
        <v>822</v>
      </c>
      <c r="K31" s="129" t="str">
        <f t="shared" si="2"/>
        <v xml:space="preserve">[ROLE] Friendly tutor specializing in Python | [TOPIC] Upload individual files to remote servers by passing binary file objects created with open() to the files parameter within an httpx.post multipart form request | [LEVEL] Intermediate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Python - HTTPX | 📊 Level: Intermediate | 🌐 Coding5s.com
**Concept:** Uploading Single Files (files parameter with open())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Upload individual files to remote servers by passing binary file objects created with open() to the files parameter within an httpx.post multipart form request. Topic details: Uploading Single Files (files parameter with open())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Python - HTTPX | 📊 Level: Intermediate
**Topic:** Upload individual files to remote servers by passing binary file objects created with open() to the files parameter within an httpx.post multipart form request
---
 | [FOOTER RULE - STRICT] End your response with: '--- ⚡ *Coding5s Mentor System — Eliminating Epistemic Debt*' | </v>
      </c>
      <c r="M31" s="53">
        <v>0</v>
      </c>
      <c r="N31" s="102" t="str">
        <f t="shared" si="4"/>
        <v>[ROLE] Careless Python Developer | [TASK] Generate debugging challenges in Python | | [TOPIC] Upload individual files to remote servers by passing binary file objects created with open() to the files parameter within an httpx.post multipart form request | | [LEVEL] Intermediate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2 🐛 Debug | Python - HTTPX | 📊 Level: Intermediate | 🌐 Coding5s.com
Concept: Uploading Single Files (files parameter with open())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Upload individual files to remote servers by passing binary file objects created with open() to the files parameter within an httpx.post multipart form request. Topic details: Uploading Single Files (files parameter with open())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Python - HTTPX | 📊 Level: Intermediate
**Topic:** Upload individual files to remote servers by passing binary file objects created with open() to the files parameter within an httpx.post multipart form request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Python script challenges | [TOPIC] Upload individual files to remote servers by passing binary file objects created with open() to the files parameter within an httpx.post multipart form request | [LEVEL] Intermediate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3 🧩 Complete | Python - HTTPX | 📊 Level: Intermediate | 🌐 Coding5s.com
**Concept:** Uploading Single Files (files parameter with open())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Upload individual files to remote servers by passing binary file objects created with open() to the files parameter within an httpx.post multipart form request.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Upload individual files to remote servers by passing binary file objects created with open() to the files parameter within an httpx.post multipart form request. Topic details: Uploading Single Files (files parameter with open())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Python - HTTPX | 📊 Level: Intermediate
**Topic:** Upload individual files to remote servers by passing binary file objects created with open() to the files parameter within an httpx.post multipart form request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Upload individual files to remote servers by passing binary file objects created with open() to the files parameter within an httpx.post multipart form request | [LEVEL] Intermediate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Python - HTTPX | 📊 Level: Intermediate | 🌐 Coding5s.com
**Concept:** Uploading Single Files (files parameter with open())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Upload individual files to remote servers by passing binary file objects created with open() to the files parameter within an httpx.post multipart form request. Topic details: Uploading Single Files (files parameter with open())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Python - HTTPX | 📊 Level: Intermediate
**Topic:** Upload individual files to remote servers by passing binary file objects created with open() to the files parameter within an httpx.post multipart form request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Python Jira Ticket | [TASK] Provide a guided implementation exercise with full solution for learning purposes | [TOPIC] Upload individual files to remote servers by passing binary file objects created with open() to the files parameter within an httpx.post multipart form request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Python - HTTPX | 📊 Level: Intermediate | 🌐 Coding5s.com
**Concept:** Uploading Single Files (files parameter with open())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Upload individual files to remote servers by passing binary file objects created with open() to the files parameter within an httpx.post multipart form request. Goal: Uploading Single Files (files parameter with open())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Python - HTTPX | 📊 Level: Intermediate
**Topic:** Upload individual files to remote servers by passing binary file objects created with open() to the files parameter within an httpx.post multipart form request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c>
      <c r="B32" s="45">
        <f t="shared" si="1"/>
        <v>4</v>
      </c>
      <c r="C32" s="95">
        <v>10</v>
      </c>
      <c r="D32" s="57">
        <v>5</v>
      </c>
      <c r="E32" s="58" t="s">
        <v>708</v>
      </c>
      <c r="F32" s="59">
        <v>24</v>
      </c>
      <c r="G32" s="60" t="s">
        <v>158</v>
      </c>
      <c r="H32" s="60" t="s">
        <v>48</v>
      </c>
      <c r="I32" s="61" t="s">
        <v>823</v>
      </c>
      <c r="J32" s="62" t="s">
        <v>824</v>
      </c>
      <c r="K32" s="129" t="str">
        <f t="shared" si="2"/>
        <v xml:space="preserve">[ROLE] Friendly tutor specializing in Python | [TOPIC] Construct complex multipart/form-data requests in httpx by transmitting multiple binary file objects alongside supplementary string-based form data dictionaries simultaneously in a single POST operation | [LEVEL] Intermediate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#24 | Stage 1 📖 Practice | Python - HTTPX | 📊 Level: Intermediate | 🌐 Coding5s.com
**Concept:** Uploading Multiple Files and Form Data Simultaneously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2"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complex multipart/form-data requests in httpx by transmitting multiple binary file objects alongside supplementary string-based form data dictionaries simultaneously in a single POST operation. Topic details: Uploading Multiple Files and Form Data Simultaneously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#24 | Practice | Python - HTTPX | 📊 Level: Intermediate
**Topic:** Construct complex multipart/form-data requests in httpx by transmitting multiple binary file objects alongside supplementary string-based form data dictionaries simultaneously in a single POST operation
---
 | [FOOTER RULE - STRICT] End your response with: '--- ⚡ *Coding5s Mentor System — Eliminating Epistemic Debt*' | </v>
      </c>
      <c r="M32" s="52">
        <v>0</v>
      </c>
      <c r="N32" s="102" t="str">
        <f t="shared" si="4"/>
        <v>[ROLE] Careless Python Developer | [TASK] Generate debugging challenges in Python | | [TOPIC] Construct complex multipart/form-data requests in httpx by transmitting multiple binary file objects alongside supplementary string-based form data dictionaries simultaneously in a single POST operation | | [LEVEL] Intermediate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#24 | Stage 2 🐛 Debug | Python - HTTPX | 📊 Level: Intermediate | 🌐 Coding5s.com
Concept: Uploading Multiple Files and Form Data Simultaneously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complex multipart/form-data requests in httpx by transmitting multiple binary file objects alongside supplementary string-based form data dictionaries simultaneously in a single POST operation. Topic details: Uploading Multiple Files and Form Data Simultaneously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#24 | Debug | Python - HTTPX | 📊 Level: Intermediate
**Topic:** Construct complex multipart/form-data requests in httpx by transmitting multiple binary file objects alongside supplementary string-based form data dictionaries simultaneously in a single POST operation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Python script challenges | [TOPIC] Construct complex multipart/form-data requests in httpx by transmitting multiple binary file objects alongside supplementary string-based form data dictionaries simultaneously in a single POST operation | [LEVEL] Intermediate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#24 | Stage 3 🧩 Complete | Python - HTTPX | 📊 Level: Intermediate | 🌐 Coding5s.com
**Concept:** Uploading Multiple Files and Form Data Simultaneously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complex multipart/form-data requests in httpx by transmitting multiple binary file objects alongside supplementary string-based form data dictionaries simultaneously in a single POST operation.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complex multipart/form-data requests in httpx by transmitting multiple binary file objects alongside supplementary string-based form data dictionaries simultaneously in a single POST operation. Topic details: Uploading Multiple Files and Form Data Simultaneously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#24 | Complete | Python - HTTPX | 📊 Level: Intermediate
**Topic:** Construct complex multipart/form-data requests in httpx by transmitting multiple binary file objects alongside supplementary string-based form data dictionaries simultaneously in a single POST operation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intentionally messy but functional code for learning debugging and improvement | [TOPIC] Construct complex multipart/form-data requests in httpx by transmitting multiple binary file objects alongside supplementary string-based form data dictionaries simultaneously in a single POST operation | [LEVEL] Intermediate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#24 | Stage 4 🧹 Refactor | Python - HTTPX | 📊 Level: Intermediate | 🌐 Coding5s.com
**Concept:** Uploading Multiple Files and Form Data Simultaneously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complex multipart/form-data requests in httpx by transmitting multiple binary file objects alongside supplementary string-based form data dictionaries simultaneously in a single POST operation. Topic details: Uploading Multiple Files and Form Data Simultaneously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#24 | Refactor | Python - HTTPX | 📊 Level: Intermediate
**Topic:** Construct complex multipart/form-data requests in httpx by transmitting multiple binary file objects alongside supplementary string-based form data dictionaries simultaneously in a single POST operation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Python Jira Ticket | [TASK] Provide a guided implementation exercise with full solution for learning purposes | [TOPIC] Construct complex multipart/form-data requests in httpx by transmitting multiple binary file objects alongside supplementary string-based form data dictionaries simultaneously in a single POST operation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#24 | Stage 5 | Python - HTTPX | 📊 Level: Intermediate | 🌐 Coding5s.com
**Concept:** Uploading Multiple Files and Form Data Simultaneously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complex multipart/form-data requests in httpx by transmitting multiple binary file objects alongside supplementary string-based form data dictionaries simultaneously in a single POST operation. Goal: Uploading Multiple Files and Form Data Simultaneously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#24 | Extend | Python - HTTPX | 📊 Level: Intermediate
**Topic:** Construct complex multipart/form-data requests in httpx by transmitting multiple binary file objects alongside supplementary string-based form data dictionaries simultaneously in a single POST operation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
      </c>
      <c r="AA32" s="56" t="str">
        <f t="shared" si="13"/>
        <v/>
      </c>
      <c r="AB32" s="56" t="str">
        <f t="shared" si="14"/>
        <v/>
      </c>
      <c r="AC32" s="56" t="str">
        <f t="shared" si="15"/>
        <v/>
      </c>
      <c r="AD32" s="56" t="str">
        <f t="shared" si="16"/>
        <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xml:space="preserve">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v>
      </c>
      <c r="B33" s="45">
        <f t="shared" si="1"/>
        <v>4</v>
      </c>
      <c r="C33" s="95" t="s">
        <v>786</v>
      </c>
      <c r="D33" s="46">
        <v>0</v>
      </c>
      <c r="E33" s="58" t="s">
        <v>708</v>
      </c>
      <c r="F33" s="48">
        <v>25</v>
      </c>
      <c r="G33" s="49" t="s">
        <v>158</v>
      </c>
      <c r="H33" s="49" t="s">
        <v>77</v>
      </c>
      <c r="I33" s="50" t="s">
        <v>825</v>
      </c>
      <c r="J33" s="51" t="s">
        <v>826</v>
      </c>
      <c r="K33" s="129" t="str">
        <f t="shared" si="2"/>
        <v>[TASK] Teach through a practical Python - HTTPX project following the micro-learning methodology, acting as a supportive tutor, creating a project about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Python - HTTPX | 📊 Level: Intermediate | 🌐 Coding5s.com
**Project:** Project 4: Robust File Transfer Utility (Chunked downloads, uploads)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3"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robust bidirectional file transfer utility that takes local file paths and remote destination URLs as input, processes chunked byte streams for both network downloads and uploads utilizing httpx, and outputs real-time visual progress indicators to the user. Topics applied in this project: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Project objective: Project 4: Robust File Transfer Utility (Chunked downloads, uploads)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#25 | Practice | Python - HTTPX | 📊 Level: Intermediate
**Project:** Build a robust bidirectional file transfer utility that takes local file paths and remote destination URLs as input, processes chunked byte streams for both network downloads and uploads utilizing httpx, and outputs real-time visual progress indicators to the user
---
 | [FOOTER RULE - STRICT] End your response with: '--- ⚡ *Coding5s Mentor System — Eliminating Epistemic Debt*' | </v>
      </c>
      <c r="M33" s="53">
        <v>0</v>
      </c>
      <c r="N33" s="102" t="str">
        <f t="shared" si="4"/>
        <v>[ROLE] Careless Python Developer | [TASK] Generate debugging project in Python | [PROJECT]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[OUTPUT] Only header, dataset summary or statement (if any), email intro, objective, expected output, broken code, and footer | [HEADER RULE - STRICT] You MUST start your entire response EXACTLY with this markdown block (do not print anything before it):
### 🚀 Project #25 | Stage 2 | Python - HTTPX | 📊 Level: Intermediate | 🌐 Coding5s.com
Project: Project 4: Robust File Transfer Utility (Chunked downloads, uploads)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Itzaʼ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robust bidirectional file transfer utility that takes local file paths and remote destination URLs as input, processes chunked byte streams for both network downloads and uploads utilizing httpx, and outputs real-time visual progress indicators to the user. Topics involved: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Project objective: Project 4: Robust File Transfer Utility (Chunked downloads, uploads)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#25 | Debug | Python - HTTPX | 📊 Level: Intermediate
**Project:** Build a robust bidirectional file transfer utility that takes local file paths and remote destination URLs as input, processes chunked byte streams for both network downloads and uploads utilizing httpx, and outputs real-time visual progress indicators to the user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project script | [PROJECT]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#25 | Stage 3 | Python - HTTPX | 📊 Level: Intermediate | 🌐 Coding5s.com
**Project:** Project 4: Robust File Transfer Utility (Chunked downloads, uploads)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robust bidirectional file transfer utility that takes local file paths and remote destination URLs as input, processes chunked byte streams for both network downloads and uploads utilizing httpx, and outputs real-time visual progress indicators to the user. Topics involved: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Project objective: Project 4: Robust File Transfer Utility (Chunked downloads, uploads)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#25 | Complete | Python - HTTPX | 📊 Level: Intermediate
**Project:** Build a robust bidirectional file transfer utility that takes local file paths and remote destination URLs as input, processes chunked byte streams for both network downloads and uploads utilizing httpx, and outputs real-time visual progress indicators to the user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a messy but functional project for refactoring | [PROJECT]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[PERSONA RULE] Act as a Tech Lead. A junior wrote this working but messy code. Tone: professional but exhausted | [HEADER RULE - STRICT] You MUST start your entire response EXACTLY with this markdown block (do not print anything before it):
### 🚀 Project #25 | Stage 4 | Python - HTTPX | 📊 Level: Intermediate | 🌐 Coding5s.com
**Project:** Project 4: Robust File Transfer Utility (Chunked downloads, uploads)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robust bidirectional file transfer utility that takes local file paths and remote destination URLs as input, processes chunked byte streams for both network downloads and uploads utilizing httpx, and outputs real-time visual progress indicators to the user. Topics involved: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Project objective: Project 4: Robust File Transfer Utility (Chunked downloads, uploads)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#25 | Refactor | Python - HTTPX | 📊 Level: Intermediate
**Project:** Build a robust bidirectional file transfer utility that takes local file paths and remote destination URLs as input, processes chunked byte streams for both network downloads and uploads utilizing httpx, and outputs real-time visual progress indicators to the user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Python Jira Ticket | [TASK] Provide a guided project implementation with full solution | [PROJECT]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#25 | Stage 5 | Python - HTTPX | 📊 Level: Intermediate | 🌐 Coding5s.com
**Project:** Project 4: Robust File Transfer Utility (Chunked downloads, uploads)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robust bidirectional file transfer utility that takes local file paths and remote destination URLs as input, processes chunked byte streams for both network downloads and uploads utilizing httpx, and outputs real-time visual progress indicators to the user. Topics integrated: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Business Goal: Project 4: Robust File Transfer Utility (Chunked downloads, uploads)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#25 | Extend | Python - HTTPX | 📊 Level: Intermediate
**Project:** Build a robust bidirectional file transfer utility that takes local file paths and remote destination URLs as input, processes chunked byte streams for both network downloads and uploads utilizing httpx, and outputs real-time visual progress indicators to the user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[TASK] Teach through a practical Python - HTTPX project following the micro-learning methodology, acting as a supportive tutor, creating a project about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Python - HTTPX | 📊 Level: Intermediate | 🌐 Coding5s.com
**Project:** Project 4: Robust File Transfer Utility (Chunked downloads, uploads)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3" s="56" t="str">
        <f t="shared" si="13"/>
        <v>[ROLE] Careless Python Developer | [TASK] Generate debugging project in Python | [PROJECT]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[OUTPUT] Only header, dataset summary or statement (if any), email intro, objective, expected output, broken code, and footer | [HEADER RULE - STRICT] You MUST start your entire response EXACTLY with this markdown block (do not print anything before it):
### 🚀 Project #25 | Stage 2 | Python - HTTPX | 📊 Level: Intermediate | 🌐 Coding5s.com
Project: Project 4: Robust File Transfer Utility (Chunked downloads, uploads)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Itzaʼ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3" s="56" t="str">
        <f t="shared" si="14"/>
        <v>[ROLE] Tech Lead | [TASK] Assign incomplete project script | [PROJECT]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#25 | Stage 3 | Python - HTTPX | 📊 Level: Intermediate | 🌐 Coding5s.com
**Project:** Project 4: Robust File Transfer Utility (Chunked downloads, uploads)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3" s="56" t="str">
        <f t="shared" si="15"/>
        <v>[ROLE] Tech Lead | [TASK] Provide a messy but functional project for refactoring | [PROJECT]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[PERSONA RULE] Act as a Tech Lead. A junior wrote this working but messy code. Tone: professional but exhausted | [HEADER RULE - STRICT] You MUST start your entire response EXACTLY with this markdown block (do not print anything before it):
### 🚀 Project #25 | Stage 4 | Python - HTTPX | 📊 Level: Intermediate | 🌐 Coding5s.com
**Project:** Project 4: Robust File Transfer Utility (Chunked downloads, uploads)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3" s="56" t="str">
        <f t="shared" si="16"/>
        <v>[ROLE] Tech Product Manager assigning a Python Jira Ticket | [TASK] Provide a guided project implementation with full solution | [PROJECT]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#25 | Stage 5 | Python - HTTPX | 📊 Level: Intermediate | 🌐 Coding5s.com
**Project:** Project 4: Robust File Transfer Utility (Chunked downloads, uploads)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5</v>
      </c>
      <c r="C34" s="95">
        <v>8</v>
      </c>
      <c r="D34" s="57">
        <v>5</v>
      </c>
      <c r="E34" s="58" t="s">
        <v>46</v>
      </c>
      <c r="F34" s="59">
        <v>26</v>
      </c>
      <c r="G34" s="60" t="s">
        <v>159</v>
      </c>
      <c r="H34" s="60" t="s">
        <v>48</v>
      </c>
      <c r="I34" s="61" t="s">
        <v>827</v>
      </c>
      <c r="J34" s="62" t="s">
        <v>828</v>
      </c>
      <c r="K34" s="129" t="str">
        <f t="shared" si="2"/>
        <v xml:space="preserve">[ROLE] Friendly tutor specializing in Python | [TOPIC] Optimize HTTP performance and implement underlying connection pooling by initializing an httpx.Client() instance to persist TCP connections across multiple sequential network requests | [LEVEL] Advanced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Python - HTTPX | 📊 Level: Advanced | 🌐 Coding5s.com
**Concept:** Initializing Connection Pooling and State (requests.Session())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Optimize HTTP performance and implement underlying connection pooling by initializing an httpx.Client() instance to persist TCP connections across multiple sequential network requests. Topic details: Initializing Connection Pooling and State (requests.Session())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Python - HTTPX | 📊 Level: Advanced
**Topic:** Optimize HTTP performance and implement underlying connection pooling by initializing an httpx.Client() instance to persist TCP connections across multiple sequential network requests
---
 | [FOOTER RULE - STRICT] End your response with: '--- ⚡ *Coding5s Mentor System — Eliminating Epistemic Debt*' | </v>
      </c>
      <c r="M34" s="52">
        <v>0</v>
      </c>
      <c r="N34" s="102" t="str">
        <f t="shared" si="4"/>
        <v>[ROLE] Careless Python Developer | [TASK] Generate debugging challenges in Python | | [TOPIC] Optimize HTTP performance and implement underlying connection pooling by initializing an httpx.Client() instance to persist TCP connections across multiple sequential network requests | | [LEVEL] Advanced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2 🐛 Debug | Python - HTTPX | 📊 Level: Advanced | 🌐 Coding5s.com
Concept: Initializing Connection Pooling and State (requests.Session())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Optimize HTTP performance and implement underlying connection pooling by initializing an httpx.Client() instance to persist TCP connections across multiple sequential network requests. Topic details: Initializing Connection Pooling and State (requests.Session())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Python - HTTPX | 📊 Level: Advanced
**Topic:** Optimize HTTP performance and implement underlying connection pooling by initializing an httpx.Client() instance to persist TCP connections across multiple sequential network requests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Python script challenges | [TOPIC] Optimize HTTP performance and implement underlying connection pooling by initializing an httpx.Client() instance to persist TCP connections across multiple sequential network requests | [LEVEL] Advanced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3 🧩 Complete | Python - HTTPX | 📊 Level: Advanced | 🌐 Coding5s.com
**Concept:** Initializing Connection Pooling and State (requests.Session())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Optimize HTTP performance and implement underlying connection pooling by initializing an httpx.Client() instance to persist TCP connections across multiple sequential network requests.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Optimize HTTP performance and implement underlying connection pooling by initializing an httpx.Client() instance to persist TCP connections across multiple sequential network requests. Topic details: Initializing Connection Pooling and State (requests.Session())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Python - HTTPX | 📊 Level: Advanced
**Topic:** Optimize HTTP performance and implement underlying connection pooling by initializing an httpx.Client() instance to persist TCP connections across multiple sequential network requests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intentionally messy but functional code for learning debugging and improvement | [TOPIC] Optimize HTTP performance and implement underlying connection pooling by initializing an httpx.Client() instance to persist TCP connections across multiple sequential network requests | [LEVEL] Advanced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Python - HTTPX | 📊 Level: Advanced | 🌐 Coding5s.com
**Concept:** Initializing Connection Pooling and State (requests.Session())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Optimize HTTP performance and implement underlying connection pooling by initializing an httpx.Client() instance to persist TCP connections across multiple sequential network requests. Topic details: Initializing Connection Pooling and State (requests.Session())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Python - HTTPX | 📊 Level: Advanced
**Topic:** Optimize HTTP performance and implement underlying connection pooling by initializing an httpx.Client() instance to persist TCP connections across multiple sequential network requests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Python Jira Ticket | [TASK] Provide a guided implementation exercise with full solution for learning purposes | [TOPIC] Optimize HTTP performance and implement underlying connection pooling by initializing an httpx.Client() instance to persist TCP connections across multiple sequential network requests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Python - HTTPX | 📊 Level: Advanced | 🌐 Coding5s.com
**Concept:** Initializing Connection Pooling and State (requests.Session())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Optimize HTTP performance and implement underlying connection pooling by initializing an httpx.Client() instance to persist TCP connections across multiple sequential network requests. Goal: Initializing Connection Pooling and State (requests.Session())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Python - HTTPX | 📊 Level: Advanced
**Topic:** Optimize HTTP performance and implement underlying connection pooling by initializing an httpx.Client() instance to persist TCP connections across multiple sequential network requests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5</v>
      </c>
      <c r="C35" s="95">
        <v>10</v>
      </c>
      <c r="D35" s="46">
        <v>5</v>
      </c>
      <c r="E35" s="58" t="s">
        <v>46</v>
      </c>
      <c r="F35" s="48">
        <v>27</v>
      </c>
      <c r="G35" s="49" t="s">
        <v>159</v>
      </c>
      <c r="H35" s="49" t="s">
        <v>48</v>
      </c>
      <c r="I35" s="50" t="s">
        <v>829</v>
      </c>
      <c r="J35" s="51" t="s">
        <v>830</v>
      </c>
      <c r="K35" s="129" t="str">
        <f t="shared" si="2"/>
        <v xml:space="preserve">[ROLE] Friendly tutor specializing in Python | [TOPIC] Configure client-level network defaults by assigning base URLs, default authentication schemas, and universal headers to an httpx.Client() object to standardize parameters across all outbound application requests | [LEVEL] Advanced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Python - HTTPX | 📊 Level: Advanced | 🌐 Coding5s.com
**Concept:** Configuring Session-Level Defaults (Default headers, default auth)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client-level network defaults by assigning base URLs, default authentication schemas, and universal headers to an httpx.Client() object to standardize parameters across all outbound application requests. Topic details: Configuring Session-Level Defaults (Default headers, default auth)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Python - HTTPX | 📊 Level: Advanced
**Topic:** Configure client-level network defaults by assigning base URLs, default authentication schemas, and universal headers to an httpx.Client() object to standardize parameters across all outbound application requests
---
 | [FOOTER RULE - STRICT] End your response with: '--- ⚡ *Coding5s Mentor System — Eliminating Epistemic Debt*' | </v>
      </c>
      <c r="M35" s="53">
        <v>0</v>
      </c>
      <c r="N35" s="102" t="str">
        <f t="shared" si="4"/>
        <v>[ROLE] Careless Python Developer | [TASK] Generate debugging challenges in Python | | [TOPIC] Configure client-level network defaults by assigning base URLs, default authentication schemas, and universal headers to an httpx.Client() object to standardize parameters across all outbound application requests | | [LEVEL] Advanced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2 🐛 Debug | Python - HTTPX | 📊 Level: Advanced | 🌐 Coding5s.com
Concept: Configuring Session-Level Defaults (Default headers, default auth)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client-level network defaults by assigning base URLs, default authentication schemas, and universal headers to an httpx.Client() object to standardize parameters across all outbound application requests. Topic details: Configuring Session-Level Defaults (Default headers, default auth)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Python - HTTPX | 📊 Level: Advanced
**Topic:** Configure client-level network defaults by assigning base URLs, default authentication schemas, and universal headers to an httpx.Client() object to standardize parameters across all outbound application requests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Python script challenges | [TOPIC] Configure client-level network defaults by assigning base URLs, default authentication schemas, and universal headers to an httpx.Client() object to standardize parameters across all outbound application requests | [LEVEL] Advanced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3 🧩 Complete | Python - HTTPX | 📊 Level: Advanced | 🌐 Coding5s.com
**Concept:** Configuring Session-Level Defaults (Default headers, default auth)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client-level network defaults by assigning base URLs, default authentication schemas, and universal headers to an httpx.Client() object to standardize parameters across all outbound application requests.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client-level network defaults by assigning base URLs, default authentication schemas, and universal headers to an httpx.Client() object to standardize parameters across all outbound application requests. Topic details: Configuring Session-Level Defaults (Default headers, default auth)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Python - HTTPX | 📊 Level: Advanced
**Topic:** Configure client-level network defaults by assigning base URLs, default authentication schemas, and universal headers to an httpx.Client() object to standardize parameters across all outbound application requests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Configure client-level network defaults by assigning base URLs, default authentication schemas, and universal headers to an httpx.Client() object to standardize parameters across all outbound application requests | [LEVEL] Advanced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Python - HTTPX | 📊 Level: Advanced | 🌐 Coding5s.com
**Concept:** Configuring Session-Level Defaults (Default headers, default auth)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Configure client-level network defaults by assigning base URLs, default authentication schemas, and universal headers to an httpx.Client() object to standardize parameters across all outbound application requests. Topic details: Configuring Session-Level Defaults (Default headers, default auth)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Python - HTTPX | 📊 Level: Advanced
**Topic:** Configure client-level network defaults by assigning base URLs, default authentication schemas, and universal headers to an httpx.Client() object to standardize parameters across all outbound application requests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Python Jira Ticket | [TASK] Provide a guided implementation exercise with full solution for learning purposes | [TOPIC] Configure client-level network defaults by assigning base URLs, default authentication schemas, and universal headers to an httpx.Client() object to standardize parameters across all outbound application requests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Python - HTTPX | 📊 Level: Advanced | 🌐 Coding5s.com
**Concept:** Configuring Session-Level Defaults (Default headers, default auth)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client-level network defaults by assigning base URLs, default authentication schemas, and universal headers to an httpx.Client() object to standardize parameters across all outbound application requests. Goal: Configuring Session-Level Defaults (Default headers, default auth)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Python - HTTPX | 📊 Level: Advanced
**Topic:** Configure client-level network defaults by assigning base URLs, default authentication schemas, and universal headers to an httpx.Client() object to standardize parameters across all outbound application requests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5</v>
      </c>
      <c r="C36" s="95">
        <v>8</v>
      </c>
      <c r="D36" s="57">
        <v>5</v>
      </c>
      <c r="E36" s="58" t="s">
        <v>46</v>
      </c>
      <c r="F36" s="59">
        <v>28</v>
      </c>
      <c r="G36" s="60" t="s">
        <v>159</v>
      </c>
      <c r="H36" s="60" t="s">
        <v>48</v>
      </c>
      <c r="I36" s="61" t="s">
        <v>831</v>
      </c>
      <c r="J36" s="62" t="s">
        <v>832</v>
      </c>
      <c r="K36" s="129" t="str">
        <f t="shared" si="2"/>
        <v xml:space="preserve">[ROLE] Friendly tutor specializing in Python | [TOPIC] Manage persistent HTTP states by manipulating the cookies parameter, extracting response.cookies, and utilizing the httpx.Cookies class to dynamically handle and inject server-issued session identifiers | [LEVEL] Advanced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Python - HTTPX | 📊 Level: Advanced | 🌐 Coding5s.com
**Concept:** Managing Cookies (cookies param, response.cookies, RequestsCookieJar)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persistent HTTP states by manipulating the cookies parameter, extracting response.cookies, and utilizing the httpx.Cookies class to dynamically handle and inject server-issued session identifiers. Topic details: Managing Cookies (cookies param, response.cookies, RequestsCookieJar)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Python - HTTPX | 📊 Level: Advanced
**Topic:** Manage persistent HTTP states by manipulating the cookies parameter, extracting response.cookies, and utilizing the httpx.Cookies class to dynamically handle and inject server-issued session identifiers
---
 | [FOOTER RULE - STRICT] End your response with: '--- ⚡ *Coding5s Mentor System — Eliminating Epistemic Debt*' | </v>
      </c>
      <c r="M36" s="52">
        <v>0</v>
      </c>
      <c r="N36" s="102" t="str">
        <f t="shared" si="4"/>
        <v>[ROLE] Careless Python Developer | [TASK] Generate debugging challenges in Python | | [TOPIC] Manage persistent HTTP states by manipulating the cookies parameter, extracting response.cookies, and utilizing the httpx.Cookies class to dynamically handle and inject server-issued session identifiers | | [LEVEL] Advanced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2 🐛 Debug | Python - HTTPX | 📊 Level: Advanced | 🌐 Coding5s.com
Concept: Managing Cookies (cookies param, response.cookies, RequestsCookieJar)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persistent HTTP states by manipulating the cookies parameter, extracting response.cookies, and utilizing the httpx.Cookies class to dynamically handle and inject server-issued session identifiers. Topic details: Managing Cookies (cookies param, response.cookies, RequestsCookieJar)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Python - HTTPX | 📊 Level: Advanced
**Topic:** Manage persistent HTTP states by manipulating the cookies parameter, extracting response.cookies, and utilizing the httpx.Cookies class to dynamically handle and inject server-issued session identifiers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Python script challenges | [TOPIC] Manage persistent HTTP states by manipulating the cookies parameter, extracting response.cookies, and utilizing the httpx.Cookies class to dynamically handle and inject server-issued session identifiers | [LEVEL] Advanced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3 🧩 Complete | Python - HTTPX | 📊 Level: Advanced | 🌐 Coding5s.com
**Concept:** Managing Cookies (cookies param, response.cookies, RequestsCookieJar)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persistent HTTP states by manipulating the cookies parameter, extracting response.cookies, and utilizing the httpx.Cookies class to dynamically handle and inject server-issued session identifiers.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persistent HTTP states by manipulating the cookies parameter, extracting response.cookies, and utilizing the httpx.Cookies class to dynamically handle and inject server-issued session identifiers. Topic details: Managing Cookies (cookies param, response.cookies, RequestsCookieJar)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Python - HTTPX | 📊 Level: Advanced
**Topic:** Manage persistent HTTP states by manipulating the cookies parameter, extracting response.cookies, and utilizing the httpx.Cookies class to dynamically handle and inject server-issued session identifiers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Manage persistent HTTP states by manipulating the cookies parameter, extracting response.cookies, and utilizing the httpx.Cookies class to dynamically handle and inject server-issued session identifiers | [LEVEL] Advanced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Python - HTTPX | 📊 Level: Advanced | 🌐 Coding5s.com
**Concept:** Managing Cookies (cookies param, response.cookies, RequestsCookieJar)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Manage persistent HTTP states by manipulating the cookies parameter, extracting response.cookies, and utilizing the httpx.Cookies class to dynamically handle and inject server-issued session identifiers. Topic details: Managing Cookies (cookies param, response.cookies, RequestsCookieJar)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Python - HTTPX | 📊 Level: Advanced
**Topic:** Manage persistent HTTP states by manipulating the cookies parameter, extracting response.cookies, and utilizing the httpx.Cookies class to dynamically handle and inject server-issued session identifiers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Python Jira Ticket | [TASK] Provide a guided implementation exercise with full solution for learning purposes | [TOPIC] Manage persistent HTTP states by manipulating the cookies parameter, extracting response.cookies, and utilizing the httpx.Cookies class to dynamically handle and inject server-issued session identifiers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Python - HTTPX | 📊 Level: Advanced | 🌐 Coding5s.com
**Concept:** Managing Cookies (cookies param, response.cookies, RequestsCookieJar)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persistent HTTP states by manipulating the cookies parameter, extracting response.cookies, and utilizing the httpx.Cookies class to dynamically handle and inject server-issued session identifiers. Goal: Managing Cookies (cookies param, response.cookies, RequestsCookieJar)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Python - HTTPX | 📊 Level: Advanced
**Topic:** Manage persistent HTTP states by manipulating the cookies parameter, extracting response.cookies, and utilizing the httpx.Cookies class to dynamically handle and inject server-issued session identifiers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5</v>
      </c>
      <c r="C37" s="95">
        <v>10</v>
      </c>
      <c r="D37" s="46">
        <v>4</v>
      </c>
      <c r="E37" s="58" t="s">
        <v>46</v>
      </c>
      <c r="F37" s="48">
        <v>29</v>
      </c>
      <c r="G37" s="49" t="s">
        <v>159</v>
      </c>
      <c r="H37" s="49" t="s">
        <v>48</v>
      </c>
      <c r="I37" s="50" t="s">
        <v>833</v>
      </c>
      <c r="J37" s="51" t="s">
        <v>834</v>
      </c>
      <c r="K37" s="129" t="str">
        <f t="shared" si="2"/>
        <v xml:space="preserve">[ROLE] Friendly tutor specializing in Python | [TOPIC] Obfuscate origin IP addresses and securely route network traffic by configuring the proxy or proxies parameter in httpx clients to forward outgoing requests through designated HTTP/HTTPS proxy servers | [LEVEL] Advanced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Python - HTTPX | 📊 Level: Advanced | 🌐 Coding5s.com
**Concept:** Routing Traffic through Proxies (proxies dictionary)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Obfuscate origin IP addresses and securely route network traffic by configuring the proxy or proxies parameter in httpx clients to forward outgoing requests through designated HTTP/HTTPS proxy servers. Topic details: Routing Traffic through Proxies (proxies dictionary)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Python - HTTPX | 📊 Level: Advanced
**Topic:** Obfuscate origin IP addresses and securely route network traffic by configuring the proxy or proxies parameter in httpx clients to forward outgoing requests through designated HTTP/HTTPS proxy servers
---
 | [FOOTER RULE - STRICT] End your response with: '--- ⚡ *Coding5s Mentor System — Eliminating Epistemic Debt*' | </v>
      </c>
      <c r="M37" s="53">
        <v>0</v>
      </c>
      <c r="N37" s="102" t="str">
        <f t="shared" si="4"/>
        <v>[ROLE] Careless Python Developer | [TASK] Generate debugging challenges in Python | | [TOPIC] Obfuscate origin IP addresses and securely route network traffic by configuring the proxy or proxies parameter in httpx clients to forward outgoing requests through designated HTTP/HTTPS proxy servers | | [LEVEL] Advanced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2 🐛 Debug | Python - HTTPX | 📊 Level: Advanced | 🌐 Coding5s.com
Concept: Routing Traffic through Proxies (proxies dictionary)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Obfuscate origin IP addresses and securely route network traffic by configuring the proxy or proxies parameter in httpx clients to forward outgoing requests through designated HTTP/HTTPS proxy servers. Topic details: Routing Traffic through Proxies (proxies dictionary)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Python - HTTPX | 📊 Level: Advanced
**Topic:** Obfuscate origin IP addresses and securely route network traffic by configuring the proxy or proxies parameter in httpx clients to forward outgoing requests through designated HTTP/HTTPS proxy servers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Python script challenges | [TOPIC] Obfuscate origin IP addresses and securely route network traffic by configuring the proxy or proxies parameter in httpx clients to forward outgoing requests through designated HTTP/HTTPS proxy servers | [LEVEL] Advanced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3 🧩 Complete | Python - HTTPX | 📊 Level: Advanced | 🌐 Coding5s.com
**Concept:** Routing Traffic through Proxies (proxies dictionary)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Obfuscate origin IP addresses and securely route network traffic by configuring the proxy or proxies parameter in httpx clients to forward outgoing requests through designated HTTP/HTTPS proxy servers.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Obfuscate origin IP addresses and securely route network traffic by configuring the proxy or proxies parameter in httpx clients to forward outgoing requests through designated HTTP/HTTPS proxy servers. Topic details: Routing Traffic through Proxies (proxies dictionary)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Python - HTTPX | 📊 Level: Advanced
**Topic:** Obfuscate origin IP addresses and securely route network traffic by configuring the proxy or proxies parameter in httpx clients to forward outgoing requests through designated HTTP/HTTPS proxy servers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Obfuscate origin IP addresses and securely route network traffic by configuring the proxy or proxies parameter in httpx clients to forward outgoing requests through designated HTTP/HTTPS proxy servers | [LEVEL] Advanced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Python - HTTPX | 📊 Level: Advanced | 🌐 Coding5s.com
**Concept:** Routing Traffic through Proxies (proxies dictionary)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Obfuscate origin IP addresses and securely route network traffic by configuring the proxy or proxies parameter in httpx clients to forward outgoing requests through designated HTTP/HTTPS proxy servers. Topic details: Routing Traffic through Proxies (proxies dictionary)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Python - HTTPX | 📊 Level: Advanced
**Topic:** Obfuscate origin IP addresses and securely route network traffic by configuring the proxy or proxies parameter in httpx clients to forward outgoing requests through designated HTTP/HTTPS proxy servers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Python Jira Ticket | [TASK] Provide a guided implementation exercise with full solution for learning purposes | [TOPIC] Obfuscate origin IP addresses and securely route network traffic by configuring the proxy or proxies parameter in httpx clients to forward outgoing requests through designated HTTP/HTTPS proxy servers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Python - HTTPX | 📊 Level: Advanced | 🌐 Coding5s.com
**Concept:** Routing Traffic through Proxies (proxies dictionary)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Obfuscate origin IP addresses and securely route network traffic by configuring the proxy or proxies parameter in httpx clients to forward outgoing requests through designated HTTP/HTTPS proxy servers. Goal: Routing Traffic through Proxies (proxies dictionary)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Python - HTTPX | 📊 Level: Advanced
**Topic:** Obfuscate origin IP addresses and securely route network traffic by configuring the proxy or proxies parameter in httpx clients to forward outgoing requests through designated HTTP/HTTPS proxy servers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5</v>
      </c>
      <c r="C38" s="95">
        <v>8</v>
      </c>
      <c r="D38" s="57">
        <v>3</v>
      </c>
      <c r="E38" s="58" t="s">
        <v>46</v>
      </c>
      <c r="F38" s="59">
        <v>30</v>
      </c>
      <c r="G38" s="60" t="s">
        <v>159</v>
      </c>
      <c r="H38" s="60" t="s">
        <v>48</v>
      </c>
      <c r="I38" s="61" t="s">
        <v>835</v>
      </c>
      <c r="J38" s="62" t="s">
        <v>836</v>
      </c>
      <c r="K38" s="129" t="str">
        <f t="shared" si="2"/>
        <v xml:space="preserve">[ROLE] Friendly tutor specializing in Python | [TOPIC] Manage secure socket layer constraints by adjusting the verify parameter in httpx to either enforce strict SSL certificate validation or explicitly bypass security checks for custom internal network certificates | [LEVEL] Advanced | [COUNT] 3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Python - HTTPX | 📊 Level: Advanced | 🌐 Coding5s.com
**Concept:** Managing SSL Certificate Verification (verify parameter)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secure socket layer constraints by adjusting the verify parameter in httpx to either enforce strict SSL certificate validation or explicitly bypass security checks for custom internal network certificates. Topic details: Managing SSL Certificate Verification (verify parameter)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Python - HTTPX | 📊 Level: Advanced
**Topic:** Manage secure socket layer constraints by adjusting the verify parameter in httpx to either enforce strict SSL certificate validation or explicitly bypass security checks for custom internal network certificates
---
 | [FOOTER RULE - STRICT] End your response with: '--- ⚡ *Coding5s Mentor System — Eliminating Epistemic Debt*' | </v>
      </c>
      <c r="M38" s="52">
        <v>0</v>
      </c>
      <c r="N38" s="102" t="str">
        <f t="shared" si="4"/>
        <v>[ROLE] Careless Python Developer | [TASK] Generate debugging challenges in Python | | [TOPIC] Manage secure socket layer constraints by adjusting the verify parameter in httpx to either enforce strict SSL certificate validation or explicitly bypass security checks for custom internal network certificates | | [LEVEL] Advanced |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2 🐛 Debug | Python - HTTPX | 📊 Level: Advanced | 🌐 Coding5s.com
Concept: Managing SSL Certificate Verification (verify parameter)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secure socket layer constraints by adjusting the verify parameter in httpx to either enforce strict SSL certificate validation or explicitly bypass security checks for custom internal network certificates. Topic details: Managing SSL Certificate Verification (verify parameter)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Python - HTTPX | 📊 Level: Advanced
**Topic:** Manage secure socket layer constraints by adjusting the verify parameter in httpx to either enforce strict SSL certificate validation or explicitly bypass security checks for custom internal network certificates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Python script challenges | [TOPIC] Manage secure socket layer constraints by adjusting the verify parameter in httpx to either enforce strict SSL certificate validation or explicitly bypass security checks for custom internal network certificates | [LEVEL] Advanced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3 🧩 Complete | Python - HTTPX | 📊 Level: Advanced | 🌐 Coding5s.com
**Concept:** Managing SSL Certificate Verification (verify parameter)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secure socket layer constraints by adjusting the verify parameter in httpx to either enforce strict SSL certificate validation or explicitly bypass security checks for custom internal network certificates.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secure socket layer constraints by adjusting the verify parameter in httpx to either enforce strict SSL certificate validation or explicitly bypass security checks for custom internal network certificates. Topic details: Managing SSL Certificate Verification (verify parameter)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Python - HTTPX | 📊 Level: Advanced
**Topic:** Manage secure socket layer constraints by adjusting the verify parameter in httpx to either enforce strict SSL certificate validation or explicitly bypass security checks for custom internal network certificates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intentionally messy but functional code for learning debugging and improvement | [TOPIC] Manage secure socket layer constraints by adjusting the verify parameter in httpx to either enforce strict SSL certificate validation or explicitly bypass security checks for custom internal network certificates | [LEVEL] Advanced | [COUNT] 3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Python - HTTPX | 📊 Level: Advanced | 🌐 Coding5s.com
**Concept:** Managing SSL Certificate Verification (verify parameter)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Manage secure socket layer constraints by adjusting the verify parameter in httpx to either enforce strict SSL certificate validation or explicitly bypass security checks for custom internal network certificates. Topic details: Managing SSL Certificate Verification (verify parameter)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Python - HTTPX | 📊 Level: Advanced
**Topic:** Manage secure socket layer constraints by adjusting the verify parameter in httpx to either enforce strict SSL certificate validation or explicitly bypass security checks for custom internal network certificates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Python Jira Ticket | [TASK] Provide a guided implementation exercise with full solution for learning purposes | [TOPIC] Manage secure socket layer constraints by adjusting the verify parameter in httpx to either enforce strict SSL certificate validation or explicitly bypass security checks for custom internal network certificates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Python - HTTPX | 📊 Level: Advanced | 🌐 Coding5s.com
**Concept:** Managing SSL Certificate Verification (verify parameter)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secure socket layer constraints by adjusting the verify parameter in httpx to either enforce strict SSL certificate validation or explicitly bypass security checks for custom internal network certificates. Goal: Managing SSL Certificate Verification (verify parameter)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Python - HTTPX | 📊 Level: Advanced
**Topic:** Manage secure socket layer constraints by adjusting the verify parameter in httpx to either enforce strict SSL certificate validation or explicitly bypass security checks for custom internal network certificates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xml:space="preserve">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v>
      </c>
      <c r="B39" s="45">
        <f t="shared" si="1"/>
        <v>5</v>
      </c>
      <c r="C39" s="95" t="s">
        <v>786</v>
      </c>
      <c r="D39" s="46">
        <v>0</v>
      </c>
      <c r="E39" s="58" t="s">
        <v>708</v>
      </c>
      <c r="F39" s="48">
        <v>31</v>
      </c>
      <c r="G39" s="49" t="s">
        <v>159</v>
      </c>
      <c r="H39" s="49" t="s">
        <v>77</v>
      </c>
      <c r="I39" s="50" t="s">
        <v>837</v>
      </c>
      <c r="J39" s="51" t="s">
        <v>838</v>
      </c>
      <c r="K39" s="129" t="str">
        <f t="shared" si="2"/>
        <v>[TASK] Teach through a practical Python - HTTPX project following the micro-learning methodology, acting as a supportive tutor, creating a project about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#31 | Stage 1 | Python - HTTPX | 📊 Level: Advanced | 🌐 Coding5s.com
**Project:** Project 5: Stateful API Crawler (Sessions, persistence, proxy rotation)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9"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Topics applied in this project: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Project objective: Project 5: Stateful API Crawler (Sessions, persistence, proxy rotation)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#31 | Practice | Python - HTTPX | 📊 Level: Advanced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 [FOOTER RULE - STRICT] End your response with: '--- ⚡ *Coding5s Mentor System — Eliminating Epistemic Debt*' | </v>
      </c>
      <c r="M39" s="53">
        <v>0</v>
      </c>
      <c r="N39" s="102" t="str">
        <f t="shared" si="4"/>
        <v>[ROLE] Careless Python Developer | [TASK] Generate debugging project in Python |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[OUTPUT] Only header, dataset summary or statement (if any), email intro, objective, expected output, broken code, and footer | [HEADER RULE - STRICT] You MUST start your entire response EXACTLY with this markdown block (do not print anything before it):
### 🚀 Project #31 | Stage 2 | Python - HTTPX | 📊 Level: Advanced | 🌐 Coding5s.com
Project: Project 5: Stateful API Crawler (Sessions, persistence, proxy rotation)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Topics involved: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Project objective: Project 5: Stateful API Crawler (Sessions, persistence, proxy rotation)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#31 | Debug | Python - HTTPX | 📊 Level: Advanced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6"/>
        <v>[ROLE] Tech Lead | [TASK] Assign incomplete project script |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#31 | Stage 3 | Python - HTTPX | 📊 Level: Advanced | 🌐 Coding5s.com
**Project:** Project 5: Stateful API Crawler (Sessions, persistence, proxy rotation)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Topics involved: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Project objective: Project 5: Stateful API Crawler (Sessions, persistence, proxy rotation)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#31 | Complete | Python - HTTPX | 📊 Level: Advanced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8"/>
        <v>[ROLE] Tech Lead | [TASK] Provide a messy but functional project for refactoring |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[PERSONA RULE] Act as a Tech Lead. A junior wrote this working but messy code. Tone: professional but exhausted | [HEADER RULE - STRICT] You MUST start your entire response EXACTLY with this markdown block (do not print anything before it):
### 🚀 Project #31 | Stage 4 | Python - HTTPX | 📊 Level: Advanced | 🌐 Coding5s.com
**Project:** Project 5: Stateful API Crawler (Sessions, persistence, proxy rotation)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Topics involved: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Project objective: Project 5: Stateful API Crawler (Sessions, persistence, proxy rotation)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#31 | Refactor | Python - HTTPX | 📊 Level: Advanced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Python Jira Ticket | [TASK] Provide a guided project implementation with full solution |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#31 | Stage 5 | Python - HTTPX | 📊 Level: Advanced | 🌐 Coding5s.com
**Project:** Project 5: Stateful API Crawler (Sessions, persistence, proxy rotation)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Topics integrated: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Business Goal: Project 5: Stateful API Crawler (Sessions, persistence, proxy rotation)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#31 | Extend | Python - HTTPX | 📊 Level: Advanced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[TASK] Teach through a practical Python - HTTPX project following the micro-learning methodology, acting as a supportive tutor, creating a project about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#31 | Stage 1 | Python - HTTPX | 📊 Level: Advanced | 🌐 Coding5s.com
**Project:** Project 5: Stateful API Crawler (Sessions, persistence, proxy rotation)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9" s="56" t="str">
        <f t="shared" si="13"/>
        <v>[ROLE] Careless Python Developer | [TASK] Generate debugging project in Python |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[OUTPUT] Only header, dataset summary or statement (if any), email intro, objective, expected output, broken code, and footer | [HEADER RULE - STRICT] You MUST start your entire response EXACTLY with this markdown block (do not print anything before it):
### 🚀 Project #31 | Stage 2 | Python - HTTPX | 📊 Level: Advanced | 🌐 Coding5s.com
Project: Project 5: Stateful API Crawler (Sessions, persistence, proxy rotation)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9" s="56" t="str">
        <f t="shared" si="14"/>
        <v>[ROLE] Tech Lead | [TASK] Assign incomplete project script |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#31 | Stage 3 | Python - HTTPX | 📊 Level: Advanced | 🌐 Coding5s.com
**Project:** Project 5: Stateful API Crawler (Sessions, persistence, proxy rotation)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9" s="56" t="str">
        <f t="shared" si="15"/>
        <v>[ROLE] Tech Lead | [TASK] Provide a messy but functional project for refactoring |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[PERSONA RULE] Act as a Tech Lead. A junior wrote this working but messy code. Tone: professional but exhausted | [HEADER RULE - STRICT] You MUST start your entire response EXACTLY with this markdown block (do not print anything before it):
### 🚀 Project #31 | Stage 4 | Python - HTTPX | 📊 Level: Advanced | 🌐 Coding5s.com
**Project:** Project 5: Stateful API Crawler (Sessions, persistence, proxy rotation)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9" s="56" t="str">
        <f t="shared" si="16"/>
        <v>[ROLE] Tech Product Manager assigning a Python Jira Ticket | [TASK] Provide a guided project implementation with full solution |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#31 | Stage 5 | Python - HTTPX | 📊 Level: Advanced | 🌐 Coding5s.com
**Project:** Project 5: Stateful API Crawler (Sessions, persistence, proxy rotation)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6</v>
      </c>
      <c r="C40" s="95">
        <v>10</v>
      </c>
      <c r="D40" s="57">
        <v>5</v>
      </c>
      <c r="E40" s="58" t="s">
        <v>708</v>
      </c>
      <c r="F40" s="59">
        <v>32</v>
      </c>
      <c r="G40" s="60" t="s">
        <v>159</v>
      </c>
      <c r="H40" s="60" t="s">
        <v>48</v>
      </c>
      <c r="I40" s="61" t="s">
        <v>839</v>
      </c>
      <c r="J40" s="62" t="s">
        <v>840</v>
      </c>
      <c r="K40" s="129" t="str">
        <f t="shared" si="2"/>
        <v xml:space="preserve">[ROLE] Friendly tutor specializing in Python | [TOPIC] Consume continuous Server-Sent Events (SSE) and live text streams by utilizing the httpx.stream() context manager and continuously iterating over the active response using the .iter_lines() generator method | [LEVEL] Advanced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Python - HTTPX | 📊 Level: Advanced | 🌐 Coding5s.com
**Concept:** Streaming Text Lines and SSE (stream=True, .iter_lines())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Consume continuous Server-Sent Events (SSE) and live text streams by utilizing the httpx.stream() context manager and continuously iterating over the active response using the .iter_lines() generator method. Topic details: Streaming Text Lines and SSE (stream=True, .iter_lines())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Python - HTTPX | 📊 Level: Advanced
**Topic:** Consume continuous Server-Sent Events (SSE) and live text streams by utilizing the httpx.stream() context manager and continuously iterating over the active response using the .iter_lines() generator method
---
 | [FOOTER RULE - STRICT] End your response with: '--- ⚡ *Coding5s Mentor System — Eliminating Epistemic Debt*' | </v>
      </c>
      <c r="M40" s="52">
        <v>0</v>
      </c>
      <c r="N40" s="102" t="str">
        <f t="shared" si="4"/>
        <v>[ROLE] Careless Python Developer | [TASK] Generate debugging challenges in Python | | [TOPIC] Consume continuous Server-Sent Events (SSE) and live text streams by utilizing the httpx.stream() context manager and continuously iterating over the active response using the .iter_lines() generator method | | [LEVEL] Advanced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2 🐛 Debug | Python - HTTPX | 📊 Level: Advanced | 🌐 Coding5s.com
Concept: Streaming Text Lines and SSE (stream=True, .iter_lines())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Consume continuous Server-Sent Events (SSE) and live text streams by utilizing the httpx.stream() context manager and continuously iterating over the active response using the .iter_lines() generator method. Topic details: Streaming Text Lines and SSE (stream=True, .iter_lines())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Python - HTTPX | 📊 Level: Advanced
**Topic:** Consume continuous Server-Sent Events (SSE) and live text streams by utilizing the httpx.stream() context manager and continuously iterating over the active response using the .iter_lines() generator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6"/>
        <v>[ROLE] Tech Lead | [TASK] Assign incomplete Python script challenges | [TOPIC] Consume continuous Server-Sent Events (SSE) and live text streams by utilizing the httpx.stream() context manager and continuously iterating over the active response using the .iter_lines() generator method | [LEVEL] Advanced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3 🧩 Complete | Python - HTTPX | 📊 Level: Advanced | 🌐 Coding5s.com
**Concept:** Streaming Text Lines and SSE (stream=True, .iter_lines())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Consume continuous Server-Sent Events (SSE) and live text streams by utilizing the httpx.stream() context manager and continuously iterating over the active response using the .iter_lines() generator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Consume continuous Server-Sent Events (SSE) and live text streams by utilizing the httpx.stream() context manager and continuously iterating over the active response using the .iter_lines() generator method. Topic details: Streaming Text Lines and SSE (stream=True, .iter_lines())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Python - HTTPX | 📊 Level: Advanced
**Topic:** Consume continuous Server-Sent Events (SSE) and live text streams by utilizing the httpx.stream() context manager and continuously iterating over the active response using the .iter_lines() generator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8"/>
        <v>[ROLE] Tech Lead | [TASK] Provide intentionally messy but functional code for learning debugging and improvement | [TOPIC] Consume continuous Server-Sent Events (SSE) and live text streams by utilizing the httpx.stream() context manager and continuously iterating over the active response using the .iter_lines() generator method | [LEVEL] Advanced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Python - HTTPX | 📊 Level: Advanced | 🌐 Coding5s.com
**Concept:** Streaming Text Lines and SSE (stream=True, .iter_lines())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Consume continuous Server-Sent Events (SSE) and live text streams by utilizing the httpx.stream() context manager and continuously iterating over the active response using the .iter_lines() generator method. Topic details: Streaming Text Lines and SSE (stream=True, .iter_lines())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Python - HTTPX | 📊 Level: Advanced
**Topic:** Consume continuous Server-Sent Events (SSE) and live text streams by utilizing the httpx.stream() context manager and continuously iterating over the active response using the .iter_lines() generator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Python Jira Ticket | [TASK] Provide a guided implementation exercise with full solution for learning purposes | [TOPIC] Consume continuous Server-Sent Events (SSE) and live text streams by utilizing the httpx.stream() context manager and continuously iterating over the active response using the .iter_lines() generator method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Python - HTTPX | 📊 Level: Advanced | 🌐 Coding5s.com
**Concept:** Streaming Text Lines and SSE (stream=True, .iter_lines())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Consume continuous Server-Sent Events (SSE) and live text streams by utilizing the httpx.stream() context manager and continuously iterating over the active response using the .iter_lines() generator method. Goal: Streaming Text Lines and SSE (stream=True, .iter_lines())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Python - HTTPX | 📊 Level: Advanced
**Topic:** Consume continuous Server-Sent Events (SSE) and live text streams by utilizing the httpx.stream() context manager and continuously iterating over the active response using the .iter_lines() generator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c>
      <c r="B41" s="45">
        <f t="shared" si="1"/>
        <v>6</v>
      </c>
      <c r="C41" s="95">
        <v>10</v>
      </c>
      <c r="D41" s="46">
        <v>5</v>
      </c>
      <c r="E41" s="58" t="s">
        <v>46</v>
      </c>
      <c r="F41" s="48">
        <v>33</v>
      </c>
      <c r="G41" s="49" t="s">
        <v>159</v>
      </c>
      <c r="H41" s="49" t="s">
        <v>48</v>
      </c>
      <c r="I41" s="50" t="s">
        <v>841</v>
      </c>
      <c r="J41" s="51" t="s">
        <v>842</v>
      </c>
      <c r="K41" s="129" t="str">
        <f t="shared" si="2"/>
        <v xml:space="preserve">[ROLE] Friendly tutor specializing in Python | [TOPIC] Instrument advanced network monitoring by attaching custom Python callback functions to the event_hooks dictionary in httpx clients to automatically log, measure, or inspect HTTP responses asynchronously immediately upon receipt | [LEVEL] Advanced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#33 | Stage 1 📖 Practice | Python - HTTPX | 📊 Level: Advanced | 🌐 Coding5s.com
**Concept:** Attaching Callbacks to Responses (hooks={'response': callback_function})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1"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Instrument advanced network monitoring by attaching custom Python callback functions to the event_hooks dictionary in httpx clients to automatically log, measure, or inspect HTTP responses asynchronously immediately upon receipt. Topic details: Attaching Callbacks to Responses (hooks={'response': callback_function})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#33 | Practice | Python - HTTPX | 📊 Level: Advanced
**Topic:** Instrument advanced network monitoring by attaching custom Python callback functions to the event_hooks dictionary in httpx clients to automatically log, measure, or inspect HTTP responses asynchronously immediately upon receipt
---
 | [FOOTER RULE - STRICT] End your response with: '--- ⚡ *Coding5s Mentor System — Eliminating Epistemic Debt*' | </v>
      </c>
      <c r="M41" s="53">
        <v>0</v>
      </c>
      <c r="N41" s="102" t="str">
        <f t="shared" si="4"/>
        <v>[ROLE] Careless Python Developer | [TASK] Generate debugging challenges in Python | | [TOPIC] Instrument advanced network monitoring by attaching custom Python callback functions to the event_hooks dictionary in httpx clients to automatically log, measure, or inspect HTTP responses asynchronously immediately upon receipt | | [LEVEL] Advanced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2 🐛 Debug | Python - HTTPX | 📊 Level: Advanced | 🌐 Coding5s.com
Concept: Attaching Callbacks to Responses (hooks={'response': callback_function})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Instrument advanced network monitoring by attaching custom Python callback functions to the event_hooks dictionary in httpx clients to automatically log, measure, or inspect HTTP responses asynchronously immediately upon receipt. Topic details: Attaching Callbacks to Responses (hooks={'response': callback_function})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#33 | Debug | Python - HTTPX | 📊 Level: Advanced
**Topic:** Instrument advanced network monitoring by attaching custom Python callback functions to the event_hooks dictionary in httpx clients to automatically log, measure, or inspect HTTP responses asynchronously immediately upon receipt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si="6"/>
        <v>[ROLE] Tech Lead | [TASK] Assign incomplete Python script challenges | [TOPIC] Instrument advanced network monitoring by attaching custom Python callback functions to the event_hooks dictionary in httpx clients to automatically log, measure, or inspect HTTP responses asynchronously immediately upon receipt | [LEVEL] Advanced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3 🧩 Complete | Python - HTTPX | 📊 Level: Advanced | 🌐 Coding5s.com
**Concept:** Attaching Callbacks to Responses (hooks={'response': callback_function})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Instrument advanced network monitoring by attaching custom Python callback functions to the event_hooks dictionary in httpx clients to automatically log, measure, or inspect HTTP responses asynchronously immediately upon receipt.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Instrument advanced network monitoring by attaching custom Python callback functions to the event_hooks dictionary in httpx clients to automatically log, measure, or inspect HTTP responses asynchronously immediately upon receipt. Topic details: Attaching Callbacks to Responses (hooks={'response': callback_function})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#33 | Complete | Python - HTTPX | 📊 Level: Advanced
**Topic:** Instrument advanced network monitoring by attaching custom Python callback functions to the event_hooks dictionary in httpx clients to automatically log, measure, or inspect HTTP responses asynchronously immediately upon receipt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si="8"/>
        <v>[ROLE] Tech Lead | [TASK] Provide intentionally messy but functional code for learning debugging and improvement | [TOPIC] Instrument advanced network monitoring by attaching custom Python callback functions to the event_hooks dictionary in httpx clients to automatically log, measure, or inspect HTTP responses asynchronously immediately upon receipt | [LEVEL] Advanced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#33 | Stage 4 🧹 Refactor | Python - HTTPX | 📊 Level: Advanced | 🌐 Coding5s.com
**Concept:** Attaching Callbacks to Responses (hooks={'response': callback_function})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Instrument advanced network monitoring by attaching custom Python callback functions to the event_hooks dictionary in httpx clients to automatically log, measure, or inspect HTTP responses asynchronously immediately upon receipt. Topic details: Attaching Callbacks to Responses (hooks={'response': callback_function})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#33 | Refactor | Python - HTTPX | 📊 Level: Advanced
**Topic:** Instrument advanced network monitoring by attaching custom Python callback functions to the event_hooks dictionary in httpx clients to automatically log, measure, or inspect HTTP responses asynchronously immediately upon receipt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Python Jira Ticket | [TASK] Provide a guided implementation exercise with full solution for learning purposes | [TOPIC] Instrument advanced network monitoring by attaching custom Python callback functions to the event_hooks dictionary in httpx clients to automatically log, measure, or inspect HTTP responses asynchronously immediately upon receipt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#33 | Stage 5 | Python - HTTPX | 📊 Level: Advanced | 🌐 Coding5s.com
**Concept:** Attaching Callbacks to Responses (hooks={'response': callback_function})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Instrument advanced network monitoring by attaching custom Python callback functions to the event_hooks dictionary in httpx clients to automatically log, measure, or inspect HTTP responses asynchronously immediately upon receipt. Goal: Attaching Callbacks to Responses (hooks={'response': callback_function})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#33 | Extend | Python - HTTPX | 📊 Level: Advanced
**Topic:** Instrument advanced network monitoring by attaching custom Python callback functions to the event_hooks dictionary in httpx clients to automatically log, measure, or inspect HTTP responses asynchronously immediately upon receipt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
      </c>
      <c r="AA41" s="56" t="str">
        <f t="shared" si="13"/>
        <v/>
      </c>
      <c r="AB41" s="56" t="str">
        <f t="shared" si="14"/>
        <v/>
      </c>
      <c r="AC41" s="56" t="str">
        <f t="shared" si="15"/>
        <v/>
      </c>
      <c r="AD41" s="56" t="str">
        <f t="shared" si="16"/>
        <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f t="shared" si="1"/>
        <v>6</v>
      </c>
      <c r="C42" s="95">
        <v>10</v>
      </c>
      <c r="D42" s="57">
        <v>5</v>
      </c>
      <c r="E42" s="58" t="s">
        <v>46</v>
      </c>
      <c r="F42" s="59">
        <v>34</v>
      </c>
      <c r="G42" s="60" t="s">
        <v>159</v>
      </c>
      <c r="H42" s="60" t="s">
        <v>48</v>
      </c>
      <c r="I42" s="61" t="s">
        <v>843</v>
      </c>
      <c r="J42" s="62" t="s">
        <v>844</v>
      </c>
      <c r="K42" s="129" t="str">
        <f t="shared" si="2"/>
        <v xml:space="preserve">[ROLE] Friendly tutor specializing in Python | [TOPIC] Craft and construct HTTP requests manually by instantiating raw httpx.Request objects and explicitly dispatching them using the client.send() method to achieve granular programmatic control over the entire network transmission lifecycle | [LEVEL] Advanced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#34 | Stage 1 📖 Practice | Python - HTTPX | 📊 Level: Advanced | 🌐 Coding5s.com
**Concept:** Manual Request Crafting (Request, Session.prepare_request, Session.send)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2"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Craft and construct HTTP requests manually by instantiating raw httpx.Request objects and explicitly dispatching them using the client.send() method to achieve granular programmatic control over the entire network transmission lifecycle. Topic details: Manual Request Crafting (Request, Session.prepare_request, Session.send)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#34 | Practice | Python - HTTPX | 📊 Level: Advanced
**Topic:** Craft and construct HTTP requests manually by instantiating raw httpx.Request objects and explicitly dispatching them using the client.send() method to achieve granular programmatic control over the entire network transmission lifecycle
---
 | [FOOTER RULE - STRICT] End your response with: '--- ⚡ *Coding5s Mentor System — Eliminating Epistemic Debt*' | </v>
      </c>
      <c r="M42" s="52">
        <v>0</v>
      </c>
      <c r="N42" s="102" t="str">
        <f t="shared" si="4"/>
        <v>[ROLE] Careless Python Developer | [TASK] Generate debugging challenges in Python | | [TOPIC] Craft and construct HTTP requests manually by instantiating raw httpx.Request objects and explicitly dispatching them using the client.send() method to achieve granular programmatic control over the entire network transmission lifecycle | | [LEVEL] Advanced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#34 | Stage 2 🐛 Debug | Python - HTTPX | 📊 Level: Advanced | 🌐 Coding5s.com
Concept: Manual Request Crafting (Request, Session.prepare_request, Session.send)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Craft and construct HTTP requests manually by instantiating raw httpx.Request objects and explicitly dispatching them using the client.send() method to achieve granular programmatic control over the entire network transmission lifecycle. Topic details: Manual Request Crafting (Request, Session.prepare_request, Session.send)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#34 | Debug | Python - HTTPX | 📊 Level: Advanced
**Topic:** Craft and construct HTTP requests manually by instantiating raw httpx.Request objects and explicitly dispatching them using the client.send() method to achieve granular programmatic control over the entire network transmission lifecycle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6"/>
        <v>[ROLE] Tech Lead | [TASK] Assign incomplete Python script challenges | [TOPIC] Craft and construct HTTP requests manually by instantiating raw httpx.Request objects and explicitly dispatching them using the client.send() method to achieve granular programmatic control over the entire network transmission lifecycle | [LEVEL] Advanced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#34 | Stage 3 🧩 Complete | Python - HTTPX | 📊 Level: Advanced | 🌐 Coding5s.com
**Concept:** Manual Request Crafting (Request, Session.prepare_request, Session.send)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Craft and construct HTTP requests manually by instantiating raw httpx.Request objects and explicitly dispatching them using the client.send() method to achieve granular programmatic control over the entire network transmission lifecycle.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Craft and construct HTTP requests manually by instantiating raw httpx.Request objects and explicitly dispatching them using the client.send() method to achieve granular programmatic control over the entire network transmission lifecycle. Topic details: Manual Request Crafting (Request, Session.prepare_request, Session.send)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#34 | Complete | Python - HTTPX | 📊 Level: Advanced
**Topic:** Craft and construct HTTP requests manually by instantiating raw httpx.Request objects and explicitly dispatching them using the client.send() method to achieve granular programmatic control over the entire network transmission lifecycle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8"/>
        <v>[ROLE] Tech Lead | [TASK] Provide intentionally messy but functional code for learning debugging and improvement | [TOPIC] Craft and construct HTTP requests manually by instantiating raw httpx.Request objects and explicitly dispatching them using the client.send() method to achieve granular programmatic control over the entire network transmission lifecycle | [LEVEL] Advanced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#34 | Stage 4 🧹 Refactor | Python - HTTPX | 📊 Level: Advanced | 🌐 Coding5s.com
**Concept:** Manual Request Crafting (Request, Session.prepare_request, Session.send)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Craft and construct HTTP requests manually by instantiating raw httpx.Request objects and explicitly dispatching them using the client.send() method to achieve granular programmatic control over the entire network transmission lifecycle. Topic details: Manual Request Crafting (Request, Session.prepare_request, Session.send)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#34 | Refactor | Python - HTTPX | 📊 Level: Advanced
**Topic:** Craft and construct HTTP requests manually by instantiating raw httpx.Request objects and explicitly dispatching them using the client.send() method to achieve granular programmatic control over the entire network transmission lifecycle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Python Jira Ticket | [TASK] Provide a guided implementation exercise with full solution for learning purposes | [TOPIC] Craft and construct HTTP requests manually by instantiating raw httpx.Request objects and explicitly dispatching them using the client.send() method to achieve granular programmatic control over the entire network transmission lifecycle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#34 | Stage 5 | Python - HTTPX | 📊 Level: Advanced | 🌐 Coding5s.com
**Concept:** Manual Request Crafting (Request, Session.prepare_request, Session.send)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Craft and construct HTTP requests manually by instantiating raw httpx.Request objects and explicitly dispatching them using the client.send() method to achieve granular programmatic control over the entire network transmission lifecycle. Goal: Manual Request Crafting (Request, Session.prepare_request, Session.send)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#34 | Extend | Python - HTTPX | 📊 Level: Advanced
**Topic:** Craft and construct HTTP requests manually by instantiating raw httpx.Request objects and explicitly dispatching them using the client.send() method to achieve granular programmatic control over the entire network transmission lifecycle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6</v>
      </c>
      <c r="C43" s="95">
        <v>12</v>
      </c>
      <c r="D43" s="46">
        <v>5</v>
      </c>
      <c r="E43" s="58" t="s">
        <v>46</v>
      </c>
      <c r="F43" s="48">
        <v>35</v>
      </c>
      <c r="G43" s="49" t="s">
        <v>159</v>
      </c>
      <c r="H43" s="49" t="s">
        <v>48</v>
      </c>
      <c r="I43" s="50" t="s">
        <v>845</v>
      </c>
      <c r="J43" s="51" t="s">
        <v>846</v>
      </c>
      <c r="K43" s="129" t="str">
        <f t="shared" si="2"/>
        <v xml:space="preserve">[ROLE] Friendly tutor specializing in Python | [TOPIC] Enhance application resilience by configuring procedural network retries utilizing httpx.HTTPTransport parameters to automatically re-attempt failed connections based on specific HTTP status codes or unexpected TCP connection drops | [LEVEL] Advanced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Python - HTTPX | 📊 Level: Advanced | 🌐 Coding5s.com
**Concept:** Configuring Procedural Retries (urllib3.util.Retry, HTTPAdapter, mount)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Enhance application resilience by configuring procedural network retries utilizing httpx.HTTPTransport parameters to automatically re-attempt failed connections based on specific HTTP status codes or unexpected TCP connection drops. Topic details: Configuring Procedural Retries (urllib3.util.Retry, HTTPAdapter, mount)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Python - HTTPX | 📊 Level: Advanced
**Topic:** Enhance application resilience by configuring procedural network retries utilizing httpx.HTTPTransport parameters to automatically re-attempt failed connections based on specific HTTP status codes or unexpected TCP connection drops
---
 | [FOOTER RULE - STRICT] End your response with: '--- ⚡ *Coding5s Mentor System — Eliminating Epistemic Debt*' | </v>
      </c>
      <c r="M43" s="53">
        <v>0</v>
      </c>
      <c r="N43" s="102" t="str">
        <f t="shared" si="4"/>
        <v>[ROLE] Careless Python Developer | [TASK] Generate debugging challenges in Python | | [TOPIC] Enhance application resilience by configuring procedural network retries utilizing httpx.HTTPTransport parameters to automatically re-attempt failed connections based on specific HTTP status codes or unexpected TCP connection drops | | [LEVEL] Advanced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2 🐛 Debug | Python - HTTPX | 📊 Level: Advanced | 🌐 Coding5s.com
Concept: Configuring Procedural Retries (urllib3.util.Retry, HTTPAdapter, mount)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Enhance application resilience by configuring procedural network retries utilizing httpx.HTTPTransport parameters to automatically re-attempt failed connections based on specific HTTP status codes or unexpected TCP connection drops. Topic details: Configuring Procedural Retries (urllib3.util.Retry, HTTPAdapter, mount)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Python - HTTPX | 📊 Level: Advanced
**Topic:** Enhance application resilience by configuring procedural network retries utilizing httpx.HTTPTransport parameters to automatically re-attempt failed connections based on specific HTTP status codes or unexpected TCP connection drops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6"/>
        <v>[ROLE] Tech Lead | [TASK] Assign incomplete Python script challenges | [TOPIC] Enhance application resilience by configuring procedural network retries utilizing httpx.HTTPTransport parameters to automatically re-attempt failed connections based on specific HTTP status codes or unexpected TCP connection drops | [LEVEL] Advanced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3 🧩 Complete | Python - HTTPX | 📊 Level: Advanced | 🌐 Coding5s.com
**Concept:** Configuring Procedural Retries (urllib3.util.Retry, HTTPAdapter, mount)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Enhance application resilience by configuring procedural network retries utilizing httpx.HTTPTransport parameters to automatically re-attempt failed connections based on specific HTTP status codes or unexpected TCP connection drops.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Enhance application resilience by configuring procedural network retries utilizing httpx.HTTPTransport parameters to automatically re-attempt failed connections based on specific HTTP status codes or unexpected TCP connection drops. Topic details: Configuring Procedural Retries (urllib3.util.Retry, HTTPAdapter, mount)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Python - HTTPX | 📊 Level: Advanced
**Topic:** Enhance application resilience by configuring procedural network retries utilizing httpx.HTTPTransport parameters to automatically re-attempt failed connections based on specific HTTP status codes or unexpected TCP connection drops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8"/>
        <v>[ROLE] Tech Lead | [TASK] Provide intentionally messy but functional code for learning debugging and improvement | [TOPIC] Enhance application resilience by configuring procedural network retries utilizing httpx.HTTPTransport parameters to automatically re-attempt failed connections based on specific HTTP status codes or unexpected TCP connection drops | [LEVEL] Advanced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Python - HTTPX | 📊 Level: Advanced | 🌐 Coding5s.com
**Concept:** Configuring Procedural Retries (urllib3.util.Retry, HTTPAdapter, mount)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Enhance application resilience by configuring procedural network retries utilizing httpx.HTTPTransport parameters to automatically re-attempt failed connections based on specific HTTP status codes or unexpected TCP connection drops. Topic details: Configuring Procedural Retries (urllib3.util.Retry, HTTPAdapter, mount)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Python - HTTPX | 📊 Level: Advanced
**Topic:** Enhance application resilience by configuring procedural network retries utilizing httpx.HTTPTransport parameters to automatically re-attempt failed connections based on specific HTTP status codes or unexpected TCP connection drops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Python Jira Ticket | [TASK] Provide a guided implementation exercise with full solution for learning purposes | [TOPIC] Enhance application resilience by configuring procedural network retries utilizing httpx.HTTPTransport parameters to automatically re-attempt failed connections based on specific HTTP status codes or unexpected TCP connection drops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Python - HTTPX | 📊 Level: Advanced | 🌐 Coding5s.com
**Concept:** Configuring Procedural Retries (urllib3.util.Retry, HTTPAdapter, mount)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Enhance application resilience by configuring procedural network retries utilizing httpx.HTTPTransport parameters to automatically re-attempt failed connections based on specific HTTP status codes or unexpected TCP connection drops. Goal: Configuring Procedural Retries (urllib3.util.Retry, HTTPAdapter, mount)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Python - HTTPX | 📊 Level: Advanced
**Topic:** Enhance application resilience by configuring procedural network retries utilizing httpx.HTTPTransport parameters to automatically re-attempt failed connections based on specific HTTP status codes or unexpected TCP connection drops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6</v>
      </c>
      <c r="C44" s="95">
        <v>12</v>
      </c>
      <c r="D44" s="57">
        <v>5</v>
      </c>
      <c r="E44" s="58" t="s">
        <v>708</v>
      </c>
      <c r="F44" s="59">
        <v>36</v>
      </c>
      <c r="G44" s="60" t="s">
        <v>159</v>
      </c>
      <c r="H44" s="60" t="s">
        <v>48</v>
      </c>
      <c r="I44" s="61" t="s">
        <v>847</v>
      </c>
      <c r="J44" s="62" t="s">
        <v>848</v>
      </c>
      <c r="K44" s="129" t="str">
        <f t="shared" si="2"/>
        <v xml:space="preserve">[ROLE] Friendly tutor specializing in Python | [TOPIC] Access low-level network socket data by reading raw byte streams directly from an active httpx response stream to completely bypass standard library decoders and manipulate unaltered network payloads | [LEVEL] Advanced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Python - HTTPX | 📊 Level: Advanced | 🌐 Coding5s.com
**Concept:** Accessing the Underlying Socket Response (response.raw, decode_content)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Access low-level network socket data by reading raw byte streams directly from an active httpx response stream to completely bypass standard library decoders and manipulate unaltered network payloads. Topic details: Accessing the Underlying Socket Response (response.raw, decode_content)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Python - HTTPX | 📊 Level: Advanced
**Topic:** Access low-level network socket data by reading raw byte streams directly from an active httpx response stream to completely bypass standard library decoders and manipulate unaltered network payloads
---
 | [FOOTER RULE - STRICT] End your response with: '--- ⚡ *Coding5s Mentor System — Eliminating Epistemic Debt*' | </v>
      </c>
      <c r="M44" s="52">
        <v>0</v>
      </c>
      <c r="N44" s="102" t="str">
        <f t="shared" si="4"/>
        <v>[ROLE] Careless Python Developer | [TASK] Generate debugging challenges in Python | | [TOPIC] Access low-level network socket data by reading raw byte streams directly from an active httpx response stream to completely bypass standard library decoders and manipulate unaltered network payloads | | [LEVEL] Advanced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2 🐛 Debug | Python - HTTPX | 📊 Level: Advanced | 🌐 Coding5s.com
Concept: Accessing the Underlying Socket Response (response.raw, decode_content)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Access low-level network socket data by reading raw byte streams directly from an active httpx response stream to completely bypass standard library decoders and manipulate unaltered network payloads. Topic details: Accessing the Underlying Socket Response (response.raw, decode_content)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Python - HTTPX | 📊 Level: Advanced
**Topic:** Access low-level network socket data by reading raw byte streams directly from an active httpx response stream to completely bypass standard library decoders and manipulate unaltered network payloads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6"/>
        <v>[ROLE] Tech Lead | [TASK] Assign incomplete Python script challenges | [TOPIC] Access low-level network socket data by reading raw byte streams directly from an active httpx response stream to completely bypass standard library decoders and manipulate unaltered network payloads | [LEVEL] Advanced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3 🧩 Complete | Python - HTTPX | 📊 Level: Advanced | 🌐 Coding5s.com
**Concept:** Accessing the Underlying Socket Response (response.raw, decode_content)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Access low-level network socket data by reading raw byte streams directly from an active httpx response stream to completely bypass standard library decoders and manipulate unaltered network payloads.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Access low-level network socket data by reading raw byte streams directly from an active httpx response stream to completely bypass standard library decoders and manipulate unaltered network payloads. Topic details: Accessing the Underlying Socket Response (response.raw, decode_content)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Python - HTTPX | 📊 Level: Advanced
**Topic:** Access low-level network socket data by reading raw byte streams directly from an active httpx response stream to completely bypass standard library decoders and manipulate unaltered network payloads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8"/>
        <v>[ROLE] Tech Lead | [TASK] Provide intentionally messy but functional code for learning debugging and improvement | [TOPIC] Access low-level network socket data by reading raw byte streams directly from an active httpx response stream to completely bypass standard library decoders and manipulate unaltered network payloads | [LEVEL] Advanced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#36 | Stage 4 🧹 Refactor | Python - HTTPX | 📊 Level: Advanced | 🌐 Coding5s.com
**Concept:** Accessing the Underlying Socket Response (response.raw, decode_content)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Access low-level network socket data by reading raw byte streams directly from an active httpx response stream to completely bypass standard library decoders and manipulate unaltered network payloads. Topic details: Accessing the Underlying Socket Response (response.raw, decode_content)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Python - HTTPX | 📊 Level: Advanced
**Topic:** Access low-level network socket data by reading raw byte streams directly from an active httpx response stream to completely bypass standard library decoders and manipulate unaltered network payloads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Python Jira Ticket | [TASK] Provide a guided implementation exercise with full solution for learning purposes | [TOPIC] Access low-level network socket data by reading raw byte streams directly from an active httpx response stream to completely bypass standard library decoders and manipulate unaltered network payloads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#36 | Stage 5 | Python - HTTPX | 📊 Level: Advanced | 🌐 Coding5s.com
**Concept:** Accessing the Underlying Socket Response (response.raw, decode_content)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Access low-level network socket data by reading raw byte streams directly from an active httpx response stream to completely bypass standard library decoders and manipulate unaltered network payloads. Goal: Accessing the Underlying Socket Response (response.raw, decode_content)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Python - HTTPX | 📊 Level: Advanced
**Topic:** Access low-level network socket data by reading raw byte streams directly from an active httpx response stream to completely bypass standard library decoders and manipulate unaltered network payloads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6</v>
      </c>
      <c r="C45" s="95">
        <v>12</v>
      </c>
      <c r="D45" s="46">
        <v>5</v>
      </c>
      <c r="E45" s="58" t="s">
        <v>708</v>
      </c>
      <c r="F45" s="48">
        <v>37</v>
      </c>
      <c r="G45" s="49" t="s">
        <v>159</v>
      </c>
      <c r="H45" s="49" t="s">
        <v>48</v>
      </c>
      <c r="I45" s="50" t="s">
        <v>849</v>
      </c>
      <c r="J45" s="51" t="s">
        <v>850</v>
      </c>
      <c r="K45" s="129" t="str">
        <f t="shared" si="2"/>
        <v xml:space="preserve">[ROLE] Friendly tutor specializing in Python | [TOPIC] Implement deterministic unit tests for network operations by utilizing mocking libraries like respx or pytest-httpx to intercept outgoing httpx requests and inject simulated JSON responses without hitting live endpoints | [LEVEL] Advanced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Python - HTTPX | 📊 Level: Advanced | 🌐 Coding5s.com
**Concept:** Testing and Mocking Requests (Using the responses library)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deterministic unit tests for network operations by utilizing mocking libraries like respx or pytest-httpx to intercept outgoing httpx requests and inject simulated JSON responses without hitting live endpoints. Topic details: Testing and Mocking Requests (Using the responses library)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Python - HTTPX | 📊 Level: Advanced
**Topic:** Implement deterministic unit tests for network operations by utilizing mocking libraries like respx or pytest-httpx to intercept outgoing httpx requests and inject simulated JSON responses without hitting live endpoints
---
 | [FOOTER RULE - STRICT] End your response with: '--- ⚡ *Coding5s Mentor System — Eliminating Epistemic Debt*' | </v>
      </c>
      <c r="M45" s="53">
        <v>0</v>
      </c>
      <c r="N45" s="102" t="str">
        <f t="shared" si="4"/>
        <v>[ROLE] Careless Python Developer | [TASK] Generate debugging challenges in Python | | [TOPIC] Implement deterministic unit tests for network operations by utilizing mocking libraries like respx or pytest-httpx to intercept outgoing httpx requests and inject simulated JSON responses without hitting live endpoints | | [LEVEL] Advanced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2 🐛 Debug | Python - HTTPX | 📊 Level: Advanced | 🌐 Coding5s.com
Concept: Testing and Mocking Requests (Using the responses library)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deterministic unit tests for network operations by utilizing mocking libraries like respx or pytest-httpx to intercept outgoing httpx requests and inject simulated JSON responses without hitting live endpoints. Topic details: Testing and Mocking Requests (Using the responses library)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Python - HTTPX | 📊 Level: Advanced
**Topic:** Implement deterministic unit tests for network operations by utilizing mocking libraries like respx or pytest-httpx to intercept outgoing httpx requests and inject simulated JSON responses without hitting live endpoints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2" t="str">
        <f t="shared" si="6"/>
        <v>[ROLE] Tech Lead | [TASK] Assign incomplete Python script challenges | [TOPIC] Implement deterministic unit tests for network operations by utilizing mocking libraries like respx or pytest-httpx to intercept outgoing httpx requests and inject simulated JSON responses without hitting live endpoints | [LEVEL] Advanced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3 🧩 Complete | Python - HTTPX | 📊 Level: Advanced | 🌐 Coding5s.com
**Concept:** Testing and Mocking Requests (Using the responses library)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deterministic unit tests for network operations by utilizing mocking libraries like respx or pytest-httpx to intercept outgoing httpx requests and inject simulated JSON responses without hitting live endpoints.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deterministic unit tests for network operations by utilizing mocking libraries like respx or pytest-httpx to intercept outgoing httpx requests and inject simulated JSON responses without hitting live endpoints. Topic details: Testing and Mocking Requests (Using the responses library)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Python - HTTPX | 📊 Level: Advanced
**Topic:** Implement deterministic unit tests for network operations by utilizing mocking libraries like respx or pytest-httpx to intercept outgoing httpx requests and inject simulated JSON responses without hitting live endpoints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2" t="str">
        <f t="shared" si="8"/>
        <v>[ROLE] Tech Lead | [TASK] Provide intentionally messy but functional code for learning debugging and improvement | [TOPIC] Implement deterministic unit tests for network operations by utilizing mocking libraries like respx or pytest-httpx to intercept outgoing httpx requests and inject simulated JSON responses without hitting live endpoints | [LEVEL] Advanced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Python - HTTPX | 📊 Level: Advanced | 🌐 Coding5s.com
**Concept:** Testing and Mocking Requests (Using the responses library)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deterministic unit tests for network operations by utilizing mocking libraries like respx or pytest-httpx to intercept outgoing httpx requests and inject simulated JSON responses without hitting live endpoints. Topic details: Testing and Mocking Requests (Using the responses library)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Python - HTTPX | 📊 Level: Advanced
**Topic:** Implement deterministic unit tests for network operations by utilizing mocking libraries like respx or pytest-httpx to intercept outgoing httpx requests and inject simulated JSON responses without hitting live endpoints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10"/>
        <v>[ROLE] Tech Product Manager assigning a Python Jira Ticket | [TASK] Provide a guided implementation exercise with full solution for learning purposes | [TOPIC] Implement deterministic unit tests for network operations by utilizing mocking libraries like respx or pytest-httpx to intercept outgoing httpx requests and inject simulated JSON responses without hitting live endpoints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Python - HTTPX | 📊 Level: Advanced | 🌐 Coding5s.com
**Concept:** Testing and Mocking Requests (Using the responses library)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deterministic unit tests for network operations by utilizing mocking libraries like respx or pytest-httpx to intercept outgoing httpx requests and inject simulated JSON responses without hitting live endpoints. Goal: Testing and Mocking Requests (Using the responses library)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Python - HTTPX | 📊 Level: Advanced
**Topic:** Implement deterministic unit tests for network operations by utilizing mocking libraries like respx or pytest-httpx to intercept outgoing httpx requests and inject simulated JSON responses without hitting live endpoints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xml:space="preserve">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v>
      </c>
      <c r="B46" s="45">
        <f t="shared" si="1"/>
        <v>6</v>
      </c>
      <c r="C46" s="95" t="s">
        <v>786</v>
      </c>
      <c r="D46" s="57">
        <v>0</v>
      </c>
      <c r="E46" s="58" t="s">
        <v>708</v>
      </c>
      <c r="F46" s="59">
        <v>38</v>
      </c>
      <c r="G46" s="60" t="s">
        <v>159</v>
      </c>
      <c r="H46" s="60" t="s">
        <v>77</v>
      </c>
      <c r="I46" s="61" t="s">
        <v>851</v>
      </c>
      <c r="J46" s="62" t="s">
        <v>852</v>
      </c>
      <c r="K46" s="129" t="str">
        <f t="shared" si="2"/>
        <v>[TASK] Teach through a practical Python - HTTPX project following the micro-learning methodology, acting as a supportive tutor, creating a project about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#38 | Stage 1 | Python - HTTPX | 📊 Level: Advanced | 🌐 Coding5s.com
**Project:** Project 6: Resilient Data Pipeline (Prepared requests, hooks, retries, mocking)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6"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Topics applied in this project: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Project objective: Project 6: Resilient Data Pipeline (Prepared requests, hooks, retries, mocking)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#38 | Practice | Python - HTTPX | 📊 Level: Advanced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 [FOOTER RULE - STRICT] End your response with: '--- ⚡ *Coding5s Mentor System — Eliminating Epistemic Debt*' | </v>
      </c>
      <c r="M46" s="52">
        <v>0</v>
      </c>
      <c r="N46" s="102" t="str">
        <f t="shared" si="4"/>
        <v>[ROLE] Careless Python Developer | [TASK] Generate debugging project in Python |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[OUTPUT] Only header, dataset summary or statement (if any), email intro, objective, expected output, broken code, and footer | [HEADER RULE - STRICT] You MUST start your entire response EXACTLY with this markdown block (do not print anything before it):
### 🚀 Project #38 | Stage 2 | Python - HTTPX | 📊 Level: Advanced | 🌐 Coding5s.com
Project: Project 6: Resilient Data Pipeline (Prepared requests, hooks, retries, mocking)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Topics involved: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Project objective: Project 6: Resilient Data Pipeline (Prepared requests, hooks, retries, mocking)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#38 | Debug | Python - HTTPX | 📊 Level: Advanced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2" t="str">
        <f t="shared" si="6"/>
        <v>[ROLE] Tech Lead | [TASK] Assign incomplete project script |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#38 | Stage 3 | Python - HTTPX | 📊 Level: Advanced | 🌐 Coding5s.com
**Project:** Project 6: Resilient Data Pipeline (Prepared requests, hooks, retries, mocking)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Topics involved: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Project objective: Project 6: Resilient Data Pipeline (Prepared requests, hooks, retries, mocking)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#38 | Complete | Python - HTTPX | 📊 Level: Advanced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2" t="str">
        <f t="shared" si="8"/>
        <v>[ROLE] Tech Lead | [TASK] Provide a messy but functional project for refactoring |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[PERSONA RULE] Act as a Tech Lead. A junior wrote this working but messy code. Tone: professional but exhausted | [HEADER RULE - STRICT] You MUST start your entire response EXACTLY with this markdown block (do not print anything before it):
### 🚀 Project #38 | Stage 4 | Python - HTTPX | 📊 Level: Advanced | 🌐 Coding5s.com
**Project:** Project 6: Resilient Data Pipeline (Prepared requests, hooks, retries, mocking)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Topics involved: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Project objective: Project 6: Resilient Data Pipeline (Prepared requests, hooks, retries, mocking)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#38 | Refactor | Python - HTTPX | 📊 Level: Advanced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10"/>
        <v>[ROLE] Tech Product Manager assigning a Python Jira Ticket | [TASK] Provide a guided project implementation with full solution |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#38 | Stage 5 | Python - HTTPX | 📊 Level: Advanced | 🌐 Coding5s.com
**Project:** Project 6: Resilient Data Pipeline (Prepared requests, hooks, retries, mocking)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Topics integrated: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Business Goal: Project 6: Resilient Data Pipeline (Prepared requests, hooks, retries, mocking)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#38 | Extend | Python - HTTPX | 📊 Level: Advanced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[TASK] Teach through a practical Python - HTTPX project following the micro-learning methodology, acting as a supportive tutor, creating a project about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#38 | Stage 1 | Python - HTTPX | 📊 Level: Advanced | 🌐 Coding5s.com
**Project:** Project 6: Resilient Data Pipeline (Prepared requests, hooks, retries, mocking)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6" s="56" t="str">
        <f t="shared" si="13"/>
        <v>[ROLE] Careless Python Developer | [TASK] Generate debugging project in Python |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[OUTPUT] Only header, dataset summary or statement (if any), email intro, objective, expected output, broken code, and footer | [HEADER RULE - STRICT] You MUST start your entire response EXACTLY with this markdown block (do not print anything before it):
### 🚀 Project #38 | Stage 2 | Python - HTTPX | 📊 Level: Advanced | 🌐 Coding5s.com
Project: Project 6: Resilient Data Pipeline (Prepared requests, hooks, retries, mocking)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6" s="56" t="str">
        <f t="shared" si="14"/>
        <v>[ROLE] Tech Lead | [TASK] Assign incomplete project script |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#38 | Stage 3 | Python - HTTPX | 📊 Level: Advanced | 🌐 Coding5s.com
**Project:** Project 6: Resilient Data Pipeline (Prepared requests, hooks, retries, mocking)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6" s="56" t="str">
        <f t="shared" si="15"/>
        <v>[ROLE] Tech Lead | [TASK] Provide a messy but functional project for refactoring |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[PERSONA RULE] Act as a Tech Lead. A junior wrote this working but messy code. Tone: professional but exhausted | [HEADER RULE - STRICT] You MUST start your entire response EXACTLY with this markdown block (do not print anything before it):
### 🚀 Project #38 | Stage 4 | Python - HTTPX | 📊 Level: Advanced | 🌐 Coding5s.com
**Project:** Project 6: Resilient Data Pipeline (Prepared requests, hooks, retries, mocking)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6" s="56" t="str">
        <f t="shared" si="16"/>
        <v>[ROLE] Tech Product Manager assigning a Python Jira Ticket | [TASK] Provide a guided project implementation with full solution |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#38 | Stage 5 | Python - HTTPX | 📊 Level: Advanced | 🌐 Coding5s.com
**Project:** Project 6: Resilient Data Pipeline (Prepared requests, hooks, retries, mocking)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t="str">
        <f t="shared" si="1"/>
        <v/>
      </c>
      <c r="C47" s="95"/>
      <c r="D47" s="46"/>
      <c r="E47" s="58"/>
      <c r="F47" s="48"/>
      <c r="G47" s="49"/>
      <c r="H47" s="49"/>
      <c r="I47" s="50"/>
      <c r="J47" s="51"/>
      <c r="K47" s="129" t="str">
        <f t="shared" si="2"/>
        <v/>
      </c>
      <c r="L47" s="103" t="str">
        <f t="shared" si="3"/>
        <v/>
      </c>
      <c r="M47" s="53">
        <v>0</v>
      </c>
      <c r="N47" s="102" t="str">
        <f t="shared" si="4"/>
        <v/>
      </c>
      <c r="O47" s="103" t="str">
        <f t="shared" si="5"/>
        <v/>
      </c>
      <c r="P47" s="53">
        <v>0</v>
      </c>
      <c r="Q47" s="102" t="str">
        <f t="shared" si="6"/>
        <v/>
      </c>
      <c r="R47" s="103" t="str">
        <f t="shared" si="7"/>
        <v/>
      </c>
      <c r="S47" s="53">
        <v>0</v>
      </c>
      <c r="T47" s="102" t="str">
        <f t="shared" si="8"/>
        <v/>
      </c>
      <c r="U47" s="103" t="str">
        <f t="shared" si="9"/>
        <v/>
      </c>
      <c r="V47" s="53">
        <v>0</v>
      </c>
      <c r="W47" s="87" t="str">
        <f t="shared" si="10"/>
        <v/>
      </c>
      <c r="X47" s="103" t="str">
        <f t="shared" si="11"/>
        <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t="str">
        <f t="shared" si="1"/>
        <v/>
      </c>
      <c r="C48" s="95"/>
      <c r="D48" s="57"/>
      <c r="E48" s="58"/>
      <c r="F48" s="59"/>
      <c r="G48" s="60"/>
      <c r="H48" s="60"/>
      <c r="I48" s="61"/>
      <c r="J48" s="62"/>
      <c r="K48" s="129" t="str">
        <f t="shared" si="2"/>
        <v/>
      </c>
      <c r="L48" s="103" t="str">
        <f t="shared" si="3"/>
        <v/>
      </c>
      <c r="M48" s="52">
        <v>0</v>
      </c>
      <c r="N48" s="102" t="str">
        <f t="shared" si="4"/>
        <v/>
      </c>
      <c r="O48" s="103" t="str">
        <f t="shared" si="5"/>
        <v/>
      </c>
      <c r="P48" s="52">
        <v>0</v>
      </c>
      <c r="Q48" s="102" t="str">
        <f t="shared" si="6"/>
        <v/>
      </c>
      <c r="R48" s="103" t="str">
        <f t="shared" si="7"/>
        <v/>
      </c>
      <c r="S48" s="52">
        <v>0</v>
      </c>
      <c r="T48" s="102" t="str">
        <f t="shared" si="8"/>
        <v/>
      </c>
      <c r="U48" s="103" t="str">
        <f t="shared" si="9"/>
        <v/>
      </c>
      <c r="V48" s="52">
        <v>0</v>
      </c>
      <c r="W48" s="87" t="str">
        <f t="shared" si="10"/>
        <v/>
      </c>
      <c r="X48" s="103" t="str">
        <f t="shared" si="11"/>
        <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t="str">
        <f t="shared" si="1"/>
        <v/>
      </c>
      <c r="C49" s="95"/>
      <c r="D49" s="46"/>
      <c r="E49" s="58"/>
      <c r="F49" s="48"/>
      <c r="G49" s="49"/>
      <c r="H49" s="49"/>
      <c r="I49" s="50"/>
      <c r="J49" s="51"/>
      <c r="K49" s="129" t="str">
        <f t="shared" si="2"/>
        <v/>
      </c>
      <c r="L49" s="103" t="str">
        <f t="shared" si="3"/>
        <v/>
      </c>
      <c r="M49" s="53">
        <v>0</v>
      </c>
      <c r="N49" s="102" t="str">
        <f t="shared" si="4"/>
        <v/>
      </c>
      <c r="O49" s="103" t="str">
        <f t="shared" si="5"/>
        <v/>
      </c>
      <c r="P49" s="53">
        <v>0</v>
      </c>
      <c r="Q49" s="102" t="str">
        <f t="shared" si="6"/>
        <v/>
      </c>
      <c r="R49" s="103" t="str">
        <f t="shared" si="7"/>
        <v/>
      </c>
      <c r="S49" s="53">
        <v>0</v>
      </c>
      <c r="T49" s="102" t="str">
        <f t="shared" si="8"/>
        <v/>
      </c>
      <c r="U49" s="103" t="str">
        <f t="shared" si="9"/>
        <v/>
      </c>
      <c r="V49" s="53">
        <v>0</v>
      </c>
      <c r="W49" s="87" t="str">
        <f t="shared" si="10"/>
        <v/>
      </c>
      <c r="X49" s="103" t="str">
        <f t="shared" si="11"/>
        <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t="str">
        <f t="shared" si="1"/>
        <v/>
      </c>
      <c r="C50" s="95"/>
      <c r="D50" s="57"/>
      <c r="E50" s="58"/>
      <c r="F50" s="59"/>
      <c r="G50" s="60"/>
      <c r="H50" s="60"/>
      <c r="I50" s="61"/>
      <c r="J50" s="62"/>
      <c r="K50" s="129" t="str">
        <f t="shared" si="2"/>
        <v/>
      </c>
      <c r="L50" s="103" t="str">
        <f t="shared" si="3"/>
        <v/>
      </c>
      <c r="M50" s="52">
        <v>0</v>
      </c>
      <c r="N50" s="102" t="str">
        <f t="shared" si="4"/>
        <v/>
      </c>
      <c r="O50" s="103" t="str">
        <f t="shared" si="5"/>
        <v/>
      </c>
      <c r="P50" s="52">
        <v>0</v>
      </c>
      <c r="Q50" s="102" t="str">
        <f t="shared" si="6"/>
        <v/>
      </c>
      <c r="R50" s="103" t="str">
        <f t="shared" si="7"/>
        <v/>
      </c>
      <c r="S50" s="52">
        <v>0</v>
      </c>
      <c r="T50" s="102" t="str">
        <f t="shared" si="8"/>
        <v/>
      </c>
      <c r="U50" s="103" t="str">
        <f t="shared" si="9"/>
        <v/>
      </c>
      <c r="V50" s="52">
        <v>0</v>
      </c>
      <c r="W50" s="87" t="str">
        <f t="shared" si="10"/>
        <v/>
      </c>
      <c r="X50" s="103" t="str">
        <f t="shared" si="11"/>
        <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t="str">
        <f t="shared" si="1"/>
        <v/>
      </c>
      <c r="C51" s="95"/>
      <c r="D51" s="46"/>
      <c r="E51" s="58"/>
      <c r="F51" s="48"/>
      <c r="G51" s="49"/>
      <c r="H51" s="49"/>
      <c r="I51" s="50"/>
      <c r="J51" s="51"/>
      <c r="K51" s="129" t="str">
        <f t="shared" si="2"/>
        <v/>
      </c>
      <c r="L51" s="103" t="str">
        <f t="shared" si="3"/>
        <v/>
      </c>
      <c r="M51" s="53">
        <v>0</v>
      </c>
      <c r="N51" s="102" t="str">
        <f t="shared" si="4"/>
        <v/>
      </c>
      <c r="O51" s="103" t="str">
        <f t="shared" si="5"/>
        <v/>
      </c>
      <c r="P51" s="53">
        <v>0</v>
      </c>
      <c r="Q51" s="102" t="str">
        <f t="shared" si="6"/>
        <v/>
      </c>
      <c r="R51" s="103" t="str">
        <f t="shared" si="7"/>
        <v/>
      </c>
      <c r="S51" s="53">
        <v>0</v>
      </c>
      <c r="T51" s="102" t="str">
        <f t="shared" si="8"/>
        <v/>
      </c>
      <c r="U51" s="103" t="str">
        <f t="shared" si="9"/>
        <v/>
      </c>
      <c r="V51" s="53">
        <v>0</v>
      </c>
      <c r="W51" s="87" t="str">
        <f t="shared" si="10"/>
        <v/>
      </c>
      <c r="X51" s="103" t="str">
        <f t="shared" si="11"/>
        <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t="str">
        <f t="shared" si="1"/>
        <v/>
      </c>
      <c r="C52" s="95"/>
      <c r="D52" s="57"/>
      <c r="E52" s="58"/>
      <c r="F52" s="59"/>
      <c r="G52" s="60"/>
      <c r="H52" s="60"/>
      <c r="I52" s="61"/>
      <c r="J52" s="62"/>
      <c r="K52" s="129" t="str">
        <f t="shared" si="2"/>
        <v/>
      </c>
      <c r="L52" s="103" t="str">
        <f t="shared" si="3"/>
        <v/>
      </c>
      <c r="M52" s="52">
        <v>0</v>
      </c>
      <c r="N52" s="102" t="str">
        <f t="shared" si="4"/>
        <v/>
      </c>
      <c r="O52" s="103" t="str">
        <f t="shared" si="5"/>
        <v/>
      </c>
      <c r="P52" s="52">
        <v>0</v>
      </c>
      <c r="Q52" s="102" t="str">
        <f t="shared" si="6"/>
        <v/>
      </c>
      <c r="R52" s="103" t="str">
        <f t="shared" si="7"/>
        <v/>
      </c>
      <c r="S52" s="52">
        <v>0</v>
      </c>
      <c r="T52" s="102" t="str">
        <f t="shared" si="8"/>
        <v/>
      </c>
      <c r="U52" s="103" t="str">
        <f t="shared" si="9"/>
        <v/>
      </c>
      <c r="V52" s="52">
        <v>0</v>
      </c>
      <c r="W52" s="87" t="str">
        <f t="shared" si="10"/>
        <v/>
      </c>
      <c r="X52" s="103" t="str">
        <f t="shared" si="11"/>
        <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t="str">
        <f t="shared" si="1"/>
        <v/>
      </c>
      <c r="C53" s="95"/>
      <c r="D53" s="46"/>
      <c r="E53" s="58"/>
      <c r="F53" s="48"/>
      <c r="G53" s="49"/>
      <c r="H53" s="49"/>
      <c r="I53" s="50"/>
      <c r="J53" s="51"/>
      <c r="K53" s="129" t="str">
        <f t="shared" si="2"/>
        <v/>
      </c>
      <c r="L53" s="103" t="str">
        <f t="shared" si="3"/>
        <v/>
      </c>
      <c r="M53" s="53">
        <v>0</v>
      </c>
      <c r="N53" s="102" t="str">
        <f t="shared" si="4"/>
        <v/>
      </c>
      <c r="O53" s="103" t="str">
        <f t="shared" si="5"/>
        <v/>
      </c>
      <c r="P53" s="53">
        <v>0</v>
      </c>
      <c r="Q53" s="102" t="str">
        <f t="shared" si="6"/>
        <v/>
      </c>
      <c r="R53" s="103" t="str">
        <f t="shared" si="7"/>
        <v/>
      </c>
      <c r="S53" s="53">
        <v>0</v>
      </c>
      <c r="T53" s="102" t="str">
        <f t="shared" si="8"/>
        <v/>
      </c>
      <c r="U53" s="103" t="str">
        <f t="shared" si="9"/>
        <v/>
      </c>
      <c r="V53" s="53">
        <v>0</v>
      </c>
      <c r="W53" s="87" t="str">
        <f t="shared" si="10"/>
        <v/>
      </c>
      <c r="X53" s="103" t="str">
        <f t="shared" si="11"/>
        <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t="str">
        <f t="shared" si="1"/>
        <v/>
      </c>
      <c r="C54" s="95"/>
      <c r="D54" s="57"/>
      <c r="E54" s="58"/>
      <c r="F54" s="59"/>
      <c r="G54" s="60"/>
      <c r="H54" s="60"/>
      <c r="I54" s="61"/>
      <c r="J54" s="62"/>
      <c r="K54" s="129" t="str">
        <f t="shared" si="2"/>
        <v/>
      </c>
      <c r="L54" s="103" t="str">
        <f t="shared" si="3"/>
        <v/>
      </c>
      <c r="M54" s="52">
        <v>0</v>
      </c>
      <c r="N54" s="102" t="str">
        <f t="shared" si="4"/>
        <v/>
      </c>
      <c r="O54" s="103" t="str">
        <f t="shared" si="5"/>
        <v/>
      </c>
      <c r="P54" s="52">
        <v>0</v>
      </c>
      <c r="Q54" s="102" t="str">
        <f t="shared" si="6"/>
        <v/>
      </c>
      <c r="R54" s="103" t="str">
        <f t="shared" si="7"/>
        <v/>
      </c>
      <c r="S54" s="52">
        <v>0</v>
      </c>
      <c r="T54" s="102" t="str">
        <f t="shared" si="8"/>
        <v/>
      </c>
      <c r="U54" s="103" t="str">
        <f t="shared" si="9"/>
        <v/>
      </c>
      <c r="V54" s="52">
        <v>0</v>
      </c>
      <c r="W54" s="87" t="str">
        <f t="shared" si="10"/>
        <v/>
      </c>
      <c r="X54" s="103" t="str">
        <f t="shared" si="11"/>
        <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t="str">
        <f t="shared" si="1"/>
        <v/>
      </c>
      <c r="C55" s="95"/>
      <c r="D55" s="46"/>
      <c r="E55" s="58"/>
      <c r="F55" s="48"/>
      <c r="G55" s="49"/>
      <c r="H55" s="49"/>
      <c r="I55" s="50"/>
      <c r="J55" s="51"/>
      <c r="K55" s="129" t="str">
        <f t="shared" si="2"/>
        <v/>
      </c>
      <c r="L55" s="103" t="str">
        <f t="shared" si="3"/>
        <v/>
      </c>
      <c r="M55" s="53">
        <v>0</v>
      </c>
      <c r="N55" s="102" t="str">
        <f t="shared" si="4"/>
        <v/>
      </c>
      <c r="O55" s="103" t="str">
        <f t="shared" si="5"/>
        <v/>
      </c>
      <c r="P55" s="53">
        <v>0</v>
      </c>
      <c r="Q55" s="102" t="str">
        <f t="shared" si="6"/>
        <v/>
      </c>
      <c r="R55" s="103" t="str">
        <f t="shared" si="7"/>
        <v/>
      </c>
      <c r="S55" s="53">
        <v>0</v>
      </c>
      <c r="T55" s="102" t="str">
        <f t="shared" si="8"/>
        <v/>
      </c>
      <c r="U55" s="103" t="str">
        <f t="shared" si="9"/>
        <v/>
      </c>
      <c r="V55" s="53">
        <v>0</v>
      </c>
      <c r="W55" s="87" t="str">
        <f t="shared" si="10"/>
        <v/>
      </c>
      <c r="X55" s="103" t="str">
        <f t="shared" si="11"/>
        <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t="str">
        <f t="shared" si="1"/>
        <v/>
      </c>
      <c r="C56" s="95"/>
      <c r="D56" s="57"/>
      <c r="E56" s="58"/>
      <c r="F56" s="63"/>
      <c r="G56" s="60"/>
      <c r="H56" s="64"/>
      <c r="I56" s="61"/>
      <c r="J56" s="62"/>
      <c r="K56" s="129" t="str">
        <f t="shared" si="2"/>
        <v/>
      </c>
      <c r="L56" s="103" t="str">
        <f t="shared" si="3"/>
        <v/>
      </c>
      <c r="M56" s="52">
        <v>0</v>
      </c>
      <c r="N56" s="102" t="str">
        <f t="shared" si="4"/>
        <v/>
      </c>
      <c r="O56" s="103" t="str">
        <f t="shared" si="5"/>
        <v/>
      </c>
      <c r="P56" s="52">
        <v>0</v>
      </c>
      <c r="Q56" s="102" t="str">
        <f t="shared" si="6"/>
        <v/>
      </c>
      <c r="R56" s="103" t="str">
        <f t="shared" si="7"/>
        <v/>
      </c>
      <c r="S56" s="52">
        <v>0</v>
      </c>
      <c r="T56" s="102" t="str">
        <f t="shared" si="8"/>
        <v/>
      </c>
      <c r="U56" s="103" t="str">
        <f t="shared" si="9"/>
        <v/>
      </c>
      <c r="V56" s="52">
        <v>0</v>
      </c>
      <c r="W56" s="87" t="str">
        <f t="shared" si="10"/>
        <v/>
      </c>
      <c r="X56" s="103" t="str">
        <f t="shared" si="11"/>
        <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c>
      <c r="B57" s="45" t="str">
        <f t="shared" si="1"/>
        <v/>
      </c>
      <c r="C57" s="95"/>
      <c r="D57" s="46"/>
      <c r="E57" s="58"/>
      <c r="F57" s="65"/>
      <c r="G57" s="49"/>
      <c r="H57" s="66"/>
      <c r="I57" s="50"/>
      <c r="J57" s="51"/>
      <c r="K57" s="129" t="str">
        <f t="shared" si="2"/>
        <v/>
      </c>
      <c r="L57" s="103" t="str">
        <f t="shared" si="3"/>
        <v/>
      </c>
      <c r="M57" s="53">
        <v>0</v>
      </c>
      <c r="N57" s="102" t="str">
        <f t="shared" si="4"/>
        <v/>
      </c>
      <c r="O57" s="103" t="str">
        <f t="shared" si="5"/>
        <v/>
      </c>
      <c r="P57" s="53">
        <v>0</v>
      </c>
      <c r="Q57" s="102" t="str">
        <f t="shared" si="6"/>
        <v/>
      </c>
      <c r="R57" s="103" t="str">
        <f t="shared" si="7"/>
        <v/>
      </c>
      <c r="S57" s="53">
        <v>0</v>
      </c>
      <c r="T57" s="102" t="str">
        <f t="shared" si="8"/>
        <v/>
      </c>
      <c r="U57" s="103" t="str">
        <f t="shared" si="9"/>
        <v/>
      </c>
      <c r="V57" s="53">
        <v>0</v>
      </c>
      <c r="W57" s="87" t="str">
        <f t="shared" si="10"/>
        <v/>
      </c>
      <c r="X57" s="103" t="str">
        <f t="shared" si="11"/>
        <v/>
      </c>
      <c r="Y57" s="53">
        <v>0</v>
      </c>
      <c r="Z57" s="56" t="str">
        <f t="shared" si="12"/>
        <v/>
      </c>
      <c r="AA57" s="56" t="str">
        <f t="shared" si="13"/>
        <v/>
      </c>
      <c r="AB57" s="56" t="str">
        <f t="shared" si="14"/>
        <v/>
      </c>
      <c r="AC57" s="56" t="str">
        <f t="shared" si="15"/>
        <v/>
      </c>
      <c r="AD57" s="56" t="str">
        <f t="shared" si="16"/>
        <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t="str">
        <f t="shared" si="1"/>
        <v/>
      </c>
      <c r="C58" s="95"/>
      <c r="D58" s="57"/>
      <c r="E58" s="58"/>
      <c r="F58" s="63"/>
      <c r="G58" s="60"/>
      <c r="H58" s="64"/>
      <c r="I58" s="61"/>
      <c r="J58" s="62"/>
      <c r="K58" s="129" t="str">
        <f t="shared" si="2"/>
        <v/>
      </c>
      <c r="L58" s="103" t="str">
        <f t="shared" si="3"/>
        <v/>
      </c>
      <c r="M58" s="52">
        <v>0</v>
      </c>
      <c r="N58" s="102" t="str">
        <f t="shared" si="4"/>
        <v/>
      </c>
      <c r="O58" s="103" t="str">
        <f t="shared" si="5"/>
        <v/>
      </c>
      <c r="P58" s="52">
        <v>0</v>
      </c>
      <c r="Q58" s="102" t="str">
        <f t="shared" si="6"/>
        <v/>
      </c>
      <c r="R58" s="103" t="str">
        <f t="shared" si="7"/>
        <v/>
      </c>
      <c r="S58" s="52">
        <v>0</v>
      </c>
      <c r="T58" s="102" t="str">
        <f t="shared" si="8"/>
        <v/>
      </c>
      <c r="U58" s="103" t="str">
        <f t="shared" si="9"/>
        <v/>
      </c>
      <c r="V58" s="52">
        <v>0</v>
      </c>
      <c r="W58" s="87" t="str">
        <f t="shared" si="10"/>
        <v/>
      </c>
      <c r="X58" s="103" t="str">
        <f t="shared" si="11"/>
        <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t="str">
        <f t="shared" si="1"/>
        <v/>
      </c>
      <c r="C59" s="95"/>
      <c r="D59" s="46"/>
      <c r="E59" s="58"/>
      <c r="F59" s="65"/>
      <c r="G59" s="49"/>
      <c r="H59" s="66"/>
      <c r="I59" s="50"/>
      <c r="J59" s="51"/>
      <c r="K59" s="129" t="str">
        <f t="shared" si="2"/>
        <v/>
      </c>
      <c r="L59" s="103" t="str">
        <f t="shared" si="3"/>
        <v/>
      </c>
      <c r="M59" s="53">
        <v>0</v>
      </c>
      <c r="N59" s="102" t="str">
        <f t="shared" si="4"/>
        <v/>
      </c>
      <c r="O59" s="103" t="str">
        <f t="shared" si="5"/>
        <v/>
      </c>
      <c r="P59" s="53">
        <v>0</v>
      </c>
      <c r="Q59" s="102" t="str">
        <f t="shared" si="6"/>
        <v/>
      </c>
      <c r="R59" s="103" t="str">
        <f t="shared" si="7"/>
        <v/>
      </c>
      <c r="S59" s="53">
        <v>0</v>
      </c>
      <c r="T59" s="102" t="str">
        <f t="shared" si="8"/>
        <v/>
      </c>
      <c r="U59" s="103" t="str">
        <f t="shared" si="9"/>
        <v/>
      </c>
      <c r="V59" s="53">
        <v>0</v>
      </c>
      <c r="W59" s="87" t="str">
        <f t="shared" si="10"/>
        <v/>
      </c>
      <c r="X59" s="103" t="str">
        <f t="shared" si="11"/>
        <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t="str">
        <f t="shared" si="1"/>
        <v/>
      </c>
      <c r="C60" s="95"/>
      <c r="D60" s="57"/>
      <c r="E60" s="58"/>
      <c r="F60" s="63"/>
      <c r="G60" s="60"/>
      <c r="H60" s="64"/>
      <c r="I60" s="61"/>
      <c r="J60" s="62"/>
      <c r="K60" s="129" t="str">
        <f t="shared" si="2"/>
        <v/>
      </c>
      <c r="L60" s="103" t="str">
        <f t="shared" si="3"/>
        <v/>
      </c>
      <c r="M60" s="52">
        <v>0</v>
      </c>
      <c r="N60" s="102" t="str">
        <f t="shared" si="4"/>
        <v/>
      </c>
      <c r="O60" s="103" t="str">
        <f t="shared" si="5"/>
        <v/>
      </c>
      <c r="P60" s="52">
        <v>0</v>
      </c>
      <c r="Q60" s="102" t="str">
        <f t="shared" si="6"/>
        <v/>
      </c>
      <c r="R60" s="103" t="str">
        <f t="shared" si="7"/>
        <v/>
      </c>
      <c r="S60" s="52">
        <v>0</v>
      </c>
      <c r="T60" s="102" t="str">
        <f t="shared" si="8"/>
        <v/>
      </c>
      <c r="U60" s="103" t="str">
        <f t="shared" si="9"/>
        <v/>
      </c>
      <c r="V60" s="52">
        <v>0</v>
      </c>
      <c r="W60" s="87" t="str">
        <f t="shared" si="10"/>
        <v/>
      </c>
      <c r="X60" s="103" t="str">
        <f t="shared" si="11"/>
        <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t="str">
        <f t="shared" si="1"/>
        <v/>
      </c>
      <c r="C61" s="95"/>
      <c r="D61" s="46"/>
      <c r="E61" s="58"/>
      <c r="F61" s="65"/>
      <c r="G61" s="49"/>
      <c r="H61" s="66"/>
      <c r="I61" s="50"/>
      <c r="J61" s="51"/>
      <c r="K61" s="129" t="str">
        <f t="shared" si="2"/>
        <v/>
      </c>
      <c r="L61" s="103" t="str">
        <f t="shared" si="3"/>
        <v/>
      </c>
      <c r="M61" s="53">
        <v>0</v>
      </c>
      <c r="N61" s="102" t="str">
        <f t="shared" si="4"/>
        <v/>
      </c>
      <c r="O61" s="103" t="str">
        <f t="shared" si="5"/>
        <v/>
      </c>
      <c r="P61" s="53">
        <v>0</v>
      </c>
      <c r="Q61" s="102" t="str">
        <f t="shared" si="6"/>
        <v/>
      </c>
      <c r="R61" s="103" t="str">
        <f t="shared" si="7"/>
        <v/>
      </c>
      <c r="S61" s="53">
        <v>0</v>
      </c>
      <c r="T61" s="102" t="str">
        <f t="shared" si="8"/>
        <v/>
      </c>
      <c r="U61" s="103" t="str">
        <f t="shared" si="9"/>
        <v/>
      </c>
      <c r="V61" s="53">
        <v>0</v>
      </c>
      <c r="W61" s="87" t="str">
        <f t="shared" si="10"/>
        <v/>
      </c>
      <c r="X61" s="103" t="str">
        <f t="shared" si="11"/>
        <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t="str">
        <f t="shared" si="1"/>
        <v/>
      </c>
      <c r="C62" s="95"/>
      <c r="D62" s="57"/>
      <c r="E62" s="58"/>
      <c r="F62" s="63"/>
      <c r="G62" s="60"/>
      <c r="H62" s="64"/>
      <c r="I62" s="61"/>
      <c r="J62" s="62"/>
      <c r="K62" s="129" t="str">
        <f t="shared" si="2"/>
        <v/>
      </c>
      <c r="L62" s="103" t="str">
        <f t="shared" si="3"/>
        <v/>
      </c>
      <c r="M62" s="52">
        <v>0</v>
      </c>
      <c r="N62" s="102" t="str">
        <f t="shared" si="4"/>
        <v/>
      </c>
      <c r="O62" s="103" t="str">
        <f t="shared" si="5"/>
        <v/>
      </c>
      <c r="P62" s="52">
        <v>0</v>
      </c>
      <c r="Q62" s="102" t="str">
        <f t="shared" si="6"/>
        <v/>
      </c>
      <c r="R62" s="103" t="str">
        <f t="shared" si="7"/>
        <v/>
      </c>
      <c r="S62" s="52">
        <v>0</v>
      </c>
      <c r="T62" s="102" t="str">
        <f t="shared" si="8"/>
        <v/>
      </c>
      <c r="U62" s="103" t="str">
        <f t="shared" si="9"/>
        <v/>
      </c>
      <c r="V62" s="52">
        <v>0</v>
      </c>
      <c r="W62" s="87" t="str">
        <f t="shared" si="10"/>
        <v/>
      </c>
      <c r="X62" s="103" t="str">
        <f t="shared" si="11"/>
        <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t="str">
        <f t="shared" si="1"/>
        <v/>
      </c>
      <c r="C63" s="95"/>
      <c r="D63" s="46"/>
      <c r="E63" s="58"/>
      <c r="F63" s="65"/>
      <c r="G63" s="49"/>
      <c r="H63" s="66"/>
      <c r="I63" s="50"/>
      <c r="J63" s="51"/>
      <c r="K63" s="129" t="str">
        <f t="shared" si="2"/>
        <v/>
      </c>
      <c r="L63" s="103" t="str">
        <f t="shared" si="3"/>
        <v/>
      </c>
      <c r="M63" s="53">
        <v>0</v>
      </c>
      <c r="N63" s="102" t="str">
        <f t="shared" si="4"/>
        <v/>
      </c>
      <c r="O63" s="103" t="str">
        <f t="shared" si="5"/>
        <v/>
      </c>
      <c r="P63" s="53">
        <v>0</v>
      </c>
      <c r="Q63" s="102" t="str">
        <f t="shared" si="6"/>
        <v/>
      </c>
      <c r="R63" s="103" t="str">
        <f t="shared" si="7"/>
        <v/>
      </c>
      <c r="S63" s="53">
        <v>0</v>
      </c>
      <c r="T63" s="102" t="str">
        <f t="shared" si="8"/>
        <v/>
      </c>
      <c r="U63" s="103" t="str">
        <f t="shared" si="9"/>
        <v/>
      </c>
      <c r="V63" s="53">
        <v>0</v>
      </c>
      <c r="W63" s="87" t="str">
        <f t="shared" si="10"/>
        <v/>
      </c>
      <c r="X63" s="103" t="str">
        <f t="shared" si="11"/>
        <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t="str">
        <f t="shared" si="1"/>
        <v/>
      </c>
      <c r="C64" s="95"/>
      <c r="D64" s="57"/>
      <c r="E64" s="58"/>
      <c r="F64" s="63"/>
      <c r="G64" s="60"/>
      <c r="H64" s="64"/>
      <c r="I64" s="61"/>
      <c r="J64" s="62"/>
      <c r="K64" s="129" t="str">
        <f t="shared" si="2"/>
        <v/>
      </c>
      <c r="L64" s="103" t="str">
        <f t="shared" si="3"/>
        <v/>
      </c>
      <c r="M64" s="52">
        <v>0</v>
      </c>
      <c r="N64" s="102" t="str">
        <f t="shared" si="4"/>
        <v/>
      </c>
      <c r="O64" s="103" t="str">
        <f t="shared" si="5"/>
        <v/>
      </c>
      <c r="P64" s="52">
        <v>0</v>
      </c>
      <c r="Q64" s="102" t="str">
        <f t="shared" si="6"/>
        <v/>
      </c>
      <c r="R64" s="103" t="str">
        <f t="shared" si="7"/>
        <v/>
      </c>
      <c r="S64" s="52">
        <v>0</v>
      </c>
      <c r="T64" s="102" t="str">
        <f t="shared" si="8"/>
        <v/>
      </c>
      <c r="U64" s="103" t="str">
        <f t="shared" si="9"/>
        <v/>
      </c>
      <c r="V64" s="52">
        <v>0</v>
      </c>
      <c r="W64" s="87" t="str">
        <f t="shared" si="10"/>
        <v/>
      </c>
      <c r="X64" s="103" t="str">
        <f t="shared" si="11"/>
        <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t="str">
        <f t="shared" si="1"/>
        <v/>
      </c>
      <c r="C65" s="95"/>
      <c r="D65" s="46"/>
      <c r="E65" s="58"/>
      <c r="F65" s="65"/>
      <c r="G65" s="49"/>
      <c r="H65" s="66"/>
      <c r="I65" s="50"/>
      <c r="J65" s="51"/>
      <c r="K65" s="129" t="str">
        <f t="shared" si="2"/>
        <v/>
      </c>
      <c r="L65" s="103" t="str">
        <f t="shared" si="3"/>
        <v/>
      </c>
      <c r="M65" s="53">
        <v>0</v>
      </c>
      <c r="N65" s="102" t="str">
        <f t="shared" si="4"/>
        <v/>
      </c>
      <c r="O65" s="103" t="str">
        <f t="shared" si="5"/>
        <v/>
      </c>
      <c r="P65" s="53">
        <v>0</v>
      </c>
      <c r="Q65" s="102" t="str">
        <f t="shared" si="6"/>
        <v/>
      </c>
      <c r="R65" s="103" t="str">
        <f t="shared" si="7"/>
        <v/>
      </c>
      <c r="S65" s="53">
        <v>0</v>
      </c>
      <c r="T65" s="102" t="str">
        <f t="shared" si="8"/>
        <v/>
      </c>
      <c r="U65" s="103" t="str">
        <f t="shared" si="9"/>
        <v/>
      </c>
      <c r="V65" s="53">
        <v>0</v>
      </c>
      <c r="W65" s="87" t="str">
        <f t="shared" si="10"/>
        <v/>
      </c>
      <c r="X65" s="103" t="str">
        <f t="shared" si="11"/>
        <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t="str">
        <f t="shared" si="1"/>
        <v/>
      </c>
      <c r="C66" s="95"/>
      <c r="D66" s="57"/>
      <c r="E66" s="58"/>
      <c r="F66" s="63"/>
      <c r="G66" s="60"/>
      <c r="H66" s="64"/>
      <c r="I66" s="61"/>
      <c r="J66" s="62"/>
      <c r="K66" s="129" t="str">
        <f t="shared" si="2"/>
        <v/>
      </c>
      <c r="L66" s="103" t="str">
        <f t="shared" si="3"/>
        <v/>
      </c>
      <c r="M66" s="52">
        <v>0</v>
      </c>
      <c r="N66" s="102" t="str">
        <f t="shared" si="4"/>
        <v/>
      </c>
      <c r="O66" s="103" t="str">
        <f t="shared" si="5"/>
        <v/>
      </c>
      <c r="P66" s="52">
        <v>0</v>
      </c>
      <c r="Q66" s="102" t="str">
        <f t="shared" si="6"/>
        <v/>
      </c>
      <c r="R66" s="103" t="str">
        <f t="shared" si="7"/>
        <v/>
      </c>
      <c r="S66" s="52">
        <v>0</v>
      </c>
      <c r="T66" s="102" t="str">
        <f t="shared" si="8"/>
        <v/>
      </c>
      <c r="U66" s="103" t="str">
        <f t="shared" si="9"/>
        <v/>
      </c>
      <c r="V66" s="52">
        <v>0</v>
      </c>
      <c r="W66" s="87" t="str">
        <f t="shared" si="10"/>
        <v/>
      </c>
      <c r="X66" s="103" t="str">
        <f t="shared" si="11"/>
        <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t="str">
        <f t="shared" si="1"/>
        <v/>
      </c>
      <c r="C67" s="95"/>
      <c r="D67" s="46"/>
      <c r="E67" s="58"/>
      <c r="F67" s="65"/>
      <c r="G67" s="49"/>
      <c r="H67" s="66"/>
      <c r="I67" s="50"/>
      <c r="J67" s="51"/>
      <c r="K67" s="129" t="str">
        <f t="shared" si="2"/>
        <v/>
      </c>
      <c r="L67" s="103" t="str">
        <f t="shared" si="3"/>
        <v/>
      </c>
      <c r="M67" s="53">
        <v>0</v>
      </c>
      <c r="N67" s="102" t="str">
        <f t="shared" si="4"/>
        <v/>
      </c>
      <c r="O67" s="103" t="str">
        <f t="shared" si="5"/>
        <v/>
      </c>
      <c r="P67" s="53">
        <v>0</v>
      </c>
      <c r="Q67" s="102" t="str">
        <f t="shared" si="6"/>
        <v/>
      </c>
      <c r="R67" s="103" t="str">
        <f t="shared" si="7"/>
        <v/>
      </c>
      <c r="S67" s="53">
        <v>0</v>
      </c>
      <c r="T67" s="102" t="str">
        <f t="shared" si="8"/>
        <v/>
      </c>
      <c r="U67" s="103" t="str">
        <f t="shared" si="9"/>
        <v/>
      </c>
      <c r="V67" s="53">
        <v>0</v>
      </c>
      <c r="W67" s="87" t="str">
        <f t="shared" si="10"/>
        <v/>
      </c>
      <c r="X67" s="103" t="str">
        <f t="shared" si="11"/>
        <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t="str">
        <f t="shared" si="1"/>
        <v/>
      </c>
      <c r="C68" s="95"/>
      <c r="D68" s="57"/>
      <c r="E68" s="58"/>
      <c r="F68" s="63"/>
      <c r="G68" s="60"/>
      <c r="H68" s="60"/>
      <c r="I68" s="61"/>
      <c r="J68" s="62"/>
      <c r="K68" s="129" t="str">
        <f t="shared" si="2"/>
        <v/>
      </c>
      <c r="L68" s="103" t="str">
        <f t="shared" si="3"/>
        <v/>
      </c>
      <c r="M68" s="52">
        <v>0</v>
      </c>
      <c r="N68" s="102" t="str">
        <f t="shared" si="4"/>
        <v/>
      </c>
      <c r="O68" s="103" t="str">
        <f t="shared" si="5"/>
        <v/>
      </c>
      <c r="P68" s="52">
        <v>0</v>
      </c>
      <c r="Q68" s="102" t="str">
        <f t="shared" si="6"/>
        <v/>
      </c>
      <c r="R68" s="103" t="str">
        <f t="shared" si="7"/>
        <v/>
      </c>
      <c r="S68" s="52">
        <v>0</v>
      </c>
      <c r="T68" s="102" t="str">
        <f t="shared" si="8"/>
        <v/>
      </c>
      <c r="U68" s="103" t="str">
        <f t="shared" si="9"/>
        <v/>
      </c>
      <c r="V68" s="52">
        <v>0</v>
      </c>
      <c r="W68" s="87" t="str">
        <f t="shared" si="10"/>
        <v/>
      </c>
      <c r="X68" s="103" t="str">
        <f t="shared" si="11"/>
        <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t="str">
        <f t="shared" si="1"/>
        <v/>
      </c>
      <c r="C69" s="95"/>
      <c r="D69" s="46"/>
      <c r="E69" s="58"/>
      <c r="F69" s="65"/>
      <c r="G69" s="49"/>
      <c r="H69" s="66"/>
      <c r="I69" s="50"/>
      <c r="J69" s="51"/>
      <c r="K69" s="129" t="str">
        <f t="shared" si="2"/>
        <v/>
      </c>
      <c r="L69" s="103" t="str">
        <f t="shared" si="3"/>
        <v/>
      </c>
      <c r="M69" s="53">
        <v>0</v>
      </c>
      <c r="N69" s="102" t="str">
        <f t="shared" si="4"/>
        <v/>
      </c>
      <c r="O69" s="103" t="str">
        <f t="shared" si="5"/>
        <v/>
      </c>
      <c r="P69" s="53">
        <v>0</v>
      </c>
      <c r="Q69" s="102" t="str">
        <f t="shared" si="6"/>
        <v/>
      </c>
      <c r="R69" s="103" t="str">
        <f t="shared" si="7"/>
        <v/>
      </c>
      <c r="S69" s="53">
        <v>0</v>
      </c>
      <c r="T69" s="102" t="str">
        <f t="shared" si="8"/>
        <v/>
      </c>
      <c r="U69" s="103" t="str">
        <f t="shared" si="9"/>
        <v/>
      </c>
      <c r="V69" s="53">
        <v>0</v>
      </c>
      <c r="W69" s="87" t="str">
        <f t="shared" si="10"/>
        <v/>
      </c>
      <c r="X69" s="103" t="str">
        <f t="shared" si="11"/>
        <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t="str">
        <f t="shared" si="1"/>
        <v/>
      </c>
      <c r="C70" s="95"/>
      <c r="D70" s="57"/>
      <c r="E70" s="58"/>
      <c r="F70" s="63"/>
      <c r="G70" s="60"/>
      <c r="H70" s="64"/>
      <c r="I70" s="61"/>
      <c r="J70" s="62"/>
      <c r="K70" s="129" t="str">
        <f t="shared" si="2"/>
        <v/>
      </c>
      <c r="L70" s="103" t="str">
        <f t="shared" si="3"/>
        <v/>
      </c>
      <c r="M70" s="52">
        <v>0</v>
      </c>
      <c r="N70" s="102" t="str">
        <f t="shared" si="4"/>
        <v/>
      </c>
      <c r="O70" s="103" t="str">
        <f t="shared" si="5"/>
        <v/>
      </c>
      <c r="P70" s="52">
        <v>0</v>
      </c>
      <c r="Q70" s="102" t="str">
        <f t="shared" si="6"/>
        <v/>
      </c>
      <c r="R70" s="103" t="str">
        <f t="shared" si="7"/>
        <v/>
      </c>
      <c r="S70" s="52">
        <v>0</v>
      </c>
      <c r="T70" s="102" t="str">
        <f t="shared" si="8"/>
        <v/>
      </c>
      <c r="U70" s="103" t="str">
        <f t="shared" si="9"/>
        <v/>
      </c>
      <c r="V70" s="52">
        <v>0</v>
      </c>
      <c r="W70" s="87" t="str">
        <f t="shared" si="10"/>
        <v/>
      </c>
      <c r="X70" s="103" t="str">
        <f t="shared" si="11"/>
        <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t="str">
        <f t="shared" si="1"/>
        <v/>
      </c>
      <c r="C71" s="95"/>
      <c r="D71" s="46"/>
      <c r="E71" s="58"/>
      <c r="F71" s="65"/>
      <c r="G71" s="49"/>
      <c r="H71" s="66"/>
      <c r="I71" s="50"/>
      <c r="J71" s="51"/>
      <c r="K71" s="129" t="str">
        <f t="shared" si="2"/>
        <v/>
      </c>
      <c r="L71" s="103" t="str">
        <f t="shared" si="3"/>
        <v/>
      </c>
      <c r="M71" s="53">
        <v>0</v>
      </c>
      <c r="N71" s="102" t="str">
        <f t="shared" si="4"/>
        <v/>
      </c>
      <c r="O71" s="103" t="str">
        <f t="shared" si="5"/>
        <v/>
      </c>
      <c r="P71" s="53">
        <v>0</v>
      </c>
      <c r="Q71" s="102" t="str">
        <f t="shared" si="6"/>
        <v/>
      </c>
      <c r="R71" s="103" t="str">
        <f t="shared" si="7"/>
        <v/>
      </c>
      <c r="S71" s="53">
        <v>0</v>
      </c>
      <c r="T71" s="102" t="str">
        <f t="shared" si="8"/>
        <v/>
      </c>
      <c r="U71" s="103" t="str">
        <f t="shared" si="9"/>
        <v/>
      </c>
      <c r="V71" s="53">
        <v>0</v>
      </c>
      <c r="W71" s="87" t="str">
        <f t="shared" si="10"/>
        <v/>
      </c>
      <c r="X71" s="103" t="str">
        <f t="shared" si="11"/>
        <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t="str">
        <f t="shared" si="1"/>
        <v/>
      </c>
      <c r="C72" s="95"/>
      <c r="D72" s="57"/>
      <c r="E72" s="58"/>
      <c r="F72" s="63"/>
      <c r="G72" s="60"/>
      <c r="H72" s="64"/>
      <c r="I72" s="61"/>
      <c r="J72" s="62"/>
      <c r="K72" s="129" t="str">
        <f t="shared" si="2"/>
        <v/>
      </c>
      <c r="L72" s="103" t="str">
        <f t="shared" si="3"/>
        <v/>
      </c>
      <c r="M72" s="52">
        <v>0</v>
      </c>
      <c r="N72" s="102" t="str">
        <f t="shared" si="4"/>
        <v/>
      </c>
      <c r="O72" s="103" t="str">
        <f t="shared" si="5"/>
        <v/>
      </c>
      <c r="P72" s="52">
        <v>0</v>
      </c>
      <c r="Q72" s="102" t="str">
        <f t="shared" si="6"/>
        <v/>
      </c>
      <c r="R72" s="103" t="str">
        <f t="shared" si="7"/>
        <v/>
      </c>
      <c r="S72" s="52">
        <v>0</v>
      </c>
      <c r="T72" s="102" t="str">
        <f t="shared" si="8"/>
        <v/>
      </c>
      <c r="U72" s="103" t="str">
        <f t="shared" si="9"/>
        <v/>
      </c>
      <c r="V72" s="52">
        <v>0</v>
      </c>
      <c r="W72" s="87" t="str">
        <f t="shared" si="10"/>
        <v/>
      </c>
      <c r="X72" s="103" t="str">
        <f t="shared" si="11"/>
        <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t="str">
        <f t="shared" si="1"/>
        <v/>
      </c>
      <c r="C73" s="95"/>
      <c r="D73" s="46"/>
      <c r="E73" s="58"/>
      <c r="F73" s="67"/>
      <c r="G73" s="53"/>
      <c r="H73" s="49"/>
      <c r="I73" s="50"/>
      <c r="J73" s="51"/>
      <c r="K73" s="129" t="str">
        <f t="shared" si="2"/>
        <v/>
      </c>
      <c r="L73" s="103" t="str">
        <f t="shared" si="3"/>
        <v/>
      </c>
      <c r="M73" s="53">
        <v>0</v>
      </c>
      <c r="N73" s="102" t="str">
        <f t="shared" si="4"/>
        <v/>
      </c>
      <c r="O73" s="103" t="str">
        <f t="shared" si="5"/>
        <v/>
      </c>
      <c r="P73" s="53">
        <v>0</v>
      </c>
      <c r="Q73" s="102" t="str">
        <f t="shared" si="6"/>
        <v/>
      </c>
      <c r="R73" s="103" t="str">
        <f t="shared" si="7"/>
        <v/>
      </c>
      <c r="S73" s="53">
        <v>0</v>
      </c>
      <c r="T73" s="102" t="str">
        <f t="shared" si="8"/>
        <v/>
      </c>
      <c r="U73" s="103" t="str">
        <f t="shared" si="9"/>
        <v/>
      </c>
      <c r="V73" s="53">
        <v>0</v>
      </c>
      <c r="W73" s="87" t="str">
        <f t="shared" si="10"/>
        <v/>
      </c>
      <c r="X73" s="103" t="str">
        <f t="shared" si="11"/>
        <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t="str">
        <f t="shared" ref="B74:B137" si="19">IF(H74="","",IF(AND(H74="Topic",H73="PROJECT"),B73+1,IF(H74="PROJECT",B73,IF(AND(H74="Topic",H73="Topic"),B73,B73+1))))</f>
        <v/>
      </c>
      <c r="C74" s="95"/>
      <c r="D74" s="57"/>
      <c r="E74" s="58"/>
      <c r="F74" s="54"/>
      <c r="G74" s="52"/>
      <c r="H74" s="52"/>
      <c r="I74" s="61"/>
      <c r="J74" s="62"/>
      <c r="K74" s="129" t="str">
        <f t="shared" ref="K74:K137" si="20">IF(H74="Topic",
"[ROLE] Friendly tutor specializing in " &amp; $I$2 &amp; " | " &amp;
"[TOPIC] " &amp; I74 &amp; " | " &amp;
"[LEVEL] " &amp; G74 &amp; " | " &amp;
"[COUNT] " &amp; D74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strictly on flat linear scripts, variables, print statements, and primitive data types. DO NOT use custom def functions.", IF(G74="Intermediate",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print statements, data structures, and conditional logic. Do NOT expect decorators, generators, or functions unless explicitly demanded.", IF(G74="Intermediate",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IF(G74="Beginner", "5–15", IF(G74="Intermediate",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IF(G74="Beginner","5–15", IF(G74="Intermediate","10–25","15–35"))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IF(G74="Beginner","25–40", IF(G74="Intermediate","30–60","40–100"))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t="str">
        <f t="shared" si="19"/>
        <v/>
      </c>
      <c r="C75" s="95"/>
      <c r="D75" s="46"/>
      <c r="E75" s="58"/>
      <c r="F75" s="67"/>
      <c r="G75" s="53"/>
      <c r="H75" s="53"/>
      <c r="I75" s="50"/>
      <c r="J75" s="51"/>
      <c r="K75" s="129" t="str">
        <f t="shared" si="20"/>
        <v/>
      </c>
      <c r="L75" s="103" t="str">
        <f t="shared" si="21"/>
        <v/>
      </c>
      <c r="M75" s="53">
        <v>0</v>
      </c>
      <c r="N75" s="102" t="str">
        <f t="shared" si="22"/>
        <v/>
      </c>
      <c r="O75" s="103" t="str">
        <f t="shared" si="23"/>
        <v/>
      </c>
      <c r="P75" s="53">
        <v>0</v>
      </c>
      <c r="Q75" s="102" t="str">
        <f t="shared" si="24"/>
        <v/>
      </c>
      <c r="R75" s="103" t="str">
        <f t="shared" si="25"/>
        <v/>
      </c>
      <c r="S75" s="53">
        <v>0</v>
      </c>
      <c r="T75" s="102" t="str">
        <f t="shared" si="26"/>
        <v/>
      </c>
      <c r="U75" s="103" t="str">
        <f t="shared" si="27"/>
        <v/>
      </c>
      <c r="V75" s="53">
        <v>0</v>
      </c>
      <c r="W75" s="87" t="str">
        <f t="shared" si="28"/>
        <v/>
      </c>
      <c r="X75" s="103" t="str">
        <f t="shared" si="29"/>
        <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t="str">
        <f t="shared" si="19"/>
        <v/>
      </c>
      <c r="C76" s="95"/>
      <c r="D76" s="57"/>
      <c r="E76" s="58"/>
      <c r="F76" s="54"/>
      <c r="G76" s="52"/>
      <c r="H76" s="52"/>
      <c r="I76" s="61"/>
      <c r="J76" s="62"/>
      <c r="K76" s="129" t="str">
        <f t="shared" si="20"/>
        <v/>
      </c>
      <c r="L76" s="103" t="str">
        <f t="shared" si="21"/>
        <v/>
      </c>
      <c r="M76" s="52">
        <v>0</v>
      </c>
      <c r="N76" s="102" t="str">
        <f t="shared" si="22"/>
        <v/>
      </c>
      <c r="O76" s="103" t="str">
        <f t="shared" si="23"/>
        <v/>
      </c>
      <c r="P76" s="52">
        <v>0</v>
      </c>
      <c r="Q76" s="102" t="str">
        <f t="shared" si="24"/>
        <v/>
      </c>
      <c r="R76" s="103" t="str">
        <f t="shared" si="25"/>
        <v/>
      </c>
      <c r="S76" s="52">
        <v>0</v>
      </c>
      <c r="T76" s="102" t="str">
        <f t="shared" si="26"/>
        <v/>
      </c>
      <c r="U76" s="103" t="str">
        <f t="shared" si="27"/>
        <v/>
      </c>
      <c r="V76" s="52">
        <v>0</v>
      </c>
      <c r="W76" s="87" t="str">
        <f t="shared" si="28"/>
        <v/>
      </c>
      <c r="X76" s="103" t="str">
        <f t="shared" si="29"/>
        <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t="str">
        <f t="shared" si="19"/>
        <v/>
      </c>
      <c r="C77" s="95"/>
      <c r="D77" s="46"/>
      <c r="E77" s="58"/>
      <c r="F77" s="67"/>
      <c r="G77" s="53"/>
      <c r="H77" s="53"/>
      <c r="I77" s="50"/>
      <c r="J77" s="51"/>
      <c r="K77" s="129" t="str">
        <f t="shared" si="20"/>
        <v/>
      </c>
      <c r="L77" s="103" t="str">
        <f t="shared" si="21"/>
        <v/>
      </c>
      <c r="M77" s="53">
        <v>0</v>
      </c>
      <c r="N77" s="102" t="str">
        <f t="shared" si="22"/>
        <v/>
      </c>
      <c r="O77" s="103" t="str">
        <f t="shared" si="23"/>
        <v/>
      </c>
      <c r="P77" s="53">
        <v>0</v>
      </c>
      <c r="Q77" s="102" t="str">
        <f t="shared" si="24"/>
        <v/>
      </c>
      <c r="R77" s="103" t="str">
        <f t="shared" si="25"/>
        <v/>
      </c>
      <c r="S77" s="53">
        <v>0</v>
      </c>
      <c r="T77" s="102" t="str">
        <f t="shared" si="26"/>
        <v/>
      </c>
      <c r="U77" s="103" t="str">
        <f t="shared" si="27"/>
        <v/>
      </c>
      <c r="V77" s="53">
        <v>0</v>
      </c>
      <c r="W77" s="87" t="str">
        <f t="shared" si="28"/>
        <v/>
      </c>
      <c r="X77" s="103" t="str">
        <f t="shared" si="29"/>
        <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t="str">
        <f t="shared" si="19"/>
        <v/>
      </c>
      <c r="C78" s="95"/>
      <c r="D78" s="57"/>
      <c r="E78" s="58"/>
      <c r="F78" s="54"/>
      <c r="G78" s="52"/>
      <c r="H78" s="52"/>
      <c r="I78" s="61"/>
      <c r="J78" s="62"/>
      <c r="K78" s="129" t="str">
        <f t="shared" si="20"/>
        <v/>
      </c>
      <c r="L78" s="103" t="str">
        <f t="shared" si="21"/>
        <v/>
      </c>
      <c r="M78" s="52">
        <v>0</v>
      </c>
      <c r="N78" s="102" t="str">
        <f t="shared" si="22"/>
        <v/>
      </c>
      <c r="O78" s="103" t="str">
        <f t="shared" si="23"/>
        <v/>
      </c>
      <c r="P78" s="52">
        <v>0</v>
      </c>
      <c r="Q78" s="102" t="str">
        <f t="shared" si="24"/>
        <v/>
      </c>
      <c r="R78" s="103" t="str">
        <f t="shared" si="25"/>
        <v/>
      </c>
      <c r="S78" s="52">
        <v>0</v>
      </c>
      <c r="T78" s="102" t="str">
        <f t="shared" si="26"/>
        <v/>
      </c>
      <c r="U78" s="103" t="str">
        <f t="shared" si="27"/>
        <v/>
      </c>
      <c r="V78" s="52">
        <v>0</v>
      </c>
      <c r="W78" s="87" t="str">
        <f t="shared" si="28"/>
        <v/>
      </c>
      <c r="X78" s="103" t="str">
        <f t="shared" si="29"/>
        <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t="str">
        <f t="shared" si="19"/>
        <v/>
      </c>
      <c r="C79" s="95"/>
      <c r="D79" s="46"/>
      <c r="E79" s="58"/>
      <c r="F79" s="67"/>
      <c r="G79" s="53"/>
      <c r="H79" s="53"/>
      <c r="I79" s="50"/>
      <c r="J79" s="51"/>
      <c r="K79" s="129" t="str">
        <f t="shared" si="20"/>
        <v/>
      </c>
      <c r="L79" s="103" t="str">
        <f t="shared" si="21"/>
        <v/>
      </c>
      <c r="M79" s="53">
        <v>0</v>
      </c>
      <c r="N79" s="102" t="str">
        <f t="shared" si="22"/>
        <v/>
      </c>
      <c r="O79" s="103" t="str">
        <f t="shared" si="23"/>
        <v/>
      </c>
      <c r="P79" s="53">
        <v>0</v>
      </c>
      <c r="Q79" s="102" t="str">
        <f t="shared" si="24"/>
        <v/>
      </c>
      <c r="R79" s="103" t="str">
        <f t="shared" si="25"/>
        <v/>
      </c>
      <c r="S79" s="53">
        <v>0</v>
      </c>
      <c r="T79" s="102" t="str">
        <f t="shared" si="26"/>
        <v/>
      </c>
      <c r="U79" s="103" t="str">
        <f t="shared" si="27"/>
        <v/>
      </c>
      <c r="V79" s="53">
        <v>0</v>
      </c>
      <c r="W79" s="87" t="str">
        <f t="shared" si="28"/>
        <v/>
      </c>
      <c r="X79" s="103" t="str">
        <f t="shared" si="29"/>
        <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t="str">
        <f t="shared" si="19"/>
        <v/>
      </c>
      <c r="C80" s="95"/>
      <c r="D80" s="57"/>
      <c r="E80" s="58"/>
      <c r="F80" s="54"/>
      <c r="G80" s="52"/>
      <c r="H80" s="60"/>
      <c r="I80" s="61"/>
      <c r="J80" s="62"/>
      <c r="K80" s="129" t="str">
        <f t="shared" si="20"/>
        <v/>
      </c>
      <c r="L80" s="103" t="str">
        <f t="shared" si="21"/>
        <v/>
      </c>
      <c r="M80" s="52">
        <v>0</v>
      </c>
      <c r="N80" s="102" t="str">
        <f t="shared" si="22"/>
        <v/>
      </c>
      <c r="O80" s="103" t="str">
        <f t="shared" si="23"/>
        <v/>
      </c>
      <c r="P80" s="52">
        <v>0</v>
      </c>
      <c r="Q80" s="102" t="str">
        <f t="shared" si="24"/>
        <v/>
      </c>
      <c r="R80" s="103" t="str">
        <f t="shared" si="25"/>
        <v/>
      </c>
      <c r="S80" s="52">
        <v>0</v>
      </c>
      <c r="T80" s="102" t="str">
        <f t="shared" si="26"/>
        <v/>
      </c>
      <c r="U80" s="103" t="str">
        <f t="shared" si="27"/>
        <v/>
      </c>
      <c r="V80" s="52">
        <v>0</v>
      </c>
      <c r="W80" s="87" t="str">
        <f t="shared" si="28"/>
        <v/>
      </c>
      <c r="X80" s="103" t="str">
        <f t="shared" si="29"/>
        <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t="str">
        <f t="shared" si="19"/>
        <v/>
      </c>
      <c r="C81" s="95"/>
      <c r="D81" s="46"/>
      <c r="E81" s="58"/>
      <c r="F81" s="67"/>
      <c r="G81" s="53"/>
      <c r="H81" s="53"/>
      <c r="I81" s="50"/>
      <c r="J81" s="51"/>
      <c r="K81" s="129" t="str">
        <f t="shared" si="20"/>
        <v/>
      </c>
      <c r="L81" s="103" t="str">
        <f t="shared" si="21"/>
        <v/>
      </c>
      <c r="M81" s="53">
        <v>0</v>
      </c>
      <c r="N81" s="102" t="str">
        <f t="shared" si="22"/>
        <v/>
      </c>
      <c r="O81" s="103" t="str">
        <f t="shared" si="23"/>
        <v/>
      </c>
      <c r="P81" s="53">
        <v>0</v>
      </c>
      <c r="Q81" s="102" t="str">
        <f t="shared" si="24"/>
        <v/>
      </c>
      <c r="R81" s="103" t="str">
        <f t="shared" si="25"/>
        <v/>
      </c>
      <c r="S81" s="53">
        <v>0</v>
      </c>
      <c r="T81" s="102" t="str">
        <f t="shared" si="26"/>
        <v/>
      </c>
      <c r="U81" s="103" t="str">
        <f t="shared" si="27"/>
        <v/>
      </c>
      <c r="V81" s="53">
        <v>0</v>
      </c>
      <c r="W81" s="87" t="str">
        <f t="shared" si="28"/>
        <v/>
      </c>
      <c r="X81" s="103" t="str">
        <f t="shared" si="29"/>
        <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t="str">
        <f t="shared" si="19"/>
        <v/>
      </c>
      <c r="C82" s="95"/>
      <c r="D82" s="57"/>
      <c r="E82" s="58"/>
      <c r="F82" s="54"/>
      <c r="G82" s="52"/>
      <c r="H82" s="52"/>
      <c r="I82" s="61"/>
      <c r="J82" s="62"/>
      <c r="K82" s="129" t="str">
        <f t="shared" si="20"/>
        <v/>
      </c>
      <c r="L82" s="103" t="str">
        <f t="shared" si="21"/>
        <v/>
      </c>
      <c r="M82" s="52">
        <v>0</v>
      </c>
      <c r="N82" s="102" t="str">
        <f t="shared" si="22"/>
        <v/>
      </c>
      <c r="O82" s="103" t="str">
        <f t="shared" si="23"/>
        <v/>
      </c>
      <c r="P82" s="52">
        <v>0</v>
      </c>
      <c r="Q82" s="102" t="str">
        <f t="shared" si="24"/>
        <v/>
      </c>
      <c r="R82" s="103" t="str">
        <f t="shared" si="25"/>
        <v/>
      </c>
      <c r="S82" s="52">
        <v>0</v>
      </c>
      <c r="T82" s="102" t="str">
        <f t="shared" si="26"/>
        <v/>
      </c>
      <c r="U82" s="103" t="str">
        <f t="shared" si="27"/>
        <v/>
      </c>
      <c r="V82" s="52">
        <v>0</v>
      </c>
      <c r="W82" s="87" t="str">
        <f t="shared" si="28"/>
        <v/>
      </c>
      <c r="X82" s="103" t="str">
        <f t="shared" si="29"/>
        <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t="str">
        <f t="shared" si="19"/>
        <v/>
      </c>
      <c r="C83" s="95"/>
      <c r="D83" s="46"/>
      <c r="E83" s="58"/>
      <c r="F83" s="67"/>
      <c r="G83" s="53"/>
      <c r="H83" s="53"/>
      <c r="I83" s="50"/>
      <c r="J83" s="51"/>
      <c r="K83" s="129" t="str">
        <f t="shared" si="20"/>
        <v/>
      </c>
      <c r="L83" s="103" t="str">
        <f t="shared" si="21"/>
        <v/>
      </c>
      <c r="M83" s="53">
        <v>0</v>
      </c>
      <c r="N83" s="102" t="str">
        <f t="shared" si="22"/>
        <v/>
      </c>
      <c r="O83" s="103" t="str">
        <f t="shared" si="23"/>
        <v/>
      </c>
      <c r="P83" s="53">
        <v>0</v>
      </c>
      <c r="Q83" s="102" t="str">
        <f t="shared" si="24"/>
        <v/>
      </c>
      <c r="R83" s="103" t="str">
        <f t="shared" si="25"/>
        <v/>
      </c>
      <c r="S83" s="53">
        <v>0</v>
      </c>
      <c r="T83" s="102" t="str">
        <f t="shared" si="26"/>
        <v/>
      </c>
      <c r="U83" s="103" t="str">
        <f t="shared" si="27"/>
        <v/>
      </c>
      <c r="V83" s="53">
        <v>0</v>
      </c>
      <c r="W83" s="87" t="str">
        <f t="shared" si="28"/>
        <v/>
      </c>
      <c r="X83" s="103" t="str">
        <f t="shared" si="29"/>
        <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t="str">
        <f t="shared" si="19"/>
        <v/>
      </c>
      <c r="C84" s="95"/>
      <c r="D84" s="57"/>
      <c r="E84" s="58"/>
      <c r="F84" s="54"/>
      <c r="G84" s="52"/>
      <c r="H84" s="52"/>
      <c r="I84" s="61"/>
      <c r="J84" s="62"/>
      <c r="K84" s="129" t="str">
        <f t="shared" si="20"/>
        <v/>
      </c>
      <c r="L84" s="103" t="str">
        <f t="shared" si="21"/>
        <v/>
      </c>
      <c r="M84" s="52">
        <v>0</v>
      </c>
      <c r="N84" s="102" t="str">
        <f t="shared" si="22"/>
        <v/>
      </c>
      <c r="O84" s="103" t="str">
        <f t="shared" si="23"/>
        <v/>
      </c>
      <c r="P84" s="52">
        <v>0</v>
      </c>
      <c r="Q84" s="102" t="str">
        <f t="shared" si="24"/>
        <v/>
      </c>
      <c r="R84" s="103" t="str">
        <f t="shared" si="25"/>
        <v/>
      </c>
      <c r="S84" s="52">
        <v>0</v>
      </c>
      <c r="T84" s="102" t="str">
        <f t="shared" si="26"/>
        <v/>
      </c>
      <c r="U84" s="103" t="str">
        <f t="shared" si="27"/>
        <v/>
      </c>
      <c r="V84" s="52">
        <v>0</v>
      </c>
      <c r="W84" s="87" t="str">
        <f t="shared" si="28"/>
        <v/>
      </c>
      <c r="X84" s="103" t="str">
        <f t="shared" si="29"/>
        <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t="str">
        <f t="shared" si="19"/>
        <v/>
      </c>
      <c r="C85" s="95"/>
      <c r="D85" s="46"/>
      <c r="E85" s="58"/>
      <c r="F85" s="67"/>
      <c r="G85" s="53"/>
      <c r="H85" s="53"/>
      <c r="I85" s="50"/>
      <c r="J85" s="51"/>
      <c r="K85" s="129" t="str">
        <f t="shared" si="20"/>
        <v/>
      </c>
      <c r="L85" s="103" t="str">
        <f t="shared" si="21"/>
        <v/>
      </c>
      <c r="M85" s="53">
        <v>0</v>
      </c>
      <c r="N85" s="102" t="str">
        <f t="shared" si="22"/>
        <v/>
      </c>
      <c r="O85" s="103" t="str">
        <f t="shared" si="23"/>
        <v/>
      </c>
      <c r="P85" s="53">
        <v>0</v>
      </c>
      <c r="Q85" s="102" t="str">
        <f t="shared" si="24"/>
        <v/>
      </c>
      <c r="R85" s="103" t="str">
        <f t="shared" si="25"/>
        <v/>
      </c>
      <c r="S85" s="53">
        <v>0</v>
      </c>
      <c r="T85" s="102" t="str">
        <f t="shared" si="26"/>
        <v/>
      </c>
      <c r="U85" s="103" t="str">
        <f t="shared" si="27"/>
        <v/>
      </c>
      <c r="V85" s="53">
        <v>0</v>
      </c>
      <c r="W85" s="87" t="str">
        <f t="shared" si="28"/>
        <v/>
      </c>
      <c r="X85" s="103" t="str">
        <f t="shared" si="29"/>
        <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t="str">
        <f t="shared" si="19"/>
        <v/>
      </c>
      <c r="C86" s="95"/>
      <c r="D86" s="57"/>
      <c r="E86" s="58"/>
      <c r="F86" s="54"/>
      <c r="G86" s="52"/>
      <c r="H86" s="52"/>
      <c r="I86" s="61"/>
      <c r="J86" s="62"/>
      <c r="K86" s="129" t="str">
        <f t="shared" si="20"/>
        <v/>
      </c>
      <c r="L86" s="103" t="str">
        <f t="shared" si="21"/>
        <v/>
      </c>
      <c r="M86" s="52">
        <v>0</v>
      </c>
      <c r="N86" s="102" t="str">
        <f t="shared" si="22"/>
        <v/>
      </c>
      <c r="O86" s="103" t="str">
        <f t="shared" si="23"/>
        <v/>
      </c>
      <c r="P86" s="52">
        <v>0</v>
      </c>
      <c r="Q86" s="102" t="str">
        <f t="shared" si="24"/>
        <v/>
      </c>
      <c r="R86" s="103" t="str">
        <f t="shared" si="25"/>
        <v/>
      </c>
      <c r="S86" s="52">
        <v>0</v>
      </c>
      <c r="T86" s="102" t="str">
        <f t="shared" si="26"/>
        <v/>
      </c>
      <c r="U86" s="103" t="str">
        <f t="shared" si="27"/>
        <v/>
      </c>
      <c r="V86" s="52">
        <v>0</v>
      </c>
      <c r="W86" s="87" t="str">
        <f t="shared" si="28"/>
        <v/>
      </c>
      <c r="X86" s="103" t="str">
        <f t="shared" si="29"/>
        <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t="str">
        <f t="shared" si="19"/>
        <v/>
      </c>
      <c r="C87" s="95"/>
      <c r="D87" s="46"/>
      <c r="E87" s="58"/>
      <c r="F87" s="67"/>
      <c r="G87" s="53"/>
      <c r="H87" s="53"/>
      <c r="I87" s="50"/>
      <c r="J87" s="51"/>
      <c r="K87" s="129" t="str">
        <f t="shared" si="20"/>
        <v/>
      </c>
      <c r="L87" s="103" t="str">
        <f t="shared" si="21"/>
        <v/>
      </c>
      <c r="M87" s="53">
        <v>0</v>
      </c>
      <c r="N87" s="102" t="str">
        <f t="shared" si="22"/>
        <v/>
      </c>
      <c r="O87" s="103" t="str">
        <f t="shared" si="23"/>
        <v/>
      </c>
      <c r="P87" s="53">
        <v>0</v>
      </c>
      <c r="Q87" s="102" t="str">
        <f t="shared" si="24"/>
        <v/>
      </c>
      <c r="R87" s="103" t="str">
        <f t="shared" si="25"/>
        <v/>
      </c>
      <c r="S87" s="53">
        <v>0</v>
      </c>
      <c r="T87" s="102" t="str">
        <f t="shared" si="26"/>
        <v/>
      </c>
      <c r="U87" s="103" t="str">
        <f t="shared" si="27"/>
        <v/>
      </c>
      <c r="V87" s="53">
        <v>0</v>
      </c>
      <c r="W87" s="87" t="str">
        <f t="shared" si="28"/>
        <v/>
      </c>
      <c r="X87" s="103" t="str">
        <f t="shared" si="29"/>
        <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t="str">
        <f t="shared" si="19"/>
        <v/>
      </c>
      <c r="C88" s="95"/>
      <c r="D88" s="57"/>
      <c r="E88" s="58"/>
      <c r="F88" s="54"/>
      <c r="G88" s="52"/>
      <c r="H88" s="52"/>
      <c r="I88" s="61"/>
      <c r="J88" s="62"/>
      <c r="K88" s="129" t="str">
        <f t="shared" si="20"/>
        <v/>
      </c>
      <c r="L88" s="103" t="str">
        <f t="shared" si="21"/>
        <v/>
      </c>
      <c r="M88" s="52">
        <v>0</v>
      </c>
      <c r="N88" s="102" t="str">
        <f t="shared" si="22"/>
        <v/>
      </c>
      <c r="O88" s="103" t="str">
        <f t="shared" si="23"/>
        <v/>
      </c>
      <c r="P88" s="52">
        <v>0</v>
      </c>
      <c r="Q88" s="102" t="str">
        <f t="shared" si="24"/>
        <v/>
      </c>
      <c r="R88" s="103" t="str">
        <f t="shared" si="25"/>
        <v/>
      </c>
      <c r="S88" s="52">
        <v>0</v>
      </c>
      <c r="T88" s="102" t="str">
        <f t="shared" si="26"/>
        <v/>
      </c>
      <c r="U88" s="103" t="str">
        <f t="shared" si="27"/>
        <v/>
      </c>
      <c r="V88" s="52">
        <v>0</v>
      </c>
      <c r="W88" s="87" t="str">
        <f t="shared" si="28"/>
        <v/>
      </c>
      <c r="X88" s="103" t="str">
        <f t="shared" si="29"/>
        <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t="str">
        <f t="shared" si="19"/>
        <v/>
      </c>
      <c r="C89" s="95"/>
      <c r="D89" s="46"/>
      <c r="E89" s="58"/>
      <c r="F89" s="67"/>
      <c r="G89" s="53"/>
      <c r="H89" s="53"/>
      <c r="I89" s="50"/>
      <c r="J89" s="51"/>
      <c r="K89" s="129" t="str">
        <f t="shared" si="20"/>
        <v/>
      </c>
      <c r="L89" s="103" t="str">
        <f t="shared" si="21"/>
        <v/>
      </c>
      <c r="M89" s="53">
        <v>0</v>
      </c>
      <c r="N89" s="102" t="str">
        <f t="shared" si="22"/>
        <v/>
      </c>
      <c r="O89" s="103" t="str">
        <f t="shared" si="23"/>
        <v/>
      </c>
      <c r="P89" s="53">
        <v>0</v>
      </c>
      <c r="Q89" s="102" t="str">
        <f t="shared" si="24"/>
        <v/>
      </c>
      <c r="R89" s="103" t="str">
        <f t="shared" si="25"/>
        <v/>
      </c>
      <c r="S89" s="53">
        <v>0</v>
      </c>
      <c r="T89" s="102" t="str">
        <f t="shared" si="26"/>
        <v/>
      </c>
      <c r="U89" s="103" t="str">
        <f t="shared" si="27"/>
        <v/>
      </c>
      <c r="V89" s="53">
        <v>0</v>
      </c>
      <c r="W89" s="87" t="str">
        <f t="shared" si="28"/>
        <v/>
      </c>
      <c r="X89" s="103" t="str">
        <f t="shared" si="29"/>
        <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t="str">
        <f t="shared" si="19"/>
        <v/>
      </c>
      <c r="C90" s="95"/>
      <c r="D90" s="57"/>
      <c r="E90" s="58"/>
      <c r="F90" s="54"/>
      <c r="G90" s="52"/>
      <c r="H90" s="52"/>
      <c r="I90" s="61"/>
      <c r="J90" s="62"/>
      <c r="K90" s="129" t="str">
        <f t="shared" si="20"/>
        <v/>
      </c>
      <c r="L90" s="103" t="str">
        <f t="shared" si="21"/>
        <v/>
      </c>
      <c r="M90" s="52">
        <v>0</v>
      </c>
      <c r="N90" s="102" t="str">
        <f t="shared" si="22"/>
        <v/>
      </c>
      <c r="O90" s="103" t="str">
        <f t="shared" si="23"/>
        <v/>
      </c>
      <c r="P90" s="52">
        <v>0</v>
      </c>
      <c r="Q90" s="102" t="str">
        <f t="shared" si="24"/>
        <v/>
      </c>
      <c r="R90" s="103" t="str">
        <f t="shared" si="25"/>
        <v/>
      </c>
      <c r="S90" s="52">
        <v>0</v>
      </c>
      <c r="T90" s="102" t="str">
        <f t="shared" si="26"/>
        <v/>
      </c>
      <c r="U90" s="103" t="str">
        <f t="shared" si="27"/>
        <v/>
      </c>
      <c r="V90" s="52">
        <v>0</v>
      </c>
      <c r="W90" s="87" t="str">
        <f t="shared" si="28"/>
        <v/>
      </c>
      <c r="X90" s="103" t="str">
        <f t="shared" si="29"/>
        <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t="str">
        <f t="shared" si="19"/>
        <v/>
      </c>
      <c r="C91" s="95"/>
      <c r="D91" s="46"/>
      <c r="E91" s="58"/>
      <c r="F91" s="67"/>
      <c r="G91" s="53"/>
      <c r="H91" s="53"/>
      <c r="I91" s="50"/>
      <c r="J91" s="51"/>
      <c r="K91" s="129" t="str">
        <f t="shared" si="20"/>
        <v/>
      </c>
      <c r="L91" s="103" t="str">
        <f t="shared" si="21"/>
        <v/>
      </c>
      <c r="M91" s="53">
        <v>0</v>
      </c>
      <c r="N91" s="102" t="str">
        <f t="shared" si="22"/>
        <v/>
      </c>
      <c r="O91" s="103" t="str">
        <f t="shared" si="23"/>
        <v/>
      </c>
      <c r="P91" s="53">
        <v>0</v>
      </c>
      <c r="Q91" s="102" t="str">
        <f t="shared" si="24"/>
        <v/>
      </c>
      <c r="R91" s="103" t="str">
        <f t="shared" si="25"/>
        <v/>
      </c>
      <c r="S91" s="53">
        <v>0</v>
      </c>
      <c r="T91" s="102" t="str">
        <f t="shared" si="26"/>
        <v/>
      </c>
      <c r="U91" s="103" t="str">
        <f t="shared" si="27"/>
        <v/>
      </c>
      <c r="V91" s="53">
        <v>0</v>
      </c>
      <c r="W91" s="87" t="str">
        <f t="shared" si="28"/>
        <v/>
      </c>
      <c r="X91" s="103" t="str">
        <f t="shared" si="29"/>
        <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9" t="str">
        <f t="shared" si="20"/>
        <v/>
      </c>
      <c r="L92" s="103" t="str">
        <f t="shared" si="21"/>
        <v/>
      </c>
      <c r="M92" s="52">
        <v>0</v>
      </c>
      <c r="N92" s="102" t="str">
        <f t="shared" si="22"/>
        <v/>
      </c>
      <c r="O92" s="103" t="str">
        <f t="shared" si="23"/>
        <v/>
      </c>
      <c r="P92" s="52">
        <v>0</v>
      </c>
      <c r="Q92" s="102" t="str">
        <f t="shared" si="24"/>
        <v/>
      </c>
      <c r="R92" s="103" t="str">
        <f t="shared" si="25"/>
        <v/>
      </c>
      <c r="S92" s="52">
        <v>0</v>
      </c>
      <c r="T92" s="102" t="str">
        <f t="shared" si="26"/>
        <v/>
      </c>
      <c r="U92" s="103" t="str">
        <f t="shared" si="27"/>
        <v/>
      </c>
      <c r="V92" s="52">
        <v>0</v>
      </c>
      <c r="W92" s="87" t="str">
        <f t="shared" si="28"/>
        <v/>
      </c>
      <c r="X92" s="103"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9" t="str">
        <f t="shared" si="20"/>
        <v/>
      </c>
      <c r="L93" s="103" t="str">
        <f t="shared" si="21"/>
        <v/>
      </c>
      <c r="M93" s="53">
        <v>0</v>
      </c>
      <c r="N93" s="102" t="str">
        <f t="shared" si="22"/>
        <v/>
      </c>
      <c r="O93" s="103" t="str">
        <f t="shared" si="23"/>
        <v/>
      </c>
      <c r="P93" s="53">
        <v>0</v>
      </c>
      <c r="Q93" s="102" t="str">
        <f t="shared" si="24"/>
        <v/>
      </c>
      <c r="R93" s="103" t="str">
        <f t="shared" si="25"/>
        <v/>
      </c>
      <c r="S93" s="53">
        <v>0</v>
      </c>
      <c r="T93" s="102" t="str">
        <f t="shared" si="26"/>
        <v/>
      </c>
      <c r="U93" s="103" t="str">
        <f t="shared" si="27"/>
        <v/>
      </c>
      <c r="V93" s="53">
        <v>0</v>
      </c>
      <c r="W93" s="87" t="str">
        <f t="shared" si="28"/>
        <v/>
      </c>
      <c r="X93" s="103"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9" t="str">
        <f t="shared" si="20"/>
        <v/>
      </c>
      <c r="L94" s="103" t="str">
        <f t="shared" si="21"/>
        <v/>
      </c>
      <c r="M94" s="52">
        <v>0</v>
      </c>
      <c r="N94" s="102" t="str">
        <f t="shared" si="22"/>
        <v/>
      </c>
      <c r="O94" s="103" t="str">
        <f t="shared" si="23"/>
        <v/>
      </c>
      <c r="P94" s="52">
        <v>0</v>
      </c>
      <c r="Q94" s="102" t="str">
        <f t="shared" si="24"/>
        <v/>
      </c>
      <c r="R94" s="103" t="str">
        <f t="shared" si="25"/>
        <v/>
      </c>
      <c r="S94" s="52">
        <v>0</v>
      </c>
      <c r="T94" s="102" t="str">
        <f t="shared" si="26"/>
        <v/>
      </c>
      <c r="U94" s="103" t="str">
        <f t="shared" si="27"/>
        <v/>
      </c>
      <c r="V94" s="52">
        <v>0</v>
      </c>
      <c r="W94" s="87" t="str">
        <f t="shared" si="28"/>
        <v/>
      </c>
      <c r="X94" s="103"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9" t="str">
        <f t="shared" si="20"/>
        <v/>
      </c>
      <c r="L95" s="103" t="str">
        <f t="shared" si="21"/>
        <v/>
      </c>
      <c r="M95" s="53">
        <v>0</v>
      </c>
      <c r="N95" s="102" t="str">
        <f t="shared" si="22"/>
        <v/>
      </c>
      <c r="O95" s="103" t="str">
        <f t="shared" si="23"/>
        <v/>
      </c>
      <c r="P95" s="53">
        <v>0</v>
      </c>
      <c r="Q95" s="102" t="str">
        <f t="shared" si="24"/>
        <v/>
      </c>
      <c r="R95" s="103" t="str">
        <f t="shared" si="25"/>
        <v/>
      </c>
      <c r="S95" s="53">
        <v>0</v>
      </c>
      <c r="T95" s="102" t="str">
        <f t="shared" si="26"/>
        <v/>
      </c>
      <c r="U95" s="103" t="str">
        <f t="shared" si="27"/>
        <v/>
      </c>
      <c r="V95" s="53">
        <v>0</v>
      </c>
      <c r="W95" s="87" t="str">
        <f t="shared" si="28"/>
        <v/>
      </c>
      <c r="X95" s="103"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9" t="str">
        <f t="shared" si="20"/>
        <v/>
      </c>
      <c r="L96" s="103" t="str">
        <f t="shared" si="21"/>
        <v/>
      </c>
      <c r="M96" s="52">
        <v>0</v>
      </c>
      <c r="N96" s="102" t="str">
        <f t="shared" si="22"/>
        <v/>
      </c>
      <c r="O96" s="103" t="str">
        <f t="shared" si="23"/>
        <v/>
      </c>
      <c r="P96" s="52">
        <v>0</v>
      </c>
      <c r="Q96" s="102" t="str">
        <f t="shared" si="24"/>
        <v/>
      </c>
      <c r="R96" s="103" t="str">
        <f t="shared" si="25"/>
        <v/>
      </c>
      <c r="S96" s="52">
        <v>0</v>
      </c>
      <c r="T96" s="102" t="str">
        <f t="shared" si="26"/>
        <v/>
      </c>
      <c r="U96" s="103" t="str">
        <f t="shared" si="27"/>
        <v/>
      </c>
      <c r="V96" s="52">
        <v>0</v>
      </c>
      <c r="W96" s="87" t="str">
        <f t="shared" si="28"/>
        <v/>
      </c>
      <c r="X96" s="103"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9" t="str">
        <f t="shared" si="20"/>
        <v/>
      </c>
      <c r="L97" s="103" t="str">
        <f t="shared" si="21"/>
        <v/>
      </c>
      <c r="M97" s="53">
        <v>0</v>
      </c>
      <c r="N97" s="102" t="str">
        <f t="shared" si="22"/>
        <v/>
      </c>
      <c r="O97" s="103" t="str">
        <f t="shared" si="23"/>
        <v/>
      </c>
      <c r="P97" s="53">
        <v>0</v>
      </c>
      <c r="Q97" s="102" t="str">
        <f t="shared" si="24"/>
        <v/>
      </c>
      <c r="R97" s="103" t="str">
        <f t="shared" si="25"/>
        <v/>
      </c>
      <c r="S97" s="53">
        <v>0</v>
      </c>
      <c r="T97" s="102" t="str">
        <f t="shared" si="26"/>
        <v/>
      </c>
      <c r="U97" s="103" t="str">
        <f t="shared" si="27"/>
        <v/>
      </c>
      <c r="V97" s="53">
        <v>0</v>
      </c>
      <c r="W97" s="87" t="str">
        <f t="shared" si="28"/>
        <v/>
      </c>
      <c r="X97" s="103"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9" t="str">
        <f t="shared" si="20"/>
        <v/>
      </c>
      <c r="L98" s="103" t="str">
        <f t="shared" si="21"/>
        <v/>
      </c>
      <c r="M98" s="52">
        <v>0</v>
      </c>
      <c r="N98" s="102" t="str">
        <f t="shared" si="22"/>
        <v/>
      </c>
      <c r="O98" s="103" t="str">
        <f t="shared" si="23"/>
        <v/>
      </c>
      <c r="P98" s="52">
        <v>0</v>
      </c>
      <c r="Q98" s="102" t="str">
        <f t="shared" si="24"/>
        <v/>
      </c>
      <c r="R98" s="103" t="str">
        <f t="shared" si="25"/>
        <v/>
      </c>
      <c r="S98" s="52">
        <v>0</v>
      </c>
      <c r="T98" s="102" t="str">
        <f t="shared" si="26"/>
        <v/>
      </c>
      <c r="U98" s="103" t="str">
        <f t="shared" si="27"/>
        <v/>
      </c>
      <c r="V98" s="52">
        <v>0</v>
      </c>
      <c r="W98" s="87" t="str">
        <f t="shared" si="28"/>
        <v/>
      </c>
      <c r="X98" s="103"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9" t="str">
        <f t="shared" si="20"/>
        <v/>
      </c>
      <c r="L99" s="103" t="str">
        <f t="shared" si="21"/>
        <v/>
      </c>
      <c r="M99" s="53">
        <v>0</v>
      </c>
      <c r="N99" s="102" t="str">
        <f t="shared" si="22"/>
        <v/>
      </c>
      <c r="O99" s="103" t="str">
        <f t="shared" si="23"/>
        <v/>
      </c>
      <c r="P99" s="53">
        <v>0</v>
      </c>
      <c r="Q99" s="102" t="str">
        <f t="shared" si="24"/>
        <v/>
      </c>
      <c r="R99" s="103" t="str">
        <f t="shared" si="25"/>
        <v/>
      </c>
      <c r="S99" s="53">
        <v>0</v>
      </c>
      <c r="T99" s="102" t="str">
        <f t="shared" si="26"/>
        <v/>
      </c>
      <c r="U99" s="103" t="str">
        <f t="shared" si="27"/>
        <v/>
      </c>
      <c r="V99" s="53">
        <v>0</v>
      </c>
      <c r="W99" s="87" t="str">
        <f t="shared" si="28"/>
        <v/>
      </c>
      <c r="X99" s="103"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9" t="str">
        <f t="shared" si="20"/>
        <v/>
      </c>
      <c r="L100" s="103" t="str">
        <f t="shared" si="21"/>
        <v/>
      </c>
      <c r="M100" s="52">
        <v>0</v>
      </c>
      <c r="N100" s="102" t="str">
        <f t="shared" si="22"/>
        <v/>
      </c>
      <c r="O100" s="103" t="str">
        <f t="shared" si="23"/>
        <v/>
      </c>
      <c r="P100" s="52">
        <v>0</v>
      </c>
      <c r="Q100" s="102" t="str">
        <f t="shared" si="24"/>
        <v/>
      </c>
      <c r="R100" s="103" t="str">
        <f t="shared" si="25"/>
        <v/>
      </c>
      <c r="S100" s="52">
        <v>0</v>
      </c>
      <c r="T100" s="102" t="str">
        <f t="shared" si="26"/>
        <v/>
      </c>
      <c r="U100" s="103" t="str">
        <f t="shared" si="27"/>
        <v/>
      </c>
      <c r="V100" s="52">
        <v>0</v>
      </c>
      <c r="W100" s="87" t="str">
        <f t="shared" si="28"/>
        <v/>
      </c>
      <c r="X100" s="103"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9" t="str">
        <f t="shared" si="20"/>
        <v/>
      </c>
      <c r="L101" s="103" t="str">
        <f t="shared" si="21"/>
        <v/>
      </c>
      <c r="M101" s="53">
        <v>0</v>
      </c>
      <c r="N101" s="102" t="str">
        <f t="shared" si="22"/>
        <v/>
      </c>
      <c r="O101" s="103" t="str">
        <f t="shared" si="23"/>
        <v/>
      </c>
      <c r="P101" s="53">
        <v>0</v>
      </c>
      <c r="Q101" s="102" t="str">
        <f t="shared" si="24"/>
        <v/>
      </c>
      <c r="R101" s="103" t="str">
        <f t="shared" si="25"/>
        <v/>
      </c>
      <c r="S101" s="53">
        <v>0</v>
      </c>
      <c r="T101" s="102" t="str">
        <f t="shared" si="26"/>
        <v/>
      </c>
      <c r="U101" s="103" t="str">
        <f t="shared" si="27"/>
        <v/>
      </c>
      <c r="V101" s="53">
        <v>0</v>
      </c>
      <c r="W101" s="87" t="str">
        <f t="shared" si="28"/>
        <v/>
      </c>
      <c r="X101" s="103"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9" t="str">
        <f t="shared" si="20"/>
        <v/>
      </c>
      <c r="L102" s="103" t="str">
        <f t="shared" si="21"/>
        <v/>
      </c>
      <c r="M102" s="52">
        <v>0</v>
      </c>
      <c r="N102" s="102" t="str">
        <f t="shared" si="22"/>
        <v/>
      </c>
      <c r="O102" s="103" t="str">
        <f t="shared" si="23"/>
        <v/>
      </c>
      <c r="P102" s="52">
        <v>0</v>
      </c>
      <c r="Q102" s="102" t="str">
        <f t="shared" si="24"/>
        <v/>
      </c>
      <c r="R102" s="103" t="str">
        <f t="shared" si="25"/>
        <v/>
      </c>
      <c r="S102" s="52">
        <v>0</v>
      </c>
      <c r="T102" s="102" t="str">
        <f t="shared" si="26"/>
        <v/>
      </c>
      <c r="U102" s="103" t="str">
        <f t="shared" si="27"/>
        <v/>
      </c>
      <c r="V102" s="52">
        <v>0</v>
      </c>
      <c r="W102" s="87" t="str">
        <f t="shared" si="28"/>
        <v/>
      </c>
      <c r="X102" s="103"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9" t="str">
        <f t="shared" si="20"/>
        <v/>
      </c>
      <c r="L103" s="103" t="str">
        <f t="shared" si="21"/>
        <v/>
      </c>
      <c r="M103" s="53">
        <v>0</v>
      </c>
      <c r="N103" s="102" t="str">
        <f t="shared" si="22"/>
        <v/>
      </c>
      <c r="O103" s="103" t="str">
        <f t="shared" si="23"/>
        <v/>
      </c>
      <c r="P103" s="53">
        <v>0</v>
      </c>
      <c r="Q103" s="102" t="str">
        <f t="shared" si="24"/>
        <v/>
      </c>
      <c r="R103" s="103" t="str">
        <f t="shared" si="25"/>
        <v/>
      </c>
      <c r="S103" s="53">
        <v>0</v>
      </c>
      <c r="T103" s="102" t="str">
        <f t="shared" si="26"/>
        <v/>
      </c>
      <c r="U103" s="103" t="str">
        <f t="shared" si="27"/>
        <v/>
      </c>
      <c r="V103" s="53">
        <v>0</v>
      </c>
      <c r="W103" s="87" t="str">
        <f t="shared" si="28"/>
        <v/>
      </c>
      <c r="X103" s="103"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9" t="str">
        <f t="shared" si="20"/>
        <v/>
      </c>
      <c r="L104" s="103" t="str">
        <f t="shared" si="21"/>
        <v/>
      </c>
      <c r="M104" s="52">
        <v>0</v>
      </c>
      <c r="N104" s="102" t="str">
        <f t="shared" si="22"/>
        <v/>
      </c>
      <c r="O104" s="103" t="str">
        <f t="shared" si="23"/>
        <v/>
      </c>
      <c r="P104" s="52">
        <v>0</v>
      </c>
      <c r="Q104" s="102" t="str">
        <f t="shared" si="24"/>
        <v/>
      </c>
      <c r="R104" s="103" t="str">
        <f t="shared" si="25"/>
        <v/>
      </c>
      <c r="S104" s="52">
        <v>0</v>
      </c>
      <c r="T104" s="102" t="str">
        <f t="shared" si="26"/>
        <v/>
      </c>
      <c r="U104" s="103" t="str">
        <f t="shared" si="27"/>
        <v/>
      </c>
      <c r="V104" s="52">
        <v>0</v>
      </c>
      <c r="W104" s="87" t="str">
        <f t="shared" si="28"/>
        <v/>
      </c>
      <c r="X104" s="103"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9" t="str">
        <f t="shared" si="20"/>
        <v/>
      </c>
      <c r="L105" s="103" t="str">
        <f t="shared" si="21"/>
        <v/>
      </c>
      <c r="M105" s="53">
        <v>0</v>
      </c>
      <c r="N105" s="102" t="str">
        <f t="shared" si="22"/>
        <v/>
      </c>
      <c r="O105" s="103" t="str">
        <f t="shared" si="23"/>
        <v/>
      </c>
      <c r="P105" s="53">
        <v>0</v>
      </c>
      <c r="Q105" s="102" t="str">
        <f t="shared" si="24"/>
        <v/>
      </c>
      <c r="R105" s="103" t="str">
        <f t="shared" si="25"/>
        <v/>
      </c>
      <c r="S105" s="53">
        <v>0</v>
      </c>
      <c r="T105" s="102" t="str">
        <f t="shared" si="26"/>
        <v/>
      </c>
      <c r="U105" s="103" t="str">
        <f t="shared" si="27"/>
        <v/>
      </c>
      <c r="V105" s="53">
        <v>0</v>
      </c>
      <c r="W105" s="87" t="str">
        <f t="shared" si="28"/>
        <v/>
      </c>
      <c r="X105" s="103"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9" t="str">
        <f t="shared" si="20"/>
        <v/>
      </c>
      <c r="L106" s="103" t="str">
        <f t="shared" si="21"/>
        <v/>
      </c>
      <c r="M106" s="52">
        <v>0</v>
      </c>
      <c r="N106" s="102" t="str">
        <f t="shared" si="22"/>
        <v/>
      </c>
      <c r="O106" s="103" t="str">
        <f t="shared" si="23"/>
        <v/>
      </c>
      <c r="P106" s="52">
        <v>0</v>
      </c>
      <c r="Q106" s="102" t="str">
        <f t="shared" si="24"/>
        <v/>
      </c>
      <c r="R106" s="103" t="str">
        <f t="shared" si="25"/>
        <v/>
      </c>
      <c r="S106" s="52">
        <v>0</v>
      </c>
      <c r="T106" s="102" t="str">
        <f t="shared" si="26"/>
        <v/>
      </c>
      <c r="U106" s="103" t="str">
        <f t="shared" si="27"/>
        <v/>
      </c>
      <c r="V106" s="52">
        <v>0</v>
      </c>
      <c r="W106" s="87" t="str">
        <f t="shared" si="28"/>
        <v/>
      </c>
      <c r="X106" s="103"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9" t="str">
        <f t="shared" si="20"/>
        <v/>
      </c>
      <c r="L107" s="103" t="str">
        <f t="shared" si="21"/>
        <v/>
      </c>
      <c r="M107" s="53">
        <v>0</v>
      </c>
      <c r="N107" s="102" t="str">
        <f t="shared" si="22"/>
        <v/>
      </c>
      <c r="O107" s="103" t="str">
        <f t="shared" si="23"/>
        <v/>
      </c>
      <c r="P107" s="53">
        <v>0</v>
      </c>
      <c r="Q107" s="102" t="str">
        <f t="shared" si="24"/>
        <v/>
      </c>
      <c r="R107" s="103" t="str">
        <f t="shared" si="25"/>
        <v/>
      </c>
      <c r="S107" s="53">
        <v>0</v>
      </c>
      <c r="T107" s="102" t="str">
        <f t="shared" si="26"/>
        <v/>
      </c>
      <c r="U107" s="103" t="str">
        <f t="shared" si="27"/>
        <v/>
      </c>
      <c r="V107" s="53">
        <v>0</v>
      </c>
      <c r="W107" s="87" t="str">
        <f t="shared" si="28"/>
        <v/>
      </c>
      <c r="X107" s="103"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9" t="str">
        <f t="shared" si="20"/>
        <v/>
      </c>
      <c r="L108" s="103" t="str">
        <f t="shared" si="21"/>
        <v/>
      </c>
      <c r="M108" s="52">
        <v>0</v>
      </c>
      <c r="N108" s="102" t="str">
        <f t="shared" si="22"/>
        <v/>
      </c>
      <c r="O108" s="103" t="str">
        <f t="shared" si="23"/>
        <v/>
      </c>
      <c r="P108" s="52">
        <v>0</v>
      </c>
      <c r="Q108" s="102" t="str">
        <f t="shared" si="24"/>
        <v/>
      </c>
      <c r="R108" s="103" t="str">
        <f t="shared" si="25"/>
        <v/>
      </c>
      <c r="S108" s="52">
        <v>0</v>
      </c>
      <c r="T108" s="102" t="str">
        <f t="shared" si="26"/>
        <v/>
      </c>
      <c r="U108" s="103" t="str">
        <f t="shared" si="27"/>
        <v/>
      </c>
      <c r="V108" s="52">
        <v>0</v>
      </c>
      <c r="W108" s="87" t="str">
        <f t="shared" si="28"/>
        <v/>
      </c>
      <c r="X108" s="103"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9" t="str">
        <f t="shared" si="20"/>
        <v/>
      </c>
      <c r="L109" s="103" t="str">
        <f t="shared" si="21"/>
        <v/>
      </c>
      <c r="M109" s="53">
        <v>0</v>
      </c>
      <c r="N109" s="102" t="str">
        <f t="shared" si="22"/>
        <v/>
      </c>
      <c r="O109" s="103" t="str">
        <f t="shared" si="23"/>
        <v/>
      </c>
      <c r="P109" s="53">
        <v>0</v>
      </c>
      <c r="Q109" s="102" t="str">
        <f t="shared" si="24"/>
        <v/>
      </c>
      <c r="R109" s="103" t="str">
        <f t="shared" si="25"/>
        <v/>
      </c>
      <c r="S109" s="53">
        <v>0</v>
      </c>
      <c r="T109" s="102" t="str">
        <f t="shared" si="26"/>
        <v/>
      </c>
      <c r="U109" s="103" t="str">
        <f t="shared" si="27"/>
        <v/>
      </c>
      <c r="V109" s="53">
        <v>0</v>
      </c>
      <c r="W109" s="87" t="str">
        <f t="shared" si="28"/>
        <v/>
      </c>
      <c r="X109" s="103"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9" t="str">
        <f t="shared" si="20"/>
        <v/>
      </c>
      <c r="L110" s="103" t="str">
        <f t="shared" si="21"/>
        <v/>
      </c>
      <c r="M110" s="52">
        <v>0</v>
      </c>
      <c r="N110" s="102" t="str">
        <f t="shared" si="22"/>
        <v/>
      </c>
      <c r="O110" s="103" t="str">
        <f t="shared" si="23"/>
        <v/>
      </c>
      <c r="P110" s="52">
        <v>0</v>
      </c>
      <c r="Q110" s="102" t="str">
        <f t="shared" si="24"/>
        <v/>
      </c>
      <c r="R110" s="103" t="str">
        <f t="shared" si="25"/>
        <v/>
      </c>
      <c r="S110" s="52">
        <v>0</v>
      </c>
      <c r="T110" s="102" t="str">
        <f t="shared" si="26"/>
        <v/>
      </c>
      <c r="U110" s="103" t="str">
        <f t="shared" si="27"/>
        <v/>
      </c>
      <c r="V110" s="52">
        <v>0</v>
      </c>
      <c r="W110" s="87" t="str">
        <f t="shared" si="28"/>
        <v/>
      </c>
      <c r="X110" s="103"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9" t="str">
        <f t="shared" si="20"/>
        <v/>
      </c>
      <c r="L111" s="103" t="str">
        <f t="shared" si="21"/>
        <v/>
      </c>
      <c r="M111" s="53">
        <v>0</v>
      </c>
      <c r="N111" s="102" t="str">
        <f t="shared" si="22"/>
        <v/>
      </c>
      <c r="O111" s="103" t="str">
        <f t="shared" si="23"/>
        <v/>
      </c>
      <c r="P111" s="53">
        <v>0</v>
      </c>
      <c r="Q111" s="102" t="str">
        <f t="shared" si="24"/>
        <v/>
      </c>
      <c r="R111" s="103" t="str">
        <f t="shared" si="25"/>
        <v/>
      </c>
      <c r="S111" s="53">
        <v>0</v>
      </c>
      <c r="T111" s="102" t="str">
        <f t="shared" si="26"/>
        <v/>
      </c>
      <c r="U111" s="103" t="str">
        <f t="shared" si="27"/>
        <v/>
      </c>
      <c r="V111" s="53">
        <v>0</v>
      </c>
      <c r="W111" s="87" t="str">
        <f t="shared" si="28"/>
        <v/>
      </c>
      <c r="X111" s="103"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9" t="str">
        <f t="shared" si="20"/>
        <v/>
      </c>
      <c r="L112" s="103" t="str">
        <f t="shared" si="21"/>
        <v/>
      </c>
      <c r="M112" s="52">
        <v>0</v>
      </c>
      <c r="N112" s="102" t="str">
        <f t="shared" si="22"/>
        <v/>
      </c>
      <c r="O112" s="103" t="str">
        <f t="shared" si="23"/>
        <v/>
      </c>
      <c r="P112" s="52">
        <v>0</v>
      </c>
      <c r="Q112" s="102" t="str">
        <f t="shared" si="24"/>
        <v/>
      </c>
      <c r="R112" s="103" t="str">
        <f t="shared" si="25"/>
        <v/>
      </c>
      <c r="S112" s="52">
        <v>0</v>
      </c>
      <c r="T112" s="102" t="str">
        <f t="shared" si="26"/>
        <v/>
      </c>
      <c r="U112" s="103" t="str">
        <f t="shared" si="27"/>
        <v/>
      </c>
      <c r="V112" s="52">
        <v>0</v>
      </c>
      <c r="W112" s="87" t="str">
        <f t="shared" si="28"/>
        <v/>
      </c>
      <c r="X112" s="103"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9" t="str">
        <f t="shared" si="20"/>
        <v/>
      </c>
      <c r="L113" s="103" t="str">
        <f t="shared" si="21"/>
        <v/>
      </c>
      <c r="M113" s="53">
        <v>0</v>
      </c>
      <c r="N113" s="102" t="str">
        <f t="shared" si="22"/>
        <v/>
      </c>
      <c r="O113" s="103" t="str">
        <f t="shared" si="23"/>
        <v/>
      </c>
      <c r="P113" s="53">
        <v>0</v>
      </c>
      <c r="Q113" s="102" t="str">
        <f t="shared" si="24"/>
        <v/>
      </c>
      <c r="R113" s="103" t="str">
        <f t="shared" si="25"/>
        <v/>
      </c>
      <c r="S113" s="53">
        <v>0</v>
      </c>
      <c r="T113" s="102" t="str">
        <f t="shared" si="26"/>
        <v/>
      </c>
      <c r="U113" s="103" t="str">
        <f t="shared" si="27"/>
        <v/>
      </c>
      <c r="V113" s="53">
        <v>0</v>
      </c>
      <c r="W113" s="87" t="str">
        <f t="shared" si="28"/>
        <v/>
      </c>
      <c r="X113" s="103"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strictly on flat linear scripts, variables, print statements, and primitive data types. DO NOT use custom def functions.", IF(G138="Intermediate",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print statements, data structures, and conditional logic. Do NOT expect decorators, generators, or functions unless explicitly demanded.", IF(G138="Intermediate",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IF(G138="Beginner", "5–15", IF(G138="Intermediate",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IF(G138="Beginner","5–15", IF(G138="Intermediate","10–25","15–35"))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IF(G138="Beginner","25–40", IF(G138="Intermediate","30–60","40–100"))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673</v>
      </c>
    </row>
    <row r="3" spans="1:1">
      <c r="A3" t="s">
        <v>674</v>
      </c>
    </row>
    <row r="5" spans="1:1" ht="18">
      <c r="A5" s="115" t="s">
        <v>675</v>
      </c>
    </row>
    <row r="7" spans="1:1" ht="21">
      <c r="A7" s="132" t="s">
        <v>676</v>
      </c>
    </row>
    <row r="8" spans="1:1">
      <c r="A8" s="116"/>
    </row>
    <row r="9" spans="1:1">
      <c r="A9" s="116" t="s">
        <v>677</v>
      </c>
    </row>
    <row r="10" spans="1:1">
      <c r="A10" s="116" t="s">
        <v>678</v>
      </c>
    </row>
    <row r="11" spans="1:1">
      <c r="A11" s="116" t="s">
        <v>679</v>
      </c>
    </row>
    <row r="12" spans="1:1">
      <c r="A12" s="116" t="s">
        <v>680</v>
      </c>
    </row>
    <row r="13" spans="1:1">
      <c r="A13" s="116" t="s">
        <v>681</v>
      </c>
    </row>
    <row r="15" spans="1:1" ht="21">
      <c r="A15" s="132" t="s">
        <v>682</v>
      </c>
    </row>
    <row r="17" spans="1:1">
      <c r="A17" t="s">
        <v>683</v>
      </c>
    </row>
    <row r="18" spans="1:1">
      <c r="A18" s="116"/>
    </row>
    <row r="19" spans="1:1">
      <c r="A19" s="117" t="s">
        <v>684</v>
      </c>
    </row>
    <row r="20" spans="1:1">
      <c r="A20" s="118" t="s">
        <v>685</v>
      </c>
    </row>
    <row r="21" spans="1:1">
      <c r="A21" s="118" t="s">
        <v>686</v>
      </c>
    </row>
    <row r="22" spans="1:1">
      <c r="A22" s="118" t="s">
        <v>687</v>
      </c>
    </row>
    <row r="23" spans="1:1">
      <c r="A23" s="118" t="s">
        <v>688</v>
      </c>
    </row>
    <row r="24" spans="1:1">
      <c r="A24" s="116"/>
    </row>
    <row r="25" spans="1:1">
      <c r="A25" s="117" t="s">
        <v>689</v>
      </c>
    </row>
    <row r="29" spans="1:1">
      <c r="A29" s="133"/>
    </row>
    <row r="30" spans="1:1">
      <c r="A30" s="134"/>
    </row>
    <row r="31" spans="1:1">
      <c r="A31" s="133"/>
    </row>
    <row r="32" spans="1:1">
      <c r="A32" s="133"/>
    </row>
    <row r="33" spans="1:1">
      <c r="A33" s="134"/>
    </row>
    <row r="34" spans="1:1">
      <c r="A34" s="133"/>
    </row>
    <row r="35" spans="1:1">
      <c r="A35" s="133"/>
    </row>
    <row r="36" spans="1:1" ht="21">
      <c r="A36" s="132" t="s">
        <v>690</v>
      </c>
    </row>
    <row r="38" spans="1:1">
      <c r="A38" t="s">
        <v>691</v>
      </c>
    </row>
    <row r="39" spans="1:1">
      <c r="A39" s="116"/>
    </row>
    <row r="40" spans="1:1">
      <c r="A40" s="116" t="s">
        <v>692</v>
      </c>
    </row>
    <row r="41" spans="1:1">
      <c r="A41" s="116" t="s">
        <v>693</v>
      </c>
    </row>
    <row r="42" spans="1:1">
      <c r="A42" s="116" t="s">
        <v>694</v>
      </c>
    </row>
    <row r="44" spans="1:1" ht="18">
      <c r="A44" s="115" t="s">
        <v>695</v>
      </c>
    </row>
    <row r="45" spans="1:1">
      <c r="A45" s="116"/>
    </row>
    <row r="46" spans="1:1">
      <c r="A46" s="116" t="s">
        <v>696</v>
      </c>
    </row>
    <row r="47" spans="1:1">
      <c r="A47" s="116" t="s">
        <v>697</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D6" sqref="D6"/>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Python</v>
      </c>
    </row>
    <row r="2" spans="1:5" ht="26.25">
      <c r="C2" s="122" t="s">
        <v>266</v>
      </c>
      <c r="D2" s="123" t="str">
        <f>IF(PromptGenerator!I3="","",PromptGenerator!I3)</f>
        <v>HTTPX</v>
      </c>
    </row>
    <row r="5" spans="1:5">
      <c r="A5" s="124" t="s">
        <v>634</v>
      </c>
      <c r="B5" s="124" t="s">
        <v>23</v>
      </c>
      <c r="C5" s="124" t="s">
        <v>577</v>
      </c>
      <c r="D5" s="124" t="s">
        <v>612</v>
      </c>
      <c r="E5" s="124" t="s">
        <v>611</v>
      </c>
    </row>
    <row r="6" spans="1:5">
      <c r="A6" s="125" t="s">
        <v>0</v>
      </c>
      <c r="B6" t="s">
        <v>48</v>
      </c>
      <c r="C6" t="s">
        <v>599</v>
      </c>
      <c r="D6" t="s">
        <v>599</v>
      </c>
      <c r="E6" s="120" t="s">
        <v>727</v>
      </c>
    </row>
    <row r="7" spans="1:5">
      <c r="A7" s="125" t="s">
        <v>0</v>
      </c>
      <c r="B7" t="s">
        <v>48</v>
      </c>
      <c r="C7" s="136" t="s">
        <v>179</v>
      </c>
      <c r="D7" t="s">
        <v>603</v>
      </c>
      <c r="E7" s="121" t="s">
        <v>734</v>
      </c>
    </row>
    <row r="8" spans="1:5">
      <c r="A8" s="125" t="s">
        <v>0</v>
      </c>
      <c r="B8" t="s">
        <v>48</v>
      </c>
      <c r="C8" s="136" t="s">
        <v>179</v>
      </c>
      <c r="D8" t="s">
        <v>604</v>
      </c>
      <c r="E8" t="s">
        <v>762</v>
      </c>
    </row>
    <row r="9" spans="1:5">
      <c r="A9" s="125" t="s">
        <v>0</v>
      </c>
      <c r="B9" t="s">
        <v>48</v>
      </c>
      <c r="C9" s="136" t="s">
        <v>179</v>
      </c>
      <c r="D9" t="s">
        <v>605</v>
      </c>
      <c r="E9" t="s">
        <v>735</v>
      </c>
    </row>
    <row r="10" spans="1:5">
      <c r="A10" s="125" t="s">
        <v>0</v>
      </c>
      <c r="B10" t="s">
        <v>48</v>
      </c>
      <c r="C10" s="136" t="s">
        <v>606</v>
      </c>
      <c r="D10" t="s">
        <v>607</v>
      </c>
      <c r="E10" s="120" t="s">
        <v>763</v>
      </c>
    </row>
    <row r="11" spans="1:5">
      <c r="A11" s="125" t="s">
        <v>0</v>
      </c>
      <c r="B11" t="s">
        <v>48</v>
      </c>
      <c r="C11" s="136" t="s">
        <v>606</v>
      </c>
      <c r="D11" t="s">
        <v>608</v>
      </c>
      <c r="E11" t="s">
        <v>764</v>
      </c>
    </row>
    <row r="12" spans="1:5">
      <c r="A12" s="125" t="s">
        <v>0</v>
      </c>
      <c r="B12" t="s">
        <v>48</v>
      </c>
      <c r="C12" s="136" t="s">
        <v>606</v>
      </c>
      <c r="D12" t="s">
        <v>725</v>
      </c>
      <c r="E12" s="120" t="s">
        <v>765</v>
      </c>
    </row>
    <row r="13" spans="1:5">
      <c r="A13" s="125" t="s">
        <v>0</v>
      </c>
      <c r="B13" t="s">
        <v>48</v>
      </c>
      <c r="C13" s="136" t="s">
        <v>606</v>
      </c>
      <c r="D13" t="s">
        <v>766</v>
      </c>
      <c r="E13" s="120" t="s">
        <v>767</v>
      </c>
    </row>
    <row r="14" spans="1:5">
      <c r="A14" s="125" t="s">
        <v>0</v>
      </c>
      <c r="B14" t="s">
        <v>48</v>
      </c>
      <c r="C14" s="136" t="s">
        <v>598</v>
      </c>
      <c r="D14" t="s">
        <v>609</v>
      </c>
      <c r="E14" t="s">
        <v>728</v>
      </c>
    </row>
    <row r="15" spans="1:5">
      <c r="A15" s="125" t="s">
        <v>0</v>
      </c>
      <c r="B15" t="s">
        <v>48</v>
      </c>
      <c r="C15" s="136" t="s">
        <v>598</v>
      </c>
      <c r="D15" t="s">
        <v>610</v>
      </c>
      <c r="E15" t="s">
        <v>729</v>
      </c>
    </row>
    <row r="16" spans="1:5">
      <c r="A16" s="125" t="s">
        <v>0</v>
      </c>
      <c r="B16" t="s">
        <v>48</v>
      </c>
      <c r="C16" s="136" t="s">
        <v>225</v>
      </c>
      <c r="D16" t="s">
        <v>601</v>
      </c>
      <c r="E16" t="s">
        <v>760</v>
      </c>
    </row>
    <row r="17" spans="1:5">
      <c r="A17" s="125" t="s">
        <v>0</v>
      </c>
      <c r="B17" t="s">
        <v>48</v>
      </c>
      <c r="C17" s="136" t="s">
        <v>225</v>
      </c>
      <c r="D17" t="s">
        <v>602</v>
      </c>
      <c r="E17" t="s">
        <v>761</v>
      </c>
    </row>
    <row r="18" spans="1:5">
      <c r="A18" s="125" t="s">
        <v>0</v>
      </c>
      <c r="B18" t="s">
        <v>613</v>
      </c>
      <c r="C18" s="136" t="s">
        <v>614</v>
      </c>
      <c r="D18" t="s">
        <v>615</v>
      </c>
      <c r="E18" t="s">
        <v>731</v>
      </c>
    </row>
    <row r="19" spans="1:5">
      <c r="A19" s="125" t="s">
        <v>0</v>
      </c>
      <c r="B19" t="s">
        <v>613</v>
      </c>
      <c r="C19" s="136" t="s">
        <v>614</v>
      </c>
      <c r="D19" t="s">
        <v>616</v>
      </c>
      <c r="E19" t="s">
        <v>770</v>
      </c>
    </row>
    <row r="20" spans="1:5">
      <c r="A20" s="125" t="s">
        <v>0</v>
      </c>
      <c r="B20" t="s">
        <v>613</v>
      </c>
      <c r="C20" s="136" t="s">
        <v>614</v>
      </c>
      <c r="D20" t="s">
        <v>617</v>
      </c>
      <c r="E20" t="s">
        <v>709</v>
      </c>
    </row>
    <row r="21" spans="1:5">
      <c r="A21" s="125" t="s">
        <v>0</v>
      </c>
      <c r="B21" t="s">
        <v>613</v>
      </c>
      <c r="C21" s="136" t="s">
        <v>606</v>
      </c>
      <c r="D21" t="s">
        <v>726</v>
      </c>
      <c r="E21" t="s">
        <v>730</v>
      </c>
    </row>
    <row r="22" spans="1:5">
      <c r="A22" s="125" t="s">
        <v>0</v>
      </c>
      <c r="B22" t="s">
        <v>600</v>
      </c>
      <c r="C22" s="136" t="s">
        <v>618</v>
      </c>
      <c r="D22" t="s">
        <v>47</v>
      </c>
      <c r="E22" t="s">
        <v>732</v>
      </c>
    </row>
    <row r="23" spans="1:5">
      <c r="A23" s="125" t="s">
        <v>0</v>
      </c>
      <c r="B23" t="s">
        <v>600</v>
      </c>
      <c r="C23" s="136" t="s">
        <v>618</v>
      </c>
      <c r="D23" t="s">
        <v>158</v>
      </c>
      <c r="E23" t="s">
        <v>710</v>
      </c>
    </row>
    <row r="24" spans="1:5">
      <c r="A24" s="125" t="s">
        <v>0</v>
      </c>
      <c r="B24" t="s">
        <v>600</v>
      </c>
      <c r="C24" s="136" t="s">
        <v>618</v>
      </c>
      <c r="D24" t="s">
        <v>159</v>
      </c>
      <c r="E24" t="s">
        <v>711</v>
      </c>
    </row>
    <row r="25" spans="1:5">
      <c r="A25" s="125" t="s">
        <v>0</v>
      </c>
      <c r="B25" t="s">
        <v>600</v>
      </c>
      <c r="C25" s="136" t="s">
        <v>619</v>
      </c>
      <c r="D25" t="s">
        <v>620</v>
      </c>
      <c r="E25" t="s">
        <v>712</v>
      </c>
    </row>
    <row r="26" spans="1:5">
      <c r="A26" s="125" t="s">
        <v>0</v>
      </c>
      <c r="B26" t="s">
        <v>600</v>
      </c>
      <c r="C26" s="136" t="s">
        <v>619</v>
      </c>
      <c r="D26" t="s">
        <v>621</v>
      </c>
      <c r="E26" t="s">
        <v>733</v>
      </c>
    </row>
    <row r="27" spans="1:5">
      <c r="A27" s="125" t="s">
        <v>0</v>
      </c>
      <c r="B27" t="s">
        <v>600</v>
      </c>
      <c r="C27" s="136" t="s">
        <v>619</v>
      </c>
      <c r="D27" t="s">
        <v>622</v>
      </c>
      <c r="E27" t="s">
        <v>713</v>
      </c>
    </row>
    <row r="28" spans="1:5">
      <c r="A28" s="125" t="s">
        <v>0</v>
      </c>
      <c r="B28" t="s">
        <v>600</v>
      </c>
      <c r="C28" s="136" t="s">
        <v>619</v>
      </c>
      <c r="D28" t="s">
        <v>623</v>
      </c>
      <c r="E28" t="s">
        <v>714</v>
      </c>
    </row>
    <row r="29" spans="1:5">
      <c r="A29" s="126" t="s">
        <v>270</v>
      </c>
      <c r="B29" t="s">
        <v>48</v>
      </c>
      <c r="C29" s="136" t="s">
        <v>624</v>
      </c>
      <c r="D29" t="s">
        <v>625</v>
      </c>
      <c r="E29" t="s">
        <v>736</v>
      </c>
    </row>
    <row r="30" spans="1:5">
      <c r="A30" s="126" t="s">
        <v>270</v>
      </c>
      <c r="B30" t="s">
        <v>48</v>
      </c>
      <c r="C30" s="136" t="s">
        <v>624</v>
      </c>
      <c r="D30" t="s">
        <v>626</v>
      </c>
      <c r="E30" t="s">
        <v>737</v>
      </c>
    </row>
    <row r="31" spans="1:5">
      <c r="A31" s="126" t="s">
        <v>270</v>
      </c>
      <c r="B31" t="s">
        <v>48</v>
      </c>
      <c r="C31" s="136" t="s">
        <v>624</v>
      </c>
      <c r="D31" t="s">
        <v>627</v>
      </c>
      <c r="E31" t="s">
        <v>738</v>
      </c>
    </row>
    <row r="32" spans="1:5">
      <c r="A32" s="126" t="s">
        <v>270</v>
      </c>
      <c r="B32" t="s">
        <v>48</v>
      </c>
      <c r="C32" s="136" t="s">
        <v>771</v>
      </c>
      <c r="D32" t="s">
        <v>628</v>
      </c>
      <c r="E32" t="s">
        <v>739</v>
      </c>
    </row>
    <row r="33" spans="1:5">
      <c r="A33" s="126" t="s">
        <v>270</v>
      </c>
      <c r="B33" t="s">
        <v>48</v>
      </c>
      <c r="C33" s="136" t="s">
        <v>772</v>
      </c>
      <c r="D33" t="s">
        <v>629</v>
      </c>
      <c r="E33" t="s">
        <v>740</v>
      </c>
    </row>
    <row r="34" spans="1:5">
      <c r="A34" s="126" t="s">
        <v>270</v>
      </c>
      <c r="B34" t="s">
        <v>48</v>
      </c>
      <c r="C34" s="136" t="s">
        <v>630</v>
      </c>
      <c r="D34" t="s">
        <v>631</v>
      </c>
      <c r="E34" t="s">
        <v>741</v>
      </c>
    </row>
    <row r="35" spans="1:5">
      <c r="A35" s="126" t="s">
        <v>270</v>
      </c>
      <c r="B35" t="s">
        <v>48</v>
      </c>
      <c r="C35" s="136" t="s">
        <v>630</v>
      </c>
      <c r="D35" t="s">
        <v>632</v>
      </c>
      <c r="E35" t="s">
        <v>773</v>
      </c>
    </row>
    <row r="36" spans="1:5">
      <c r="A36" s="126" t="s">
        <v>270</v>
      </c>
      <c r="B36" t="s">
        <v>48</v>
      </c>
      <c r="C36" s="136" t="s">
        <v>630</v>
      </c>
      <c r="D36" t="s">
        <v>633</v>
      </c>
      <c r="E36" t="s">
        <v>742</v>
      </c>
    </row>
    <row r="37" spans="1:5">
      <c r="A37" s="126" t="s">
        <v>270</v>
      </c>
      <c r="B37" t="s">
        <v>613</v>
      </c>
      <c r="C37" s="136" t="s">
        <v>635</v>
      </c>
      <c r="D37" t="s">
        <v>636</v>
      </c>
      <c r="E37" t="s">
        <v>743</v>
      </c>
    </row>
    <row r="38" spans="1:5">
      <c r="A38" s="126" t="s">
        <v>270</v>
      </c>
      <c r="B38" t="s">
        <v>613</v>
      </c>
      <c r="C38" s="136" t="s">
        <v>635</v>
      </c>
      <c r="D38" t="s">
        <v>637</v>
      </c>
      <c r="E38" t="s">
        <v>744</v>
      </c>
    </row>
    <row r="39" spans="1:5">
      <c r="A39" s="126" t="s">
        <v>270</v>
      </c>
      <c r="B39" t="s">
        <v>613</v>
      </c>
      <c r="C39" s="136" t="s">
        <v>635</v>
      </c>
      <c r="D39" t="s">
        <v>638</v>
      </c>
      <c r="E39" t="s">
        <v>745</v>
      </c>
    </row>
    <row r="40" spans="1:5">
      <c r="A40" s="126" t="s">
        <v>270</v>
      </c>
      <c r="B40" t="s">
        <v>613</v>
      </c>
      <c r="C40" s="136" t="s">
        <v>635</v>
      </c>
      <c r="D40" t="s">
        <v>639</v>
      </c>
      <c r="E40" t="s">
        <v>746</v>
      </c>
    </row>
    <row r="41" spans="1:5">
      <c r="A41" s="126" t="s">
        <v>270</v>
      </c>
      <c r="B41" t="s">
        <v>600</v>
      </c>
      <c r="C41" s="136" t="s">
        <v>774</v>
      </c>
      <c r="D41" t="s">
        <v>640</v>
      </c>
      <c r="E41" t="s">
        <v>747</v>
      </c>
    </row>
    <row r="42" spans="1:5">
      <c r="A42" s="126" t="s">
        <v>270</v>
      </c>
      <c r="B42" t="s">
        <v>600</v>
      </c>
      <c r="C42" s="136" t="s">
        <v>774</v>
      </c>
      <c r="D42" t="s">
        <v>641</v>
      </c>
      <c r="E42" t="s">
        <v>712</v>
      </c>
    </row>
    <row r="43" spans="1:5">
      <c r="A43" s="126" t="s">
        <v>270</v>
      </c>
      <c r="B43" t="s">
        <v>600</v>
      </c>
      <c r="C43" s="136" t="s">
        <v>774</v>
      </c>
      <c r="D43" t="s">
        <v>642</v>
      </c>
      <c r="E43" t="s">
        <v>748</v>
      </c>
    </row>
    <row r="44" spans="1:5">
      <c r="A44" s="126" t="s">
        <v>270</v>
      </c>
      <c r="B44" t="s">
        <v>600</v>
      </c>
      <c r="C44" s="136" t="s">
        <v>774</v>
      </c>
      <c r="D44" t="s">
        <v>643</v>
      </c>
      <c r="E44" t="s">
        <v>749</v>
      </c>
    </row>
    <row r="45" spans="1:5">
      <c r="A45" s="127" t="s">
        <v>335</v>
      </c>
      <c r="B45" t="s">
        <v>48</v>
      </c>
      <c r="C45" s="136" t="s">
        <v>649</v>
      </c>
      <c r="D45" t="s">
        <v>645</v>
      </c>
      <c r="E45" t="s">
        <v>755</v>
      </c>
    </row>
    <row r="46" spans="1:5">
      <c r="A46" s="127" t="s">
        <v>335</v>
      </c>
      <c r="B46" t="s">
        <v>48</v>
      </c>
      <c r="C46" s="136" t="s">
        <v>650</v>
      </c>
      <c r="D46" t="s">
        <v>646</v>
      </c>
      <c r="E46" t="s">
        <v>756</v>
      </c>
    </row>
    <row r="47" spans="1:5">
      <c r="A47" s="127" t="s">
        <v>335</v>
      </c>
      <c r="B47" t="s">
        <v>48</v>
      </c>
      <c r="C47" s="136" t="s">
        <v>651</v>
      </c>
      <c r="D47" t="s">
        <v>647</v>
      </c>
      <c r="E47" t="s">
        <v>757</v>
      </c>
    </row>
    <row r="48" spans="1:5">
      <c r="A48" s="127" t="s">
        <v>335</v>
      </c>
      <c r="B48" t="s">
        <v>48</v>
      </c>
      <c r="C48" s="136" t="s">
        <v>651</v>
      </c>
      <c r="D48" t="s">
        <v>648</v>
      </c>
      <c r="E48" t="s">
        <v>758</v>
      </c>
    </row>
    <row r="49" spans="1:5">
      <c r="A49" s="127" t="s">
        <v>335</v>
      </c>
      <c r="B49" t="s">
        <v>613</v>
      </c>
      <c r="C49" s="136" t="s">
        <v>649</v>
      </c>
      <c r="D49" t="s">
        <v>652</v>
      </c>
      <c r="E49" t="s">
        <v>750</v>
      </c>
    </row>
    <row r="50" spans="1:5">
      <c r="A50" s="127" t="s">
        <v>335</v>
      </c>
      <c r="B50" t="s">
        <v>613</v>
      </c>
      <c r="C50" s="136" t="s">
        <v>651</v>
      </c>
      <c r="D50" t="s">
        <v>653</v>
      </c>
      <c r="E50" t="s">
        <v>751</v>
      </c>
    </row>
    <row r="51" spans="1:5">
      <c r="A51" s="127" t="s">
        <v>335</v>
      </c>
      <c r="B51" t="s">
        <v>613</v>
      </c>
      <c r="C51" s="136" t="s">
        <v>651</v>
      </c>
      <c r="D51" t="s">
        <v>654</v>
      </c>
      <c r="E51" t="s">
        <v>752</v>
      </c>
    </row>
    <row r="52" spans="1:5">
      <c r="A52" s="127" t="s">
        <v>335</v>
      </c>
      <c r="B52" t="s">
        <v>600</v>
      </c>
      <c r="C52" s="136" t="s">
        <v>774</v>
      </c>
      <c r="D52" t="s">
        <v>655</v>
      </c>
      <c r="E52" t="s">
        <v>759</v>
      </c>
    </row>
    <row r="53" spans="1:5">
      <c r="A53" s="127" t="s">
        <v>335</v>
      </c>
      <c r="B53" t="s">
        <v>600</v>
      </c>
      <c r="C53" s="136" t="s">
        <v>774</v>
      </c>
      <c r="D53" t="s">
        <v>641</v>
      </c>
      <c r="E53" t="s">
        <v>715</v>
      </c>
    </row>
    <row r="54" spans="1:5">
      <c r="A54" s="127" t="s">
        <v>335</v>
      </c>
      <c r="B54" t="s">
        <v>600</v>
      </c>
      <c r="C54" s="136" t="s">
        <v>774</v>
      </c>
      <c r="D54" t="s">
        <v>656</v>
      </c>
      <c r="E54" t="s">
        <v>753</v>
      </c>
    </row>
    <row r="55" spans="1:5">
      <c r="A55" s="127" t="s">
        <v>335</v>
      </c>
      <c r="B55" t="s">
        <v>600</v>
      </c>
      <c r="C55" s="136" t="s">
        <v>774</v>
      </c>
      <c r="D55" t="s">
        <v>657</v>
      </c>
      <c r="E55" t="s">
        <v>754</v>
      </c>
    </row>
    <row r="56" spans="1:5">
      <c r="A56" s="121" t="s">
        <v>411</v>
      </c>
      <c r="B56" t="s">
        <v>600</v>
      </c>
      <c r="C56" t="s">
        <v>661</v>
      </c>
      <c r="D56" t="s">
        <v>662</v>
      </c>
      <c r="E56" t="s">
        <v>716</v>
      </c>
    </row>
    <row r="57" spans="1:5">
      <c r="A57" s="128" t="s">
        <v>448</v>
      </c>
      <c r="B57" t="s">
        <v>600</v>
      </c>
      <c r="C57" t="s">
        <v>661</v>
      </c>
      <c r="D57" t="s">
        <v>662</v>
      </c>
      <c r="E57" t="s">
        <v>717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86" zoomScaleNormal="100" workbookViewId="0">
      <selection activeCell="C95" sqref="C95:D104"/>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446</v>
      </c>
      <c r="D2" s="81" t="s">
        <v>0</v>
      </c>
      <c r="H2" s="82"/>
      <c r="T2" s="82"/>
    </row>
    <row r="3" spans="1:29">
      <c r="B3" s="76" t="s">
        <v>221</v>
      </c>
      <c r="C3" s="76" t="s">
        <v>577</v>
      </c>
      <c r="D3" s="76" t="s">
        <v>578</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474</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9"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489</v>
      </c>
      <c r="D11" s="94" t="s">
        <v>481</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718</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426</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E14" s="77" t="str">
        <f t="shared" si="0"/>
        <v>"[FUNCTION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702</v>
      </c>
      <c r="B18" s="83" t="s">
        <v>223</v>
      </c>
      <c r="C18" s="32" t="s">
        <v>606</v>
      </c>
      <c r="D18" s="137" t="str">
        <f>"Each example MUST: - Use " &amp; Variables!E10 &amp; " - Print steps &amp; result via " &amp; Variables!E11 &amp; " - " &amp; Variables!E12 &amp; " - " &amp; Variables!E13 &amp; " | " &amp; CHAR(34) &amp; " &amp;"</f>
        <v>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E18" s="77" t="str">
        <f t="shared" si="0"/>
        <v>"[CODE_CONSTRAINTS_RULE]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F18" s="54" t="s">
        <v>224</v>
      </c>
    </row>
    <row r="19" spans="1:6">
      <c r="A19">
        <f t="shared" si="1"/>
        <v>199</v>
      </c>
      <c r="B19" s="84" t="s">
        <v>223</v>
      </c>
      <c r="C19" s="32" t="s">
        <v>598</v>
      </c>
      <c r="D19" s="137" t="str">
        <f>"Use " &amp; Variables!E14 &amp; " and gracefully handle " &amp; Variables!E15 &amp; " when applicable." &amp; " | " &amp; CHAR(34) &amp; " &amp;"</f>
        <v>Use Basic primitive types (int, float, str, bool) or simple lists/dictionaries. and gracefully handle print() statements with comma-separated values to display outputs clearly. when applicable. | " &amp;</v>
      </c>
      <c r="E19" s="77" t="str">
        <f t="shared" si="0"/>
        <v>"[I_O_PARADIGM] Use Basic primitive types (int, float, str, bool) or simple lists/dictionaries. and gracefully handle print() statements with comma-separated values to display outputs clearly. when applicable. | " &amp;</v>
      </c>
      <c r="F19" s="54" t="s">
        <v>224</v>
      </c>
    </row>
    <row r="20" spans="1:6">
      <c r="A20">
        <f t="shared" si="1"/>
        <v>192</v>
      </c>
      <c r="B20" s="84" t="s">
        <v>223</v>
      </c>
      <c r="C20" s="32" t="s">
        <v>599</v>
      </c>
      <c r="D20"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20" s="77" t="str">
        <f t="shared" si="0"/>
        <v>"[INLINE_PACKAGE_MANAGER] If using external packages, use Native built-in functions, basic operators, and standard core execution models. at the top of the code block. Assume no project configuration file exists. | " &amp;</v>
      </c>
      <c r="F20" s="54" t="s">
        <v>224</v>
      </c>
    </row>
    <row r="21" spans="1:6">
      <c r="A21">
        <f t="shared" si="1"/>
        <v>267</v>
      </c>
      <c r="B21" s="83" t="s">
        <v>223</v>
      </c>
      <c r="C21" s="54" t="s">
        <v>768</v>
      </c>
      <c r="D21" s="94" t="s">
        <v>769</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700</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594</v>
      </c>
      <c r="D23" s="94" t="s">
        <v>701</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595</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579</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698</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699</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702</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445</v>
      </c>
      <c r="C53" s="74"/>
      <c r="E53" s="86"/>
    </row>
    <row r="54" spans="1:6">
      <c r="B54" s="76" t="s">
        <v>264</v>
      </c>
      <c r="C54" s="76" t="s">
        <v>577</v>
      </c>
      <c r="D54" s="76" t="s">
        <v>578</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719</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489</v>
      </c>
      <c r="D61" s="94" t="s">
        <v>481</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599</v>
      </c>
      <c r="D65"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65" s="77" t="str">
        <f t="shared" si="2"/>
        <v>"[INLINE_PACKAGE_MANAGER] If using external packages, use Native built-in functions, basic operators, and standard core execution models. at the top of the code block. Assume no project configuration file exists. | " &amp;</v>
      </c>
      <c r="F65" s="32" t="s">
        <v>224</v>
      </c>
    </row>
    <row r="66" spans="2:6">
      <c r="B66" s="54" t="s">
        <v>223</v>
      </c>
      <c r="C66" s="32" t="s">
        <v>606</v>
      </c>
      <c r="D66" s="137" t="str">
        <f>Variables!E21</f>
        <v>Standard basic logic validation using native assert statements.</v>
      </c>
      <c r="E66" s="77" t="str">
        <f t="shared" si="2"/>
        <v>"[CODE_CONSTRAINTS_RULE] Standard basic logic validation using native assert statements. | " &amp;</v>
      </c>
      <c r="F66" s="32" t="s">
        <v>224</v>
      </c>
    </row>
    <row r="67" spans="2:6">
      <c r="B67" s="54" t="s">
        <v>223</v>
      </c>
      <c r="C67" s="32" t="s">
        <v>614</v>
      </c>
      <c r="D67" s="137" t="str">
        <f>"1. Use " &amp; Variables!E18 &amp; " to map code to the planning phase. 2. Use " &amp; Variables!E19 &amp; ". 3. CRITICAL: NO comment or docstring line may exceed " &amp; Variables!E20 &amp; " in width. | " &amp; CHAR(34) &amp; " &amp;"</f>
        <v>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E67" s="77" t="str">
        <f t="shared" si="2"/>
        <v>"[VISUAL_ARCHITECTURE_COMMENTS]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F67" s="32" t="s">
        <v>224</v>
      </c>
    </row>
    <row r="68" spans="2:6">
      <c r="B68" s="84" t="s">
        <v>271</v>
      </c>
      <c r="C68" s="54" t="s">
        <v>190</v>
      </c>
      <c r="D68" s="94" t="s">
        <v>417</v>
      </c>
      <c r="E68" s="77" t="str">
        <f t="shared" si="2"/>
        <v>"[DATA ROBUSTNESS RULE] Handle real-world data safely | " &amp;</v>
      </c>
      <c r="F68" s="32" t="s">
        <v>224</v>
      </c>
    </row>
    <row r="69" spans="2:6">
      <c r="B69" s="84" t="s">
        <v>271</v>
      </c>
      <c r="C69" s="54" t="s">
        <v>178</v>
      </c>
      <c r="D69" s="94" t="s">
        <v>596</v>
      </c>
      <c r="E69" s="77" t="str">
        <f t="shared" si="2"/>
        <v>"[CODE CONSTRAINTS] MUST be between " &amp; IF(G9="Beginner", "25–40", IF(G9="Intermediate", "30–60", "40–100")) &amp; " lines (STRICT) - Multi-step flow | " &amp;</v>
      </c>
      <c r="F69" s="32" t="s">
        <v>224</v>
      </c>
    </row>
    <row r="70" spans="2:6">
      <c r="B70" s="84" t="s">
        <v>271</v>
      </c>
      <c r="C70" s="54" t="s">
        <v>194</v>
      </c>
      <c r="D70" s="94" t="s">
        <v>423</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580</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577</v>
      </c>
      <c r="D83" s="76" t="s">
        <v>578</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720</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489</v>
      </c>
      <c r="D89" s="94" t="s">
        <v>481</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618</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E93" s="77" t="str">
        <f>IF(D93="","",""""&amp;C93&amp;" "&amp;IF(C93="[FOOTER RULE - STRICT]",D93,IF(RIGHT(D93,6)=" | "&amp;CHAR(34)&amp;" &amp;",D93,D93&amp;" | "&amp;CHAR(34)&amp;" &amp;")))</f>
        <v>"[MENTOR_SCOPE_EXPECTATIONS]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F93" s="54" t="s">
        <v>224</v>
      </c>
    </row>
    <row r="94" spans="2:6">
      <c r="B94" s="54" t="s">
        <v>223</v>
      </c>
      <c r="C94" s="32" t="s">
        <v>619</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855</v>
      </c>
      <c r="E98" s="77" t="str">
        <f t="shared" si="4"/>
        <v>"[ATOMIC CODE PROTOCOL (MVCI) - STRICT] 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v>
      </c>
      <c r="F98" s="54" t="s">
        <v>224</v>
      </c>
    </row>
    <row r="99" spans="2:6">
      <c r="B99" s="84" t="s">
        <v>271</v>
      </c>
      <c r="C99" s="54" t="s">
        <v>240</v>
      </c>
      <c r="D99" s="94" t="s">
        <v>856</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309</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307</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581</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308</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67" zoomScaleNormal="100" workbookViewId="0">
      <selection activeCell="D55" sqref="D55"/>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444</v>
      </c>
      <c r="D2" s="81" t="s">
        <v>270</v>
      </c>
      <c r="H2" s="82"/>
      <c r="T2" s="82"/>
    </row>
    <row r="3" spans="1:29">
      <c r="B3" s="76" t="s">
        <v>221</v>
      </c>
      <c r="C3" s="76" t="s">
        <v>577</v>
      </c>
      <c r="D3" s="76" t="s">
        <v>578</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474</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1:29">
      <c r="A11">
        <f t="shared" si="1"/>
        <v>313</v>
      </c>
      <c r="B11" s="75" t="s">
        <v>222</v>
      </c>
      <c r="C11" s="54" t="s">
        <v>215</v>
      </c>
      <c r="D11" s="93" t="s">
        <v>582</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489</v>
      </c>
      <c r="D13" s="93" t="s">
        <v>481</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366</v>
      </c>
      <c r="B16" s="83" t="s">
        <v>223</v>
      </c>
      <c r="C16" s="32" t="s">
        <v>188</v>
      </c>
      <c r="D16" s="93" t="str">
        <f>Variables!E29 &amp; " | " &amp; Variables!E30 &amp; " | " &amp; Variables!E31 &amp; " | " &amp; CHAR(34) &amp; " &amp;"</f>
        <v>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E16" s="77" t="str">
        <f t="shared" si="0"/>
        <v>"[FILE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F16" s="54" t="s">
        <v>224</v>
      </c>
    </row>
    <row r="17" spans="1:6">
      <c r="A17">
        <f t="shared" si="1"/>
        <v>125</v>
      </c>
      <c r="B17" s="83" t="s">
        <v>223</v>
      </c>
      <c r="C17" s="32" t="s">
        <v>771</v>
      </c>
      <c r="D17" s="93" t="str">
        <f>Variables!E32 &amp; " | " &amp; CHAR(34) &amp; " &amp;"</f>
        <v>Validation using print() statements or native assert statements. Avoid defining OOP TestClasses or complex test suites. | " &amp;</v>
      </c>
      <c r="E17" s="77" t="str">
        <f t="shared" si="0"/>
        <v>"[TESTING_FRAMEWORK_RULE] Validation using print() statements or native assert statements. Avoid defining OOP TestClasses or complex test suites. | " &amp;</v>
      </c>
      <c r="F17" s="54" t="s">
        <v>224</v>
      </c>
    </row>
    <row r="18" spans="1:6">
      <c r="A18">
        <f t="shared" si="1"/>
        <v>134</v>
      </c>
      <c r="B18" s="54" t="s">
        <v>223</v>
      </c>
      <c r="C18" s="32" t="s">
        <v>772</v>
      </c>
      <c r="D18" s="93" t="str">
        <f>Variables!E33 &amp; " | " &amp; CHAR(34) &amp; " &amp;"</f>
        <v>Standard Python runtime context. If external packages are needed, specify them strictly in support files or inline pip comments. | " &amp;</v>
      </c>
      <c r="E18" s="77" t="str">
        <f t="shared" si="0"/>
        <v>"[DEPENDENCY_MANAGEMENT_RULE] Standard Python runtime context. If external packages are needed, specify them strictly in support files or inline pip comments. | " &amp;</v>
      </c>
      <c r="F18" s="54" t="s">
        <v>224</v>
      </c>
    </row>
    <row r="19" spans="1:6">
      <c r="A19">
        <f t="shared" si="1"/>
        <v>495</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E19" s="77" t="str">
        <f t="shared" si="0"/>
        <v>"[CODE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F19" s="54" t="s">
        <v>224</v>
      </c>
    </row>
    <row r="20" spans="1:6">
      <c r="A20">
        <f t="shared" si="1"/>
        <v>888</v>
      </c>
      <c r="B20" s="54" t="s">
        <v>271</v>
      </c>
      <c r="C20" s="54" t="s">
        <v>187</v>
      </c>
      <c r="D20" s="93" t="s">
        <v>703</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704</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705</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443</v>
      </c>
      <c r="C45" s="74"/>
      <c r="E45" s="86"/>
    </row>
    <row r="46" spans="1:6">
      <c r="B46" s="76" t="s">
        <v>264</v>
      </c>
      <c r="C46" s="76" t="s">
        <v>577</v>
      </c>
      <c r="D46" s="76" t="s">
        <v>578</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310</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311</v>
      </c>
      <c r="D49" s="93" t="s">
        <v>165</v>
      </c>
      <c r="E49" s="77" t="str">
        <f t="shared" si="2"/>
        <v>"[PROJECT] " &amp; I9 &amp; " | " &amp;</v>
      </c>
      <c r="F49" s="32" t="s">
        <v>224</v>
      </c>
    </row>
    <row r="50" spans="2:6">
      <c r="B50" s="54" t="s">
        <v>222</v>
      </c>
      <c r="C50" s="54" t="s">
        <v>253</v>
      </c>
      <c r="D50" s="93" t="s">
        <v>719</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312</v>
      </c>
      <c r="E52" s="77" t="str">
        <f t="shared" si="2"/>
        <v>"[OUTPUT] Only header, dataset summary or statement (if any), email intro, objective, expected output, broken code, and footer | " &amp;</v>
      </c>
      <c r="F52" s="32" t="s">
        <v>224</v>
      </c>
    </row>
    <row r="53" spans="2:6">
      <c r="B53" s="54" t="s">
        <v>222</v>
      </c>
      <c r="C53" s="54" t="s">
        <v>215</v>
      </c>
      <c r="D53" s="93" t="s">
        <v>583</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313</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489</v>
      </c>
      <c r="D57" s="93" t="s">
        <v>481</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E59" s="77" t="str">
        <f t="shared" si="2"/>
        <v>"[BUG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F59" s="32" t="s">
        <v>224</v>
      </c>
    </row>
    <row r="60" spans="2:6">
      <c r="B60" s="54" t="s">
        <v>271</v>
      </c>
      <c r="C60" s="54" t="s">
        <v>277</v>
      </c>
      <c r="D60" s="93" t="s">
        <v>314</v>
      </c>
      <c r="E60" s="77" t="str">
        <f t="shared" si="2"/>
        <v>"[ENV USAGE RULE] Bugs ONLY in code logic, not config files | " &amp;</v>
      </c>
      <c r="F60" s="32" t="s">
        <v>224</v>
      </c>
    </row>
    <row r="61" spans="2:6">
      <c r="B61" s="54" t="s">
        <v>271</v>
      </c>
      <c r="C61" s="54" t="s">
        <v>194</v>
      </c>
      <c r="D61" s="93" t="s">
        <v>315</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597</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316</v>
      </c>
      <c r="E63" s="77" t="str">
        <f t="shared" si="2"/>
        <v>"[PERSONA RULE] Use a messy, careless developer tone | " &amp;</v>
      </c>
      <c r="F63" s="32" t="s">
        <v>224</v>
      </c>
    </row>
    <row r="64" spans="2:6">
      <c r="B64" s="54" t="s">
        <v>271</v>
      </c>
      <c r="C64" s="54" t="s">
        <v>187</v>
      </c>
      <c r="D64" s="93" t="s">
        <v>317</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318</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319</v>
      </c>
      <c r="E66" s="77" t="str">
        <f t="shared" si="2"/>
        <v>"[STRUCTURE RULE] Do NOT add extra sections or explanations (except when required by SUPPORT FILES RULE) | " &amp;</v>
      </c>
      <c r="F66" s="32" t="s">
        <v>224</v>
      </c>
    </row>
    <row r="67" spans="2:6">
      <c r="B67" s="54" t="s">
        <v>271</v>
      </c>
      <c r="C67" s="54" t="s">
        <v>178</v>
      </c>
      <c r="D67" s="93" t="s">
        <v>320</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321</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322</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323</v>
      </c>
      <c r="E72" s="77" t="str">
        <f t="shared" si="2"/>
        <v>"[STRICT MODE] Enforce all rules strictly | " &amp;</v>
      </c>
      <c r="F72" s="32" t="s">
        <v>224</v>
      </c>
    </row>
    <row r="73" spans="2:6">
      <c r="B73" s="54" t="s">
        <v>271</v>
      </c>
      <c r="C73" s="54" t="s">
        <v>220</v>
      </c>
      <c r="D73" s="93" t="s">
        <v>324</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442</v>
      </c>
    </row>
    <row r="80" spans="2:6">
      <c r="B80" s="76" t="s">
        <v>221</v>
      </c>
      <c r="C80" s="76" t="s">
        <v>577</v>
      </c>
      <c r="D80" s="76" t="s">
        <v>578</v>
      </c>
      <c r="E80" s="88" t="s">
        <v>234</v>
      </c>
      <c r="F80" s="54" t="s">
        <v>224</v>
      </c>
    </row>
    <row r="81" spans="2:6">
      <c r="B81" s="54" t="s">
        <v>222</v>
      </c>
      <c r="C81" s="54" t="s">
        <v>325</v>
      </c>
      <c r="D81" s="93" t="s">
        <v>379</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326</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721</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327</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3" t="s">
        <v>481</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584</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774</v>
      </c>
      <c r="D90" s="93" t="str">
        <f>Variables!E41 &amp; " " &amp; Variables!E42 &amp; " " &amp; Variables!E43 &amp; " " &amp; Variables!E44 &amp; " | " &amp; CHAR(34) &amp; " &amp;"</f>
        <v>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E90" s="17" t="str">
        <f t="shared" si="3"/>
        <v>"[CORE_QUALITY_POLICY]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F90" s="54" t="s">
        <v>224</v>
      </c>
    </row>
    <row r="91" spans="2:6">
      <c r="B91" s="54" t="s">
        <v>271</v>
      </c>
      <c r="C91" s="54" t="s">
        <v>238</v>
      </c>
      <c r="D91" s="93" t="s">
        <v>330</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331</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329</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332</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490</v>
      </c>
      <c r="D95" s="93" t="s">
        <v>491</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328</v>
      </c>
      <c r="D96" s="93" t="s">
        <v>333</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334</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2"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440</v>
      </c>
      <c r="D2" s="81" t="s">
        <v>335</v>
      </c>
      <c r="H2" s="82"/>
      <c r="T2" s="82"/>
    </row>
    <row r="3" spans="2:29">
      <c r="B3" s="76" t="s">
        <v>221</v>
      </c>
      <c r="C3" s="76" t="s">
        <v>577</v>
      </c>
      <c r="D3" s="76" t="s">
        <v>578</v>
      </c>
      <c r="E3" s="88" t="s">
        <v>228</v>
      </c>
      <c r="F3" s="4" t="s">
        <v>224</v>
      </c>
      <c r="AC3" t="s">
        <v>224</v>
      </c>
    </row>
    <row r="4" spans="2:29">
      <c r="B4" s="75" t="s">
        <v>222</v>
      </c>
      <c r="C4" s="54" t="s">
        <v>160</v>
      </c>
      <c r="D4" s="92" t="s">
        <v>336</v>
      </c>
      <c r="E4" s="77" t="str">
        <f t="shared" ref="E4:E37" si="0">IF(D4="","",""""&amp;C4&amp;" "&amp;IF(C4="[FOOTER RULE - STRICT]",D4,IF(RIGHT(D4,6)=" | "&amp;CHAR(34)&amp;" &amp;",D4,D4&amp;" | "&amp;CHAR(34)&amp;" &amp;")))</f>
        <v>"[ROLE] Tech Lead | " &amp;</v>
      </c>
      <c r="F4" s="54" t="s">
        <v>224</v>
      </c>
    </row>
    <row r="5" spans="2:29">
      <c r="B5" s="75" t="s">
        <v>222</v>
      </c>
      <c r="C5" s="54" t="s">
        <v>162</v>
      </c>
      <c r="D5" s="92" t="s">
        <v>337</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2:29">
      <c r="B11" s="75" t="s">
        <v>222</v>
      </c>
      <c r="C11" s="54" t="s">
        <v>215</v>
      </c>
      <c r="D11" s="92" t="s">
        <v>585</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489</v>
      </c>
      <c r="D13" s="92" t="s">
        <v>481</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649</v>
      </c>
      <c r="D15" s="92" t="str">
        <f>Variables!E45 &amp; " | " &amp; CHAR(34) &amp; " &amp;"</f>
        <v>Standard Python built-ins. Strictly ZERO external PyPI packages required for beginner topics. | " &amp;</v>
      </c>
      <c r="E15" s="77" t="str">
        <f t="shared" si="0"/>
        <v>"[EXTERNAL_PACKAGE_PROTOCOL] Standard Python built-ins. Strictly ZERO external PyPI packages required for beginner topics. | " &amp;</v>
      </c>
      <c r="F15" s="54" t="s">
        <v>224</v>
      </c>
    </row>
    <row r="16" spans="2:29">
      <c r="B16" s="83" t="s">
        <v>223</v>
      </c>
      <c r="C16" s="54" t="s">
        <v>650</v>
      </c>
      <c r="D16" s="92" t="str">
        <f>Variables!E46 &amp; " | " &amp; CHAR(34) &amp; " &amp;"</f>
        <v>Simple console output verification via standard print() statements. | " &amp;</v>
      </c>
      <c r="E16" s="77" t="str">
        <f t="shared" si="0"/>
        <v>"[TESTING_FRAMEWORK_PROTOCOL] Simple console output verification via standard print() statements. | " &amp;</v>
      </c>
      <c r="F16" s="54" t="s">
        <v>224</v>
      </c>
    </row>
    <row r="17" spans="2:6">
      <c r="B17" s="83" t="s">
        <v>223</v>
      </c>
      <c r="C17" s="54" t="s">
        <v>651</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E17" s="77" t="str">
        <f t="shared" si="0"/>
        <v>"[CHALLENGE_CONSTRAINTS_POLICY]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F17" s="54" t="s">
        <v>224</v>
      </c>
    </row>
    <row r="18" spans="2:6">
      <c r="B18" s="83" t="s">
        <v>271</v>
      </c>
      <c r="C18" s="54" t="s">
        <v>207</v>
      </c>
      <c r="D18" s="92" t="s">
        <v>644</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338</v>
      </c>
      <c r="D20" s="92" t="s">
        <v>365</v>
      </c>
      <c r="E20" s="77" t="str">
        <f t="shared" si="0"/>
        <v>"[SCORING ENFORCEMENT RULE] Score MUST be ONLY 3, 4, or 5 | " &amp;</v>
      </c>
      <c r="F20" s="54" t="s">
        <v>224</v>
      </c>
    </row>
    <row r="21" spans="2:6">
      <c r="B21" s="84" t="s">
        <v>271</v>
      </c>
      <c r="C21" s="54" t="s">
        <v>339</v>
      </c>
      <c r="D21" s="92" t="s">
        <v>340</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341</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342</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343</v>
      </c>
      <c r="D25" s="92" t="s">
        <v>344</v>
      </c>
      <c r="E25" s="77" t="str">
        <f t="shared" si="0"/>
        <v>"[OUTPUT TRUNCATION RULE - STRICT] If expected output is long, display ONLY the first 5 lines. Ensure accuracy. Do NOT use ellipsis (...) | " &amp;</v>
      </c>
      <c r="F25" s="54" t="s">
        <v>224</v>
      </c>
    </row>
    <row r="26" spans="2:6">
      <c r="B26" s="54" t="s">
        <v>271</v>
      </c>
      <c r="C26" s="54" t="s">
        <v>345</v>
      </c>
      <c r="D26" s="92" t="s">
        <v>346</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347</v>
      </c>
      <c r="D27" s="92" t="s">
        <v>348</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349</v>
      </c>
      <c r="D28" s="92" t="s">
        <v>350</v>
      </c>
      <c r="E28" s="77" t="str">
        <f t="shared" si="0"/>
        <v>"[TODO VARIATION RULE] TODO sections MUST vary: Single-line TODO, Multiple TODOs, Small blocks (2–4 lines). | " &amp;</v>
      </c>
      <c r="F28" s="54" t="s">
        <v>224</v>
      </c>
    </row>
    <row r="29" spans="2:6">
      <c r="B29" s="54" t="s">
        <v>271</v>
      </c>
      <c r="C29" s="54" t="s">
        <v>351</v>
      </c>
      <c r="D29" s="92" t="s">
        <v>352</v>
      </c>
      <c r="E29" s="77" t="str">
        <f t="shared" si="0"/>
        <v>"[VARIABILITY RULE - STRICT] Each challenge MUST be structurally different. Vary: Code length, Logic type, Position of TODO, Number of TODOs (1–3), Data flow. | " &amp;</v>
      </c>
      <c r="F29" s="54" t="s">
        <v>224</v>
      </c>
    </row>
    <row r="30" spans="2:6">
      <c r="B30" s="54" t="s">
        <v>271</v>
      </c>
      <c r="C30" s="54" t="s">
        <v>353</v>
      </c>
      <c r="D30" s="92" t="s">
        <v>354</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355</v>
      </c>
      <c r="D31" s="92" t="s">
        <v>356</v>
      </c>
      <c r="E31" s="77" t="str">
        <f t="shared" si="0"/>
        <v>"[TODO ISOLATION RULE - STRICT] ALL missing, incorrect, or output-affecting logic MUST exist ONLY inside the TODO block. | " &amp;</v>
      </c>
      <c r="F31" s="54" t="s">
        <v>224</v>
      </c>
    </row>
    <row r="32" spans="2:6">
      <c r="B32" s="54" t="s">
        <v>271</v>
      </c>
      <c r="C32" s="54" t="s">
        <v>303</v>
      </c>
      <c r="D32" s="92" t="s">
        <v>357</v>
      </c>
      <c r="E32" s="77" t="str">
        <f t="shared" si="0"/>
        <v>"[NO SOLUTION RULE - STRICT] The code under the # TODO MUST be left empty or with a 'pass'. DO NOT write the actual solution. | " &amp;</v>
      </c>
      <c r="F32" s="54" t="s">
        <v>224</v>
      </c>
    </row>
    <row r="33" spans="2:6">
      <c r="B33" s="54" t="s">
        <v>271</v>
      </c>
      <c r="C33" s="54" t="s">
        <v>358</v>
      </c>
      <c r="D33" s="92" t="s">
        <v>359</v>
      </c>
      <c r="E33" s="77" t="str">
        <f t="shared" si="0"/>
        <v>"[OUTPUT VERIFICATION RULE] The base code MUST print the final variables/results evaluated in the TODO block to verify correctness. | " &amp;</v>
      </c>
      <c r="F33" s="54" t="s">
        <v>224</v>
      </c>
    </row>
    <row r="34" spans="2:6">
      <c r="B34" s="54" t="s">
        <v>271</v>
      </c>
      <c r="C34" s="54" t="s">
        <v>360</v>
      </c>
      <c r="D34" s="92" t="s">
        <v>361</v>
      </c>
      <c r="E34" s="77" t="str">
        <f t="shared" si="0"/>
        <v>"[TODO GUIDANCE RULE] Rule " &amp; IF(G9="Beginner", "Clear explicit hint (no code) | ", IF(G9="Intermediate", "Brief hint | ", "Minimal hint | ")) &amp; " | " &amp;</v>
      </c>
      <c r="F34" s="54" t="s">
        <v>224</v>
      </c>
    </row>
    <row r="35" spans="2:6">
      <c r="B35" s="54" t="s">
        <v>271</v>
      </c>
      <c r="C35" s="54" t="s">
        <v>216</v>
      </c>
      <c r="D35" s="92" t="s">
        <v>362</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364</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363</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441</v>
      </c>
      <c r="C45" s="74"/>
      <c r="E45" s="86"/>
    </row>
    <row r="46" spans="2:6">
      <c r="B46" s="76" t="s">
        <v>264</v>
      </c>
      <c r="C46" s="76" t="s">
        <v>577</v>
      </c>
      <c r="D46" s="76" t="s">
        <v>578</v>
      </c>
      <c r="E46" s="88" t="s">
        <v>265</v>
      </c>
      <c r="F46" s="32" t="s">
        <v>224</v>
      </c>
    </row>
    <row r="47" spans="2:6">
      <c r="B47" s="54" t="s">
        <v>222</v>
      </c>
      <c r="C47" s="54" t="s">
        <v>160</v>
      </c>
      <c r="D47" s="92" t="s">
        <v>336</v>
      </c>
      <c r="E47" s="77" t="str">
        <f t="shared" ref="E47:E76" si="1">IF(D47="","",""""&amp;C47&amp;" "&amp;IF(C47="[FOOTER RULE - STRICT]",D47,IF(RIGHT(D47,6)=" | "&amp;CHAR(34)&amp;" &amp;",D47,D47&amp;" | "&amp;CHAR(34)&amp;" &amp;")))</f>
        <v>"[ROLE] Tech Lead | " &amp;</v>
      </c>
      <c r="F47" s="32" t="s">
        <v>224</v>
      </c>
    </row>
    <row r="48" spans="2:6">
      <c r="B48" s="54" t="s">
        <v>222</v>
      </c>
      <c r="C48" s="54" t="s">
        <v>162</v>
      </c>
      <c r="D48" s="92" t="s">
        <v>366</v>
      </c>
      <c r="E48" s="77" t="str">
        <f t="shared" si="1"/>
        <v>"[TASK] Assign incomplete project script | " &amp;</v>
      </c>
      <c r="F48" s="32" t="s">
        <v>224</v>
      </c>
    </row>
    <row r="49" spans="2:6">
      <c r="B49" s="54" t="s">
        <v>222</v>
      </c>
      <c r="C49" s="54" t="s">
        <v>311</v>
      </c>
      <c r="D49" s="92" t="s">
        <v>165</v>
      </c>
      <c r="E49" s="77" t="str">
        <f t="shared" si="1"/>
        <v>"[PROJECT] " &amp; I9 &amp; " | " &amp;</v>
      </c>
      <c r="F49" s="32" t="s">
        <v>224</v>
      </c>
    </row>
    <row r="50" spans="2:6">
      <c r="B50" s="54" t="s">
        <v>222</v>
      </c>
      <c r="C50" s="54" t="s">
        <v>253</v>
      </c>
      <c r="D50" s="92" t="s">
        <v>719</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3" s="77" t="str">
        <f t="shared" si="1"/>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489</v>
      </c>
      <c r="D55" s="92" t="s">
        <v>481</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586</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649</v>
      </c>
      <c r="D57" s="92" t="str">
        <f>Variables!E49 &amp; " | " &amp; CHAR(34) &amp; " &amp;"</f>
        <v>Require standard pip tooling and requirements.txt file for external dependencies when applicable. | " &amp;</v>
      </c>
      <c r="E57" s="77" t="str">
        <f t="shared" si="1"/>
        <v>"[EXTERNAL_PACKAGE_PROTOCOL] Require standard pip tooling and requirements.txt file for external dependencies when applicable. | " &amp;</v>
      </c>
      <c r="F57" s="32" t="s">
        <v>224</v>
      </c>
    </row>
    <row r="58" spans="2:6">
      <c r="B58" s="54" t="s">
        <v>223</v>
      </c>
      <c r="C58" s="32" t="s">
        <v>651</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E58" s="77" t="str">
        <f t="shared" si="1"/>
        <v>"[CHALLENGE_CONSTRAINTS_POLICY]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339</v>
      </c>
      <c r="D61" s="92" t="s">
        <v>367</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368</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369</v>
      </c>
      <c r="E63" s="77" t="str">
        <f t="shared" si="1"/>
        <v>"[OUTPUT CONTRACT] EXACTLY 1 project. Structure MUST be: Tech Lead Intro Message, Project: Objective (max 6 lines), Expected Output (code block), Incomplete Code | " &amp;</v>
      </c>
      <c r="F63" s="32" t="s">
        <v>224</v>
      </c>
    </row>
    <row r="64" spans="2:6">
      <c r="B64" s="54" t="s">
        <v>271</v>
      </c>
      <c r="C64" s="54" t="s">
        <v>370</v>
      </c>
      <c r="D64" s="92" t="s">
        <v>371</v>
      </c>
      <c r="E64" s="77" t="str">
        <f t="shared" si="1"/>
        <v>"[OUTPUT TRUNCATION RULE] If output is large, show only first 5 lines. Do NOT use ellipsis (...) | " &amp;</v>
      </c>
      <c r="F64" s="32" t="s">
        <v>224</v>
      </c>
    </row>
    <row r="65" spans="2:6">
      <c r="B65" s="54" t="s">
        <v>271</v>
      </c>
      <c r="C65" s="54" t="s">
        <v>345</v>
      </c>
      <c r="D65" s="92" t="s">
        <v>372</v>
      </c>
      <c r="E65" s="77" t="str">
        <f t="shared" si="1"/>
        <v>"[OUTPUT EXECUTION RULE - STRICT] Expected output MUST be explicit, complete, and produced via final print(). | " &amp;</v>
      </c>
      <c r="F65" s="32" t="s">
        <v>224</v>
      </c>
    </row>
    <row r="66" spans="2:6">
      <c r="B66" s="54" t="s">
        <v>271</v>
      </c>
      <c r="C66" s="54" t="s">
        <v>347</v>
      </c>
      <c r="D66" s="92" t="s">
        <v>373</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374</v>
      </c>
      <c r="D67" s="92" t="s">
        <v>375</v>
      </c>
      <c r="E67" s="77" t="str">
        <f t="shared" si="1"/>
        <v>"[TODO REALISM RULE] TODO must represent realistic integration bugs. Describe what is incorrect/incomplete. | " &amp;</v>
      </c>
      <c r="F67" s="32" t="s">
        <v>224</v>
      </c>
    </row>
    <row r="68" spans="2:6">
      <c r="B68" s="54" t="s">
        <v>271</v>
      </c>
      <c r="C68" s="54" t="s">
        <v>355</v>
      </c>
      <c r="D68" s="92" t="s">
        <v>376</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357</v>
      </c>
      <c r="E69" s="77" t="str">
        <f t="shared" si="1"/>
        <v>"[NO SOLUTION RULE - STRICT] The code under the # TODO MUST be left empty or with a 'pass'. DO NOT write the actual solution. | " &amp;</v>
      </c>
      <c r="F69" s="32" t="s">
        <v>224</v>
      </c>
    </row>
    <row r="70" spans="2:6">
      <c r="B70" s="54" t="s">
        <v>271</v>
      </c>
      <c r="C70" s="54" t="s">
        <v>216</v>
      </c>
      <c r="D70" s="92" t="s">
        <v>377</v>
      </c>
      <c r="E70" s="77" t="str">
        <f t="shared" si="1"/>
        <v>"[OUTPUT] Only header, dataset summary or statement (if any), intro message, objective, expected output, incomplete code, and footer | " &amp;</v>
      </c>
      <c r="F70" s="32" t="s">
        <v>224</v>
      </c>
    </row>
    <row r="71" spans="2:6">
      <c r="B71" s="54" t="s">
        <v>271</v>
      </c>
      <c r="C71" s="54" t="s">
        <v>220</v>
      </c>
      <c r="D71" s="92" t="s">
        <v>378</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439</v>
      </c>
    </row>
    <row r="80" spans="2:6">
      <c r="B80" s="76" t="s">
        <v>221</v>
      </c>
      <c r="C80" s="76" t="s">
        <v>577</v>
      </c>
      <c r="D80" s="76" t="s">
        <v>578</v>
      </c>
      <c r="E80" s="89" t="s">
        <v>234</v>
      </c>
      <c r="F80" s="54" t="s">
        <v>224</v>
      </c>
    </row>
    <row r="81" spans="2:6">
      <c r="B81" s="54" t="s">
        <v>222</v>
      </c>
      <c r="C81" s="54" t="s">
        <v>380</v>
      </c>
      <c r="D81" s="92" t="s">
        <v>381</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382</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722</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383</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2"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587</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774</v>
      </c>
      <c r="D90" s="92" t="str">
        <f>Variables!E52 &amp; " " &amp; Variables!E53 &amp; " " &amp; Variables!E54 &amp; " " &amp; Variables!E55 &amp; " | " &amp; CHAR(34) &amp; " &amp;"</f>
        <v>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E90" s="17" t="str">
        <f t="shared" si="2"/>
        <v>"[CORE_QUALITY_POLICY]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F90" s="54" t="s">
        <v>224</v>
      </c>
    </row>
    <row r="91" spans="2:6">
      <c r="B91" s="54" t="s">
        <v>271</v>
      </c>
      <c r="C91" s="54" t="s">
        <v>238</v>
      </c>
      <c r="D91" s="92" t="s">
        <v>384</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385</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386</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387</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328</v>
      </c>
      <c r="D95" s="92" t="s">
        <v>388</v>
      </c>
      <c r="E95" s="17" t="str">
        <f t="shared" si="2"/>
        <v>"[FOOTER RULE] End your response with: '--- ⚡ *Coding5s Mentor System — Eliminating Epistemic Debt &amp; Connecting the Flow*',</v>
      </c>
      <c r="F95" s="54" t="s">
        <v>224</v>
      </c>
    </row>
    <row r="96" spans="2:6">
      <c r="B96" s="54"/>
      <c r="C96" s="54"/>
      <c r="D96" s="54"/>
      <c r="E96" s="89" t="s">
        <v>334</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80" zoomScaleNormal="100" workbookViewId="0">
      <selection activeCell="D91" sqref="D91"/>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438</v>
      </c>
      <c r="D2" s="81" t="s">
        <v>411</v>
      </c>
      <c r="H2" s="82"/>
      <c r="T2" s="82"/>
    </row>
    <row r="3" spans="2:29">
      <c r="B3" s="76" t="s">
        <v>221</v>
      </c>
      <c r="C3" s="76" t="s">
        <v>577</v>
      </c>
      <c r="D3" s="76" t="s">
        <v>578</v>
      </c>
      <c r="E3" s="88" t="s">
        <v>228</v>
      </c>
      <c r="F3" s="4" t="s">
        <v>224</v>
      </c>
      <c r="AC3" t="s">
        <v>224</v>
      </c>
    </row>
    <row r="4" spans="2:29">
      <c r="B4" s="75" t="s">
        <v>222</v>
      </c>
      <c r="C4" s="54" t="s">
        <v>160</v>
      </c>
      <c r="D4" s="90" t="s">
        <v>336</v>
      </c>
      <c r="E4" s="77" t="str">
        <f t="shared" ref="E4:E39" si="0">IF(D4="","",""""&amp;C4&amp;" "&amp;IF(C4="[FOOTER RULE - STRICT]",D4,IF(RIGHT(D4,6)=" | "&amp;CHAR(34)&amp;" &amp;",D4,D4&amp;" | "&amp;CHAR(34)&amp;" &amp;")))</f>
        <v>"[ROLE] Tech Lead | " &amp;</v>
      </c>
      <c r="F4" s="54" t="s">
        <v>224</v>
      </c>
    </row>
    <row r="5" spans="2:29">
      <c r="B5" s="75" t="s">
        <v>222</v>
      </c>
      <c r="C5" s="54" t="s">
        <v>162</v>
      </c>
      <c r="D5" s="90" t="s">
        <v>389</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10" s="77"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10" s="54" t="s">
        <v>224</v>
      </c>
    </row>
    <row r="11" spans="2:29">
      <c r="B11" s="75" t="s">
        <v>222</v>
      </c>
      <c r="C11" s="54" t="s">
        <v>170</v>
      </c>
      <c r="D11" s="90" t="s">
        <v>390</v>
      </c>
      <c r="E11" s="77" t="str">
        <f t="shared" si="0"/>
        <v>"[PERSONA RULE] Act as a Tech Lead. A junior wrote this working but messy code. Tone: professional but exhausted by the code quality | " &amp;</v>
      </c>
      <c r="F11" s="54" t="s">
        <v>224</v>
      </c>
    </row>
    <row r="12" spans="2:29">
      <c r="B12" s="75" t="s">
        <v>222</v>
      </c>
      <c r="C12" s="54" t="s">
        <v>172</v>
      </c>
      <c r="D12" s="90" t="s">
        <v>391</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588</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489</v>
      </c>
      <c r="D14" s="90" t="s">
        <v>481</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392</v>
      </c>
      <c r="E18" s="77" t="str">
        <f t="shared" si="0"/>
        <v>"[CODE QUALITY RULE] Code MUST be executable and correct BUT intentionally messy, inconsistent, or suboptimal | " &amp;</v>
      </c>
      <c r="F18" s="54" t="s">
        <v>224</v>
      </c>
    </row>
    <row r="19" spans="2:6">
      <c r="B19" s="54" t="s">
        <v>271</v>
      </c>
      <c r="C19" s="54" t="s">
        <v>393</v>
      </c>
      <c r="D19" s="90" t="s">
        <v>394</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395</v>
      </c>
      <c r="D20" s="90" t="s">
        <v>396</v>
      </c>
      <c r="E20" s="77" t="str">
        <f t="shared" si="0"/>
        <v>"[STYLE INCONSISTENCY RULE] Each challenge should feel like it was written at a different time with different formatting styles | " &amp;</v>
      </c>
      <c r="F20" s="54" t="s">
        <v>224</v>
      </c>
    </row>
    <row r="21" spans="2:6">
      <c r="B21" s="54" t="s">
        <v>271</v>
      </c>
      <c r="C21" s="54" t="s">
        <v>188</v>
      </c>
      <c r="D21" s="90" t="s">
        <v>660</v>
      </c>
      <c r="E21" s="77" t="str">
        <f t="shared" si="0"/>
        <v>"[FILE HANDLING RULE] Use correct loaders and enforce encoding='utf-8' and newline='' when applicable if the programming language supports it. | " &amp;</v>
      </c>
      <c r="F21" s="54" t="s">
        <v>224</v>
      </c>
    </row>
    <row r="22" spans="2:6">
      <c r="B22" s="54" t="s">
        <v>271</v>
      </c>
      <c r="C22" s="54" t="s">
        <v>189</v>
      </c>
      <c r="D22" s="90" t="s">
        <v>659</v>
      </c>
      <c r="E22" s="77" t="str">
        <f t="shared" si="0"/>
        <v>"[DATA TYPE RULE] Explicit casting required before calculations when the programming language requires it. | " &amp;</v>
      </c>
      <c r="F22" s="54" t="s">
        <v>224</v>
      </c>
    </row>
    <row r="23" spans="2:6">
      <c r="B23" s="54" t="s">
        <v>271</v>
      </c>
      <c r="C23" s="54" t="s">
        <v>190</v>
      </c>
      <c r="D23" s="90" t="s">
        <v>397</v>
      </c>
      <c r="E23" s="77" t="str">
        <f t="shared" si="0"/>
        <v>"[DATA ROBUSTNESS RULE] Handle missing, malformed, or inconsistent data safely | " &amp;</v>
      </c>
      <c r="F23" s="54" t="s">
        <v>224</v>
      </c>
    </row>
    <row r="24" spans="2:6">
      <c r="B24" s="54" t="s">
        <v>271</v>
      </c>
      <c r="C24" s="54" t="s">
        <v>191</v>
      </c>
      <c r="D24" s="90" t="s">
        <v>658</v>
      </c>
      <c r="E24" s="77" t="str">
        <f t="shared" si="0"/>
        <v>"[BOOLEAN HANDLING RULE] Normalize boolean values before comparison when the programming language requires it. | " &amp;</v>
      </c>
      <c r="F24" s="54" t="s">
        <v>224</v>
      </c>
    </row>
    <row r="25" spans="2:6">
      <c r="B25" s="54" t="s">
        <v>271</v>
      </c>
      <c r="C25" s="54" t="s">
        <v>192</v>
      </c>
      <c r="D25" s="90" t="s">
        <v>398</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399</v>
      </c>
      <c r="E28" s="77" t="str">
        <f t="shared" si="0"/>
        <v>"[OUTPUT FORMAT RULE] Monetary values formatted with '$', commas, 2 decimals | " &amp;</v>
      </c>
      <c r="F28" s="54" t="s">
        <v>224</v>
      </c>
    </row>
    <row r="29" spans="2:6">
      <c r="B29" s="54" t="s">
        <v>271</v>
      </c>
      <c r="C29" s="54" t="s">
        <v>216</v>
      </c>
      <c r="D29" s="90" t="s">
        <v>400</v>
      </c>
      <c r="E29" s="77" t="str">
        <f t="shared" si="0"/>
        <v>"[OUTPUT] Only header, dataset summary or statement (if any), intro, challenges, code, outputs, and footer | " &amp;</v>
      </c>
      <c r="F29" s="54" t="s">
        <v>224</v>
      </c>
    </row>
    <row r="30" spans="2:6">
      <c r="B30" s="54" t="s">
        <v>271</v>
      </c>
      <c r="C30" s="54" t="s">
        <v>174</v>
      </c>
      <c r="D30" s="90" t="s">
        <v>340</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401</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402</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403</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404</v>
      </c>
      <c r="D34" s="90" t="s">
        <v>405</v>
      </c>
      <c r="E34" s="77" t="str">
        <f t="shared" si="0"/>
        <v>"[REVIEW INTENT RULE] The user is expected to review, identify issues, and refactor the code to production-level quality | " &amp;</v>
      </c>
      <c r="F34" s="54" t="s">
        <v>224</v>
      </c>
    </row>
    <row r="35" spans="2:6">
      <c r="B35" s="54" t="s">
        <v>271</v>
      </c>
      <c r="C35" s="54" t="s">
        <v>178</v>
      </c>
      <c r="D35" s="90" t="s">
        <v>406</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407</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408</v>
      </c>
      <c r="E37" s="77" t="str">
        <f t="shared" si="0"/>
        <v>"[DIFFICULTY RULE] Complexity MUST match level | " &amp;</v>
      </c>
      <c r="F37" s="54" t="s">
        <v>224</v>
      </c>
    </row>
    <row r="38" spans="2:6">
      <c r="B38" s="54" t="s">
        <v>271</v>
      </c>
      <c r="C38" s="54" t="s">
        <v>409</v>
      </c>
      <c r="D38" s="90" t="s">
        <v>410</v>
      </c>
      <c r="E38" s="77" t="str">
        <f t="shared" si="0"/>
        <v>"[DIFFICULTY CONSISTENCY RULE] All challenges MUST have similar complexity and length, even if coding styles differ | " &amp;</v>
      </c>
      <c r="F38" s="54" t="s">
        <v>224</v>
      </c>
    </row>
    <row r="39" spans="2:6">
      <c r="B39" s="54" t="s">
        <v>271</v>
      </c>
      <c r="C39" s="54" t="s">
        <v>220</v>
      </c>
      <c r="D39" s="90" t="s">
        <v>364</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412</v>
      </c>
      <c r="F40" s="54" t="s">
        <v>224</v>
      </c>
    </row>
    <row r="41" spans="2:6">
      <c r="B41" s="54"/>
      <c r="C41" s="54"/>
      <c r="D41" s="90"/>
      <c r="E41" s="77"/>
      <c r="F41" s="54"/>
    </row>
    <row r="42" spans="2:6">
      <c r="B42" s="74"/>
      <c r="C42" s="74"/>
      <c r="E42" s="86"/>
    </row>
    <row r="43" spans="2:6">
      <c r="B43" s="74"/>
      <c r="C43" s="74"/>
      <c r="E43" s="86"/>
    </row>
    <row r="44" spans="2:6" ht="36">
      <c r="B44" s="79" t="s">
        <v>437</v>
      </c>
      <c r="C44" s="74"/>
      <c r="E44" s="86"/>
    </row>
    <row r="45" spans="2:6">
      <c r="B45" s="76" t="s">
        <v>264</v>
      </c>
      <c r="C45" s="76" t="s">
        <v>577</v>
      </c>
      <c r="D45" s="76" t="s">
        <v>578</v>
      </c>
      <c r="E45" s="88" t="s">
        <v>265</v>
      </c>
      <c r="F45" s="32" t="s">
        <v>224</v>
      </c>
    </row>
    <row r="46" spans="2:6">
      <c r="B46" s="54" t="s">
        <v>222</v>
      </c>
      <c r="C46" s="54" t="s">
        <v>160</v>
      </c>
      <c r="D46" s="90" t="s">
        <v>336</v>
      </c>
      <c r="E46" s="77" t="str">
        <f>IF(D46="","",""""&amp;C46&amp;" "&amp;IF(C46="[FOOTER RULE - STRICT]",D46,IF(RIGHT(D46,6)=" | "&amp;CHAR(34)&amp;" &amp;",D46,D46&amp;" | "&amp;CHAR(34)&amp;" &amp;")))</f>
        <v>"[ROLE] Tech Lead | " &amp;</v>
      </c>
      <c r="F46" s="32" t="s">
        <v>224</v>
      </c>
    </row>
    <row r="47" spans="2:6">
      <c r="B47" s="54" t="s">
        <v>222</v>
      </c>
      <c r="C47" s="54" t="s">
        <v>162</v>
      </c>
      <c r="D47" s="90" t="s">
        <v>413</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311</v>
      </c>
      <c r="D48" s="90" t="s">
        <v>165</v>
      </c>
      <c r="E48" s="77" t="str">
        <f t="shared" si="1"/>
        <v>"[PROJECT] " &amp; I9 &amp; " | " &amp;</v>
      </c>
      <c r="F48" s="32" t="s">
        <v>224</v>
      </c>
    </row>
    <row r="49" spans="2:6">
      <c r="B49" s="54" t="s">
        <v>222</v>
      </c>
      <c r="C49" s="54" t="s">
        <v>253</v>
      </c>
      <c r="D49" s="90" t="s">
        <v>719</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414</v>
      </c>
      <c r="E51" s="77" t="str">
        <f t="shared" si="1"/>
        <v>"[PERSONA RULE] Act as a Tech Lead. A junior wrote this working but messy code. Tone: professional but exhausted | " &amp;</v>
      </c>
      <c r="F51" s="32" t="s">
        <v>224</v>
      </c>
    </row>
    <row r="52" spans="2:6">
      <c r="B52" s="54" t="s">
        <v>222</v>
      </c>
      <c r="C52" s="54" t="s">
        <v>215</v>
      </c>
      <c r="D52" s="90" t="s">
        <v>589</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489</v>
      </c>
      <c r="D56" s="90" t="s">
        <v>481</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415</v>
      </c>
      <c r="E60" s="77" t="str">
        <f t="shared" si="1"/>
        <v>"[CODE QUALITY RULE] Code MUST be correct and executable but not perfectly clean | " &amp;</v>
      </c>
      <c r="F60" s="32" t="s">
        <v>224</v>
      </c>
    </row>
    <row r="61" spans="2:6">
      <c r="B61" s="54" t="s">
        <v>271</v>
      </c>
      <c r="C61" s="54" t="s">
        <v>393</v>
      </c>
      <c r="D61" s="90" t="s">
        <v>416</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417</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418</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419</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420</v>
      </c>
      <c r="E67" s="77" t="str">
        <f t="shared" si="1"/>
        <v>"[OUTPUT CONTRACT] EXACTLY 1 project. Structure MUST be: 1. Tech Lead Intro Email 2. Project: Objective (max 6 lines), Expected Output (code block), Dirty Code | " &amp;</v>
      </c>
      <c r="F67" s="32" t="s">
        <v>224</v>
      </c>
    </row>
    <row r="68" spans="2:6">
      <c r="B68" s="54" t="s">
        <v>271</v>
      </c>
      <c r="C68" s="54" t="s">
        <v>404</v>
      </c>
      <c r="D68" s="90" t="s">
        <v>421</v>
      </c>
      <c r="E68" s="77" t="str">
        <f t="shared" si="1"/>
        <v>"[REVIEW INTENT RULE] The user is expected to review and refactor the project to improve structure, readability, and maintainability | " &amp;</v>
      </c>
      <c r="F68" s="32" t="s">
        <v>224</v>
      </c>
    </row>
    <row r="69" spans="2:6">
      <c r="B69" s="54" t="s">
        <v>271</v>
      </c>
      <c r="C69" s="54" t="s">
        <v>178</v>
      </c>
      <c r="D69" s="90" t="s">
        <v>422</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423</v>
      </c>
      <c r="E70" s="77" t="str">
        <f t="shared" si="1"/>
        <v>"[SUPPORT FILES RULE] Include config files before code if needed | " &amp;</v>
      </c>
      <c r="F70" s="32" t="s">
        <v>224</v>
      </c>
    </row>
    <row r="71" spans="2:6">
      <c r="B71" s="54" t="s">
        <v>271</v>
      </c>
      <c r="C71" s="54" t="s">
        <v>259</v>
      </c>
      <c r="D71" s="90" t="s">
        <v>424</v>
      </c>
      <c r="E71" s="77" t="str">
        <f t="shared" si="1"/>
        <v>"[EXECUTION RULE] Code MUST run and produce correct output | " &amp;</v>
      </c>
      <c r="F71" s="32" t="s">
        <v>224</v>
      </c>
    </row>
    <row r="72" spans="2:6">
      <c r="B72" s="54" t="s">
        <v>271</v>
      </c>
      <c r="C72" s="54" t="s">
        <v>212</v>
      </c>
      <c r="D72" s="90" t="s">
        <v>425</v>
      </c>
      <c r="E72" s="77" t="str">
        <f t="shared" si="1"/>
        <v>"[CONSISTENCY RULE] Project must match objective | " &amp;</v>
      </c>
      <c r="F72" s="32" t="s">
        <v>224</v>
      </c>
    </row>
    <row r="73" spans="2:6">
      <c r="B73" s="54" t="s">
        <v>271</v>
      </c>
      <c r="C73" s="54" t="s">
        <v>216</v>
      </c>
      <c r="D73" s="90" t="s">
        <v>426</v>
      </c>
      <c r="E73" s="77" t="str">
        <f t="shared" si="1"/>
        <v>"[OUTPUT] Only header, dataset summary or statement (if any), intro email, objective, expected output, code, and footer | " &amp;</v>
      </c>
      <c r="F73" s="32" t="s">
        <v>224</v>
      </c>
    </row>
    <row r="74" spans="2:6">
      <c r="B74" s="54" t="s">
        <v>271</v>
      </c>
      <c r="C74" s="54" t="s">
        <v>220</v>
      </c>
      <c r="D74" s="90" t="s">
        <v>378</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436</v>
      </c>
    </row>
    <row r="80" spans="2:6">
      <c r="B80" s="76" t="s">
        <v>221</v>
      </c>
      <c r="C80" s="76" t="s">
        <v>577</v>
      </c>
      <c r="D80" s="76" t="s">
        <v>578</v>
      </c>
      <c r="E80" s="89" t="s">
        <v>234</v>
      </c>
      <c r="F80" s="54" t="s">
        <v>224</v>
      </c>
    </row>
    <row r="81" spans="2:6">
      <c r="B81" s="54" t="s">
        <v>222</v>
      </c>
      <c r="C81" s="54" t="s">
        <v>427</v>
      </c>
      <c r="D81" s="90" t="s">
        <v>428</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429</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723</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430</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0"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590</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adhere strictly to PEP 8 guidelines. Use snake_case for variables/functions, UPPER_CASE for constants, snake_case for files. Avoid global state; emphasize strict type hints, functools, and clean functional architectures without OOP classes. | " &amp;</v>
      </c>
      <c r="E91" s="17" t="str">
        <f t="shared" si="2"/>
        <v>"[PYTHON QUALITY RULE - STRICT] Code MUST adhere strictly to PEP 8 guidelines. Use snake_case for variables/functions, UPPER_CASE for constants, snake_case for files. Avoid global state; emphasize strict type hints, functools, and clean functional architectures without OOP classes. | " &amp;</v>
      </c>
      <c r="F91" s="54" t="s">
        <v>224</v>
      </c>
    </row>
    <row r="92" spans="2:6">
      <c r="B92" s="54" t="s">
        <v>271</v>
      </c>
      <c r="C92" s="54" t="s">
        <v>238</v>
      </c>
      <c r="D92" s="90" t="s">
        <v>431</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432</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433</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434</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328</v>
      </c>
      <c r="D96" s="90" t="s">
        <v>498</v>
      </c>
      <c r="E96" s="17" t="str">
        <f t="shared" si="2"/>
        <v>"[FOOTER RULE] End your response with: '--- ⚡ *Coding5s Mentor System — Eliminating Technical Debt with Elegance*'",</v>
      </c>
      <c r="F96" s="54" t="s">
        <v>224</v>
      </c>
    </row>
    <row r="97" spans="2:6">
      <c r="B97" s="54"/>
      <c r="C97" s="54"/>
      <c r="D97" s="90"/>
      <c r="E97" s="88" t="s">
        <v>435</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6" zoomScaleNormal="100" workbookViewId="0">
      <selection activeCell="D90" sqref="D90"/>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447</v>
      </c>
      <c r="D2" s="81" t="s">
        <v>448</v>
      </c>
      <c r="H2" s="82"/>
      <c r="T2" s="82"/>
    </row>
    <row r="3" spans="2:29">
      <c r="B3" s="76" t="s">
        <v>221</v>
      </c>
      <c r="C3" s="76" t="s">
        <v>577</v>
      </c>
      <c r="D3" s="76" t="s">
        <v>578</v>
      </c>
      <c r="E3" s="88" t="s">
        <v>228</v>
      </c>
      <c r="F3" s="4" t="s">
        <v>224</v>
      </c>
      <c r="AC3" t="s">
        <v>224</v>
      </c>
    </row>
    <row r="4" spans="2:29">
      <c r="B4" s="75" t="s">
        <v>222</v>
      </c>
      <c r="C4" s="54" t="s">
        <v>160</v>
      </c>
      <c r="D4" s="91" t="s">
        <v>451</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452</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9" s="77"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9" s="54" t="s">
        <v>224</v>
      </c>
    </row>
    <row r="10" spans="2:29">
      <c r="B10" s="75" t="s">
        <v>222</v>
      </c>
      <c r="C10" s="54" t="s">
        <v>170</v>
      </c>
      <c r="D10" s="91" t="s">
        <v>453</v>
      </c>
      <c r="E10" s="77" t="str">
        <f t="shared" si="0"/>
        <v>"[PERSONA RULE] Act as a professional Tech Product Manager writing clear Jira tickets | " &amp;</v>
      </c>
      <c r="F10" s="54" t="s">
        <v>224</v>
      </c>
    </row>
    <row r="11" spans="2:29">
      <c r="B11" s="75" t="s">
        <v>222</v>
      </c>
      <c r="C11" s="54" t="s">
        <v>172</v>
      </c>
      <c r="D11" s="91" t="s">
        <v>391</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489</v>
      </c>
      <c r="D12" s="91" t="s">
        <v>481</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591</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667</v>
      </c>
      <c r="D16" s="91" t="s">
        <v>458</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666</v>
      </c>
      <c r="D17" s="91" t="s">
        <v>668</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459</v>
      </c>
      <c r="E18" s="77" t="str">
        <f t="shared" si="0"/>
        <v>"[CODE QUALITY RULE] Code MUST be clean, readable, and production-like | " &amp;</v>
      </c>
      <c r="F18" s="54" t="s">
        <v>224</v>
      </c>
    </row>
    <row r="19" spans="2:6">
      <c r="B19" s="54" t="s">
        <v>271</v>
      </c>
      <c r="C19" s="54" t="s">
        <v>188</v>
      </c>
      <c r="D19" s="91" t="s">
        <v>665</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664</v>
      </c>
      <c r="E20" s="77" t="str">
        <f t="shared" si="0"/>
        <v>"[DATA TYPE RULE] Explicit casting required before calculations if the programming language requires it. | " &amp;</v>
      </c>
      <c r="F20" s="54" t="s">
        <v>224</v>
      </c>
    </row>
    <row r="21" spans="2:6">
      <c r="B21" s="54" t="s">
        <v>271</v>
      </c>
      <c r="C21" s="54" t="s">
        <v>190</v>
      </c>
      <c r="D21" s="91" t="s">
        <v>460</v>
      </c>
      <c r="E21" s="77" t="str">
        <f t="shared" si="0"/>
        <v>"[DATA ROBUSTNESS RULE] Handle missing or malformed data safely | " &amp;</v>
      </c>
      <c r="F21" s="54" t="s">
        <v>224</v>
      </c>
    </row>
    <row r="22" spans="2:6">
      <c r="B22" s="54" t="s">
        <v>271</v>
      </c>
      <c r="C22" s="54" t="s">
        <v>191</v>
      </c>
      <c r="D22" s="91" t="s">
        <v>663</v>
      </c>
      <c r="E22" s="77" t="str">
        <f t="shared" si="0"/>
        <v>"[BOOLEAN HANDLING RULE] Normalize boolean values before comparison if the programming language requires it. | " &amp;</v>
      </c>
      <c r="F22" s="54" t="s">
        <v>224</v>
      </c>
    </row>
    <row r="23" spans="2:6">
      <c r="B23" s="54" t="s">
        <v>271</v>
      </c>
      <c r="C23" s="54" t="s">
        <v>192</v>
      </c>
      <c r="D23" s="91" t="s">
        <v>398</v>
      </c>
      <c r="E23" s="77" t="str">
        <f t="shared" si="0"/>
        <v>"[DATA CONSISTENCY RULE] Respect dataset schema | " &amp;</v>
      </c>
      <c r="F23" s="54" t="s">
        <v>224</v>
      </c>
    </row>
    <row r="24" spans="2:6">
      <c r="B24" s="54" t="s">
        <v>271</v>
      </c>
      <c r="C24" s="54" t="s">
        <v>454</v>
      </c>
      <c r="D24" s="91" t="s">
        <v>455</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670</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401</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488</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456</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461</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408</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462</v>
      </c>
      <c r="E33" s="77" t="str">
        <f t="shared" si="0"/>
        <v>"[OUTPUT] Only header, dataset summary or statement (if any), the defined sections, and footer | " &amp;</v>
      </c>
      <c r="F33" s="54" t="s">
        <v>224</v>
      </c>
    </row>
    <row r="34" spans="2:6">
      <c r="B34" s="54" t="s">
        <v>271</v>
      </c>
      <c r="C34" s="54" t="s">
        <v>220</v>
      </c>
      <c r="D34" s="91" t="s">
        <v>463</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464</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449</v>
      </c>
      <c r="C45" s="74"/>
      <c r="E45" s="86"/>
    </row>
    <row r="46" spans="2:6">
      <c r="B46" s="76" t="s">
        <v>264</v>
      </c>
      <c r="C46" s="76" t="s">
        <v>577</v>
      </c>
      <c r="D46" s="76" t="s">
        <v>578</v>
      </c>
      <c r="E46" s="88" t="s">
        <v>265</v>
      </c>
      <c r="F46" s="32" t="s">
        <v>224</v>
      </c>
    </row>
    <row r="47" spans="2:6">
      <c r="B47" s="54" t="s">
        <v>222</v>
      </c>
      <c r="C47" s="54" t="s">
        <v>160</v>
      </c>
      <c r="D47" s="91" t="s">
        <v>451</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465</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311</v>
      </c>
      <c r="D49" s="91" t="s">
        <v>165</v>
      </c>
      <c r="E49" s="77" t="str">
        <f t="shared" si="1"/>
        <v>"[PROJECT] " &amp; I9 &amp; " | " &amp;</v>
      </c>
      <c r="F49" s="32" t="s">
        <v>224</v>
      </c>
    </row>
    <row r="50" spans="2:6">
      <c r="B50" s="54" t="s">
        <v>222</v>
      </c>
      <c r="C50" s="54" t="s">
        <v>253</v>
      </c>
      <c r="D50" s="91" t="s">
        <v>719</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466</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7" t="str">
        <f t="shared" si="1"/>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54" s="32" t="s">
        <v>224</v>
      </c>
    </row>
    <row r="55" spans="2:6">
      <c r="B55" s="54" t="s">
        <v>222</v>
      </c>
      <c r="C55" s="54" t="s">
        <v>215</v>
      </c>
      <c r="D55" s="91" t="s">
        <v>592</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467</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489</v>
      </c>
      <c r="D57" s="91" t="s">
        <v>481</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669</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457</v>
      </c>
      <c r="D61" s="91" t="s">
        <v>468</v>
      </c>
      <c r="E61" s="77" t="str">
        <f t="shared" si="1"/>
        <v>"[CRITICAL OUTPUT RULE] Output MUST match real execution - Convert sets to sorted lists before printing | " &amp;</v>
      </c>
      <c r="F61" s="32" t="s">
        <v>224</v>
      </c>
    </row>
    <row r="62" spans="2:6">
      <c r="B62" s="54" t="s">
        <v>271</v>
      </c>
      <c r="C62" s="54" t="s">
        <v>179</v>
      </c>
      <c r="D62" s="91" t="s">
        <v>469</v>
      </c>
      <c r="E62" s="77" t="str">
        <f t="shared" si="1"/>
        <v>"[FUNCTION RULE] " &amp; IF(G9="Beginner", "Avoid complex structure. ", IF(G9="Intermediate", "Functions optional. ", "Use structured modular functions. ")) &amp; " | " &amp;</v>
      </c>
      <c r="F62" s="32" t="s">
        <v>224</v>
      </c>
    </row>
    <row r="63" spans="2:6">
      <c r="B63" s="54" t="s">
        <v>271</v>
      </c>
      <c r="C63" s="54" t="s">
        <v>454</v>
      </c>
      <c r="D63" s="91" t="s">
        <v>470</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471</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472</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473</v>
      </c>
      <c r="E66" s="77" t="str">
        <f t="shared" si="1"/>
        <v>"[CODE QUALITY RULE] Code MUST be clean and realistic | " &amp;</v>
      </c>
      <c r="F66" s="32" t="s">
        <v>224</v>
      </c>
    </row>
    <row r="67" spans="2:6">
      <c r="B67" s="54" t="s">
        <v>271</v>
      </c>
      <c r="C67" s="54" t="s">
        <v>190</v>
      </c>
      <c r="D67" s="91" t="s">
        <v>417</v>
      </c>
      <c r="E67" s="77" t="str">
        <f t="shared" si="1"/>
        <v>"[DATA ROBUSTNESS RULE] Handle real-world data safely | " &amp;</v>
      </c>
      <c r="F67" s="32" t="s">
        <v>224</v>
      </c>
    </row>
    <row r="68" spans="2:6">
      <c r="B68" s="54" t="s">
        <v>271</v>
      </c>
      <c r="C68" s="54" t="s">
        <v>207</v>
      </c>
      <c r="D68" s="91" t="s">
        <v>474</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475</v>
      </c>
      <c r="E70" s="77" t="str">
        <f t="shared" si="1"/>
        <v>"[EXECUTION RULE] Code MUST run correctly | " &amp;</v>
      </c>
      <c r="F70" s="32" t="s">
        <v>224</v>
      </c>
    </row>
    <row r="71" spans="2:6">
      <c r="B71" s="54" t="s">
        <v>271</v>
      </c>
      <c r="C71" s="54" t="s">
        <v>216</v>
      </c>
      <c r="D71" s="91" t="s">
        <v>476</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450</v>
      </c>
    </row>
    <row r="80" spans="2:6">
      <c r="B80" s="76" t="s">
        <v>221</v>
      </c>
      <c r="C80" s="76" t="s">
        <v>577</v>
      </c>
      <c r="D80" s="76" t="s">
        <v>578</v>
      </c>
      <c r="E80" s="89" t="s">
        <v>234</v>
      </c>
      <c r="F80" s="54" t="s">
        <v>224</v>
      </c>
    </row>
    <row r="81" spans="2:6">
      <c r="B81" s="54" t="s">
        <v>222</v>
      </c>
      <c r="C81" s="54" t="s">
        <v>477</v>
      </c>
      <c r="D81" s="91" t="s">
        <v>478</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479</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724</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480</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1"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593</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661</v>
      </c>
      <c r="D90" s="91" t="str">
        <f>Variables!E57 &amp; " | " &amp; CHAR(34) &amp; " &amp;"</f>
        <v>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E90" s="17" t="str">
        <f t="shared" si="2"/>
        <v>"[CODE_QUALITY_PROTOCOL]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F90" s="54" t="s">
        <v>224</v>
      </c>
    </row>
    <row r="91" spans="2:6">
      <c r="B91" s="54" t="s">
        <v>271</v>
      </c>
      <c r="C91" s="54" t="s">
        <v>238</v>
      </c>
      <c r="D91" s="91" t="s">
        <v>482</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483</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484</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485</v>
      </c>
      <c r="D94" s="91" t="s">
        <v>486</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328</v>
      </c>
      <c r="D95" s="91" t="s">
        <v>487</v>
      </c>
      <c r="E95" s="17" t="str">
        <f t="shared" si="2"/>
        <v>"[FOOTER RULE] End your response with: '--- ⚡ *Coding5s Mentor System — Eliminating Epistemic Debt &amp; Shipping to Production*'",</v>
      </c>
      <c r="F95" s="54" t="s">
        <v>224</v>
      </c>
    </row>
    <row r="96" spans="2:6">
      <c r="B96" s="54"/>
      <c r="C96" s="54"/>
      <c r="D96" s="91"/>
      <c r="E96" s="89" t="s">
        <v>435</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548</v>
      </c>
      <c r="C2" t="s">
        <v>519</v>
      </c>
      <c r="D2" t="s">
        <v>23</v>
      </c>
      <c r="E2" t="s">
        <v>549</v>
      </c>
    </row>
    <row r="3" spans="2:5">
      <c r="B3" t="s">
        <v>520</v>
      </c>
      <c r="C3" t="s">
        <v>18</v>
      </c>
      <c r="D3" t="s">
        <v>521</v>
      </c>
      <c r="E3" t="s">
        <v>550</v>
      </c>
    </row>
    <row r="4" spans="2:5">
      <c r="B4" t="s">
        <v>522</v>
      </c>
      <c r="C4" t="s">
        <v>540</v>
      </c>
      <c r="D4" t="s">
        <v>521</v>
      </c>
      <c r="E4" t="s">
        <v>551</v>
      </c>
    </row>
    <row r="5" spans="2:5">
      <c r="B5" t="s">
        <v>523</v>
      </c>
      <c r="C5" t="s">
        <v>21</v>
      </c>
      <c r="D5" t="s">
        <v>521</v>
      </c>
      <c r="E5" t="s">
        <v>552</v>
      </c>
    </row>
    <row r="6" spans="2:5">
      <c r="B6" t="s">
        <v>524</v>
      </c>
      <c r="C6" t="s">
        <v>22</v>
      </c>
      <c r="D6" t="s">
        <v>521</v>
      </c>
      <c r="E6" t="s">
        <v>553</v>
      </c>
    </row>
    <row r="7" spans="2:5">
      <c r="B7" t="s">
        <v>525</v>
      </c>
      <c r="C7" t="s">
        <v>23</v>
      </c>
      <c r="D7" t="s">
        <v>521</v>
      </c>
      <c r="E7" t="s">
        <v>554</v>
      </c>
    </row>
    <row r="8" spans="2:5">
      <c r="B8" t="s">
        <v>526</v>
      </c>
      <c r="C8" t="s">
        <v>24</v>
      </c>
      <c r="D8" t="s">
        <v>521</v>
      </c>
      <c r="E8" t="s">
        <v>555</v>
      </c>
    </row>
    <row r="9" spans="2:5">
      <c r="B9" t="s">
        <v>527</v>
      </c>
      <c r="C9" t="s">
        <v>25</v>
      </c>
      <c r="D9" t="s">
        <v>521</v>
      </c>
      <c r="E9" t="s">
        <v>556</v>
      </c>
    </row>
    <row r="10" spans="2:5">
      <c r="B10" t="s">
        <v>528</v>
      </c>
      <c r="C10" t="s">
        <v>45</v>
      </c>
      <c r="D10" t="s">
        <v>529</v>
      </c>
      <c r="E10" t="s">
        <v>557</v>
      </c>
    </row>
    <row r="11" spans="2:5">
      <c r="B11" t="s">
        <v>530</v>
      </c>
      <c r="C11" t="s">
        <v>531</v>
      </c>
      <c r="D11" t="s">
        <v>529</v>
      </c>
      <c r="E11" t="s">
        <v>558</v>
      </c>
    </row>
    <row r="12" spans="2:5">
      <c r="B12" t="s">
        <v>532</v>
      </c>
      <c r="C12" t="s">
        <v>541</v>
      </c>
      <c r="D12" t="s">
        <v>529</v>
      </c>
      <c r="E12" t="s">
        <v>559</v>
      </c>
    </row>
    <row r="13" spans="2:5">
      <c r="B13" t="s">
        <v>533</v>
      </c>
      <c r="C13" t="s">
        <v>496</v>
      </c>
      <c r="D13" t="s">
        <v>529</v>
      </c>
      <c r="E13" t="s">
        <v>560</v>
      </c>
    </row>
    <row r="14" spans="2:5">
      <c r="B14" t="s">
        <v>534</v>
      </c>
      <c r="C14" t="s">
        <v>542</v>
      </c>
      <c r="D14" t="s">
        <v>521</v>
      </c>
      <c r="E14" t="s">
        <v>561</v>
      </c>
    </row>
    <row r="15" spans="2:5">
      <c r="B15" t="s">
        <v>535</v>
      </c>
      <c r="C15" t="s">
        <v>543</v>
      </c>
      <c r="D15" t="s">
        <v>521</v>
      </c>
      <c r="E15" t="s">
        <v>562</v>
      </c>
    </row>
    <row r="16" spans="2:5">
      <c r="B16" t="s">
        <v>536</v>
      </c>
      <c r="C16" t="s">
        <v>544</v>
      </c>
      <c r="D16" t="s">
        <v>521</v>
      </c>
      <c r="E16" t="s">
        <v>563</v>
      </c>
    </row>
    <row r="17" spans="2:5">
      <c r="B17" t="s">
        <v>537</v>
      </c>
      <c r="C17" t="s">
        <v>545</v>
      </c>
      <c r="D17" t="s">
        <v>521</v>
      </c>
      <c r="E17" t="s">
        <v>564</v>
      </c>
    </row>
    <row r="18" spans="2:5">
      <c r="B18" t="s">
        <v>538</v>
      </c>
      <c r="C18" t="s">
        <v>546</v>
      </c>
      <c r="D18" t="s">
        <v>521</v>
      </c>
      <c r="E18" t="s">
        <v>565</v>
      </c>
    </row>
    <row r="19" spans="2:5">
      <c r="B19" t="s">
        <v>539</v>
      </c>
      <c r="C19" t="s">
        <v>547</v>
      </c>
      <c r="D19" t="s">
        <v>521</v>
      </c>
      <c r="E19" t="s">
        <v>566</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500</v>
      </c>
      <c r="C2" s="106"/>
      <c r="D2" s="106"/>
      <c r="E2" s="106"/>
      <c r="F2" s="106"/>
      <c r="G2" s="106"/>
      <c r="H2" s="106"/>
      <c r="I2" s="106"/>
      <c r="J2" s="106"/>
      <c r="K2" s="107"/>
    </row>
    <row r="3" spans="2:11">
      <c r="B3" s="108"/>
      <c r="K3" s="109"/>
    </row>
    <row r="4" spans="2:11">
      <c r="B4" s="108" t="s">
        <v>501</v>
      </c>
      <c r="K4" s="109"/>
    </row>
    <row r="5" spans="2:11">
      <c r="B5" s="108"/>
      <c r="K5" s="109"/>
    </row>
    <row r="6" spans="2:11">
      <c r="B6" s="110" t="s">
        <v>502</v>
      </c>
      <c r="K6" s="109"/>
    </row>
    <row r="7" spans="2:11">
      <c r="B7" s="110" t="s">
        <v>503</v>
      </c>
      <c r="K7" s="109"/>
    </row>
    <row r="8" spans="2:11">
      <c r="B8" s="110" t="s">
        <v>504</v>
      </c>
      <c r="K8" s="109"/>
    </row>
    <row r="9" spans="2:11">
      <c r="B9" s="110" t="s">
        <v>505</v>
      </c>
      <c r="K9" s="109"/>
    </row>
    <row r="10" spans="2:11">
      <c r="B10" s="110" t="s">
        <v>506</v>
      </c>
      <c r="K10" s="109"/>
    </row>
    <row r="11" spans="2:11">
      <c r="B11" s="110" t="s">
        <v>507</v>
      </c>
      <c r="K11" s="109"/>
    </row>
    <row r="12" spans="2:11">
      <c r="B12" s="110"/>
      <c r="K12" s="109"/>
    </row>
    <row r="13" spans="2:11">
      <c r="B13" s="110" t="s">
        <v>508</v>
      </c>
      <c r="K13" s="109"/>
    </row>
    <row r="14" spans="2:11">
      <c r="B14" s="110" t="s">
        <v>509</v>
      </c>
      <c r="K14" s="109"/>
    </row>
    <row r="15" spans="2:11">
      <c r="B15" s="110"/>
      <c r="K15" s="109"/>
    </row>
    <row r="16" spans="2:11">
      <c r="B16" s="110" t="s">
        <v>510</v>
      </c>
      <c r="K16" s="109"/>
    </row>
    <row r="17" spans="2:11">
      <c r="B17" s="110" t="s">
        <v>511</v>
      </c>
      <c r="K17" s="109"/>
    </row>
    <row r="18" spans="2:11">
      <c r="B18" s="110" t="s">
        <v>512</v>
      </c>
      <c r="K18" s="109"/>
    </row>
    <row r="19" spans="2:11">
      <c r="B19" s="110" t="s">
        <v>513</v>
      </c>
      <c r="K19" s="109"/>
    </row>
    <row r="20" spans="2:11">
      <c r="B20" s="110" t="s">
        <v>514</v>
      </c>
      <c r="K20" s="109"/>
    </row>
    <row r="21" spans="2:11">
      <c r="B21" s="110" t="s">
        <v>515</v>
      </c>
      <c r="K21" s="109"/>
    </row>
    <row r="22" spans="2:11">
      <c r="B22" s="110" t="s">
        <v>516</v>
      </c>
      <c r="K22" s="109"/>
    </row>
    <row r="23" spans="2:11">
      <c r="B23" s="110"/>
      <c r="K23" s="109"/>
    </row>
    <row r="24" spans="2:11">
      <c r="B24" s="110" t="s">
        <v>517</v>
      </c>
      <c r="D24" s="114" t="s">
        <v>518</v>
      </c>
      <c r="K24" s="109"/>
    </row>
    <row r="25" spans="2:11">
      <c r="B25" s="111" t="s">
        <v>706</v>
      </c>
      <c r="C25" s="112"/>
      <c r="D25" s="135" t="s">
        <v>707</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567</v>
      </c>
    </row>
    <row r="3" spans="1:1">
      <c r="A3" t="s">
        <v>568</v>
      </c>
    </row>
    <row r="4" spans="1:1">
      <c r="A4" s="116"/>
    </row>
    <row r="5" spans="1:1">
      <c r="A5" s="117" t="s">
        <v>569</v>
      </c>
    </row>
    <row r="6" spans="1:1">
      <c r="A6" s="118"/>
    </row>
    <row r="7" spans="1:1">
      <c r="A7" s="119" t="s">
        <v>570</v>
      </c>
    </row>
    <row r="8" spans="1:1">
      <c r="A8" s="119" t="s">
        <v>571</v>
      </c>
    </row>
    <row r="9" spans="1:1">
      <c r="A9" s="116"/>
    </row>
    <row r="10" spans="1:1">
      <c r="A10" s="117" t="s">
        <v>572</v>
      </c>
    </row>
    <row r="11" spans="1:1">
      <c r="A11" s="118"/>
    </row>
    <row r="12" spans="1:1">
      <c r="A12" s="118" t="s">
        <v>573</v>
      </c>
    </row>
    <row r="13" spans="1:1">
      <c r="A13" s="118" t="s">
        <v>574</v>
      </c>
    </row>
    <row r="14" spans="1:1">
      <c r="A14" s="118" t="s">
        <v>575</v>
      </c>
    </row>
    <row r="15" spans="1:1">
      <c r="A15" s="116"/>
    </row>
    <row r="16" spans="1:1">
      <c r="A16" s="117" t="s">
        <v>576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2026-08-23T21:57:28Z</dcterms:modified>
</cp:coreProperties>
</file>