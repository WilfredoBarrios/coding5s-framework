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
    </mc:Choice>
  </mc:AlternateContent>
  <xr:revisionPtr revIDLastSave="0" documentId="13_ncr:1_{5E2BA573-A64E-41E5-A685-CF964649800C}" xr6:coauthVersionLast="47" xr6:coauthVersionMax="47" xr10:uidLastSave="{00000000-0000-0000-0000-000000000000}"/>
  <bookViews>
    <workbookView xWindow="30495" yWindow="1215" windowWidth="27540" windowHeight="13815" xr2:uid="{A9A38741-1811-4719-B778-C7D2DA3EDF0A}"/>
  </bookViews>
  <sheets>
    <sheet name="PromptGenerator" sheetId="1" r:id="rId1"/>
    <sheet name="FGen_S1" sheetId="2" r:id="rId2"/>
    <sheet name="FGen_S2" sheetId="15" r:id="rId3"/>
    <sheet name="FGen_S3" sheetId="16" r:id="rId4"/>
    <sheet name="FGen_S4" sheetId="17" r:id="rId5"/>
    <sheet name="FGen_S5" sheetId="18" r:id="rId6"/>
    <sheet name="CellReference" sheetId="22" r:id="rId7"/>
    <sheet name="License" sheetId="19" r:id="rId8"/>
    <sheet name="HowTo" sheetId="2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X47" i="1" l="1"/>
  <c r="X48" i="1"/>
  <c r="X49" i="1"/>
  <c r="X50" i="1"/>
  <c r="X51" i="1"/>
  <c r="X52" i="1"/>
  <c r="X54" i="1"/>
  <c r="X55" i="1"/>
  <c r="X56" i="1"/>
  <c r="X57" i="1"/>
  <c r="X58" i="1"/>
  <c r="X59" i="1"/>
  <c r="X60" i="1"/>
  <c r="X62" i="1"/>
  <c r="X63" i="1"/>
  <c r="X64" i="1"/>
  <c r="X65" i="1"/>
  <c r="X66" i="1"/>
  <c r="X67" i="1"/>
  <c r="X68" i="1"/>
  <c r="X70" i="1"/>
  <c r="X71" i="1"/>
  <c r="X72" i="1"/>
  <c r="X73" i="1"/>
  <c r="X74" i="1"/>
  <c r="X75" i="1"/>
  <c r="X77" i="1"/>
  <c r="X78" i="1"/>
  <c r="X79" i="1"/>
  <c r="X80" i="1"/>
  <c r="X81" i="1"/>
  <c r="X82" i="1"/>
  <c r="X84" i="1"/>
  <c r="X85" i="1"/>
  <c r="X86" i="1"/>
  <c r="X87" i="1"/>
  <c r="X88" i="1"/>
  <c r="X89" i="1"/>
  <c r="X90" i="1"/>
  <c r="X92" i="1"/>
  <c r="X93" i="1"/>
  <c r="X94" i="1"/>
  <c r="X95" i="1"/>
  <c r="X96" i="1"/>
  <c r="X97" i="1"/>
  <c r="X99" i="1"/>
  <c r="X100" i="1"/>
  <c r="X101" i="1"/>
  <c r="X102" i="1"/>
  <c r="X103" i="1"/>
  <c r="X104" i="1"/>
  <c r="X106" i="1"/>
  <c r="X107" i="1"/>
  <c r="X108" i="1"/>
  <c r="X109" i="1"/>
  <c r="X110" i="1"/>
  <c r="X111" i="1"/>
  <c r="X113" i="1"/>
  <c r="X114" i="1"/>
  <c r="X115" i="1"/>
  <c r="X116" i="1"/>
  <c r="X117" i="1"/>
  <c r="X118" i="1"/>
  <c r="X119"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AD10" i="1"/>
  <c r="AD11" i="1"/>
  <c r="AD12" i="1"/>
  <c r="AD13" i="1"/>
  <c r="AD15" i="1"/>
  <c r="AD16" i="1"/>
  <c r="AD17" i="1"/>
  <c r="AD18" i="1"/>
  <c r="AD19" i="1"/>
  <c r="AD21" i="1"/>
  <c r="AD22" i="1"/>
  <c r="AD23" i="1"/>
  <c r="AD24" i="1"/>
  <c r="AD25" i="1"/>
  <c r="AD26" i="1"/>
  <c r="AD27" i="1"/>
  <c r="AD29" i="1"/>
  <c r="AD30" i="1"/>
  <c r="AD31" i="1"/>
  <c r="AD32" i="1"/>
  <c r="AD34" i="1"/>
  <c r="AD35" i="1"/>
  <c r="AD36" i="1"/>
  <c r="AD37" i="1"/>
  <c r="AD38" i="1"/>
  <c r="AD40" i="1"/>
  <c r="AD41" i="1"/>
  <c r="AD42" i="1"/>
  <c r="AD43" i="1"/>
  <c r="AD44" i="1"/>
  <c r="AD45" i="1"/>
  <c r="AD47" i="1"/>
  <c r="AD48" i="1"/>
  <c r="AD49" i="1"/>
  <c r="AD50" i="1"/>
  <c r="AD51" i="1"/>
  <c r="AD52" i="1"/>
  <c r="AD54" i="1"/>
  <c r="AD55" i="1"/>
  <c r="AD56" i="1"/>
  <c r="AD57" i="1"/>
  <c r="AD58" i="1"/>
  <c r="AD59" i="1"/>
  <c r="AD60" i="1"/>
  <c r="AD62" i="1"/>
  <c r="AD63" i="1"/>
  <c r="AD64" i="1"/>
  <c r="AD65" i="1"/>
  <c r="AD66" i="1"/>
  <c r="AD67" i="1"/>
  <c r="AD68" i="1"/>
  <c r="AD70" i="1"/>
  <c r="AD71" i="1"/>
  <c r="AD72" i="1"/>
  <c r="AD73" i="1"/>
  <c r="AD74" i="1"/>
  <c r="AD75" i="1"/>
  <c r="AD77" i="1"/>
  <c r="AD78" i="1"/>
  <c r="AD79" i="1"/>
  <c r="AD80" i="1"/>
  <c r="AD81" i="1"/>
  <c r="AD82" i="1"/>
  <c r="AD84" i="1"/>
  <c r="AD85" i="1"/>
  <c r="AD86" i="1"/>
  <c r="AD87" i="1"/>
  <c r="AD88" i="1"/>
  <c r="AD89" i="1"/>
  <c r="AD90" i="1"/>
  <c r="AD92" i="1"/>
  <c r="AD93" i="1"/>
  <c r="AD94" i="1"/>
  <c r="AD95" i="1"/>
  <c r="AD96" i="1"/>
  <c r="AD97" i="1"/>
  <c r="AD99" i="1"/>
  <c r="AD100" i="1"/>
  <c r="AD101" i="1"/>
  <c r="AD102" i="1"/>
  <c r="AD103" i="1"/>
  <c r="AD104" i="1"/>
  <c r="AD106" i="1"/>
  <c r="AD107" i="1"/>
  <c r="AD108" i="1"/>
  <c r="AD109" i="1"/>
  <c r="AD110" i="1"/>
  <c r="AD111" i="1"/>
  <c r="AD113" i="1"/>
  <c r="AD114" i="1"/>
  <c r="AD115" i="1"/>
  <c r="AD116" i="1"/>
  <c r="AD117" i="1"/>
  <c r="AD118" i="1"/>
  <c r="AD119"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47" i="1"/>
  <c r="W48" i="1"/>
  <c r="W49" i="1"/>
  <c r="W50" i="1"/>
  <c r="W51" i="1"/>
  <c r="W52" i="1"/>
  <c r="W54" i="1"/>
  <c r="W55" i="1"/>
  <c r="W56" i="1"/>
  <c r="W57" i="1"/>
  <c r="W58" i="1"/>
  <c r="W59" i="1"/>
  <c r="W60" i="1"/>
  <c r="W62" i="1"/>
  <c r="W63" i="1"/>
  <c r="W64" i="1"/>
  <c r="W65" i="1"/>
  <c r="W66" i="1"/>
  <c r="W67" i="1"/>
  <c r="W68" i="1"/>
  <c r="W70" i="1"/>
  <c r="W71" i="1"/>
  <c r="W72" i="1"/>
  <c r="W73" i="1"/>
  <c r="W74" i="1"/>
  <c r="W75" i="1"/>
  <c r="W77" i="1"/>
  <c r="W78" i="1"/>
  <c r="W79" i="1"/>
  <c r="W80" i="1"/>
  <c r="W81" i="1"/>
  <c r="W82" i="1"/>
  <c r="W84" i="1"/>
  <c r="W85" i="1"/>
  <c r="W86" i="1"/>
  <c r="W87" i="1"/>
  <c r="W88" i="1"/>
  <c r="W89" i="1"/>
  <c r="W90" i="1"/>
  <c r="W92" i="1"/>
  <c r="W93" i="1"/>
  <c r="W94" i="1"/>
  <c r="W95" i="1"/>
  <c r="W96" i="1"/>
  <c r="W97" i="1"/>
  <c r="W99" i="1"/>
  <c r="W100" i="1"/>
  <c r="W101" i="1"/>
  <c r="W102" i="1"/>
  <c r="W103" i="1"/>
  <c r="W104" i="1"/>
  <c r="W106" i="1"/>
  <c r="W107" i="1"/>
  <c r="W108" i="1"/>
  <c r="W109" i="1"/>
  <c r="W110" i="1"/>
  <c r="W111" i="1"/>
  <c r="W113" i="1"/>
  <c r="W114" i="1"/>
  <c r="W115" i="1"/>
  <c r="W116" i="1"/>
  <c r="W117" i="1"/>
  <c r="W118" i="1"/>
  <c r="W119"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U47" i="1"/>
  <c r="U48" i="1"/>
  <c r="U49" i="1"/>
  <c r="U50" i="1"/>
  <c r="U51" i="1"/>
  <c r="U52" i="1"/>
  <c r="U54" i="1"/>
  <c r="U55" i="1"/>
  <c r="U56" i="1"/>
  <c r="U57" i="1"/>
  <c r="U58" i="1"/>
  <c r="U59" i="1"/>
  <c r="U60" i="1"/>
  <c r="U62" i="1"/>
  <c r="U63" i="1"/>
  <c r="U64" i="1"/>
  <c r="U65" i="1"/>
  <c r="U66" i="1"/>
  <c r="U67" i="1"/>
  <c r="U68" i="1"/>
  <c r="U70" i="1"/>
  <c r="U71" i="1"/>
  <c r="U72" i="1"/>
  <c r="U73" i="1"/>
  <c r="U74" i="1"/>
  <c r="U75" i="1"/>
  <c r="U77" i="1"/>
  <c r="U78" i="1"/>
  <c r="U79" i="1"/>
  <c r="U80" i="1"/>
  <c r="U81" i="1"/>
  <c r="U82" i="1"/>
  <c r="U84" i="1"/>
  <c r="U85" i="1"/>
  <c r="U86" i="1"/>
  <c r="U87" i="1"/>
  <c r="U88" i="1"/>
  <c r="U89" i="1"/>
  <c r="U90" i="1"/>
  <c r="U92" i="1"/>
  <c r="U93" i="1"/>
  <c r="U94" i="1"/>
  <c r="U95" i="1"/>
  <c r="U96" i="1"/>
  <c r="U97" i="1"/>
  <c r="U99" i="1"/>
  <c r="U100" i="1"/>
  <c r="U101" i="1"/>
  <c r="U102" i="1"/>
  <c r="U103" i="1"/>
  <c r="U104" i="1"/>
  <c r="U106" i="1"/>
  <c r="U107" i="1"/>
  <c r="U108" i="1"/>
  <c r="U109" i="1"/>
  <c r="U110" i="1"/>
  <c r="U111" i="1"/>
  <c r="U113" i="1"/>
  <c r="U114" i="1"/>
  <c r="U115" i="1"/>
  <c r="U116" i="1"/>
  <c r="U117" i="1"/>
  <c r="U118" i="1"/>
  <c r="U119"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AC10" i="1"/>
  <c r="AC11" i="1"/>
  <c r="AC12" i="1"/>
  <c r="AC13" i="1"/>
  <c r="AC15" i="1"/>
  <c r="AC16" i="1"/>
  <c r="AC17" i="1"/>
  <c r="AC18" i="1"/>
  <c r="AC19" i="1"/>
  <c r="AC21" i="1"/>
  <c r="AC22" i="1"/>
  <c r="AC23" i="1"/>
  <c r="AC24" i="1"/>
  <c r="AC25" i="1"/>
  <c r="AC26" i="1"/>
  <c r="AC27" i="1"/>
  <c r="AC29" i="1"/>
  <c r="AC30" i="1"/>
  <c r="AC31" i="1"/>
  <c r="AC32" i="1"/>
  <c r="AC34" i="1"/>
  <c r="AC35" i="1"/>
  <c r="AC36" i="1"/>
  <c r="AC37" i="1"/>
  <c r="AC38" i="1"/>
  <c r="AC40" i="1"/>
  <c r="AC41" i="1"/>
  <c r="AC42" i="1"/>
  <c r="AC43" i="1"/>
  <c r="AC44" i="1"/>
  <c r="AC45" i="1"/>
  <c r="AC47" i="1"/>
  <c r="AC48" i="1"/>
  <c r="AC49" i="1"/>
  <c r="AC50" i="1"/>
  <c r="AC51" i="1"/>
  <c r="AC52" i="1"/>
  <c r="AC54" i="1"/>
  <c r="AC55" i="1"/>
  <c r="AC56" i="1"/>
  <c r="AC57" i="1"/>
  <c r="AC58" i="1"/>
  <c r="AC59" i="1"/>
  <c r="AC60" i="1"/>
  <c r="AC62" i="1"/>
  <c r="AC63" i="1"/>
  <c r="AC64" i="1"/>
  <c r="AC65" i="1"/>
  <c r="AC66" i="1"/>
  <c r="AC67" i="1"/>
  <c r="AC68" i="1"/>
  <c r="AC70" i="1"/>
  <c r="AC71" i="1"/>
  <c r="AC72" i="1"/>
  <c r="AC73" i="1"/>
  <c r="AC74" i="1"/>
  <c r="AC75" i="1"/>
  <c r="AC77" i="1"/>
  <c r="AC78" i="1"/>
  <c r="AC79" i="1"/>
  <c r="AC80" i="1"/>
  <c r="AC81" i="1"/>
  <c r="AC82" i="1"/>
  <c r="AC84" i="1"/>
  <c r="AC85" i="1"/>
  <c r="AC86" i="1"/>
  <c r="AC87" i="1"/>
  <c r="AC88" i="1"/>
  <c r="AC89" i="1"/>
  <c r="AC90" i="1"/>
  <c r="AC92" i="1"/>
  <c r="AC93" i="1"/>
  <c r="AC94" i="1"/>
  <c r="AC95" i="1"/>
  <c r="AC96" i="1"/>
  <c r="AC97" i="1"/>
  <c r="AC99" i="1"/>
  <c r="AC100" i="1"/>
  <c r="AC101" i="1"/>
  <c r="AC102" i="1"/>
  <c r="AC103" i="1"/>
  <c r="AC104" i="1"/>
  <c r="AC106" i="1"/>
  <c r="AC107" i="1"/>
  <c r="AC108" i="1"/>
  <c r="AC109" i="1"/>
  <c r="AC110" i="1"/>
  <c r="AC111" i="1"/>
  <c r="AC113" i="1"/>
  <c r="AC114" i="1"/>
  <c r="AC115" i="1"/>
  <c r="AC116" i="1"/>
  <c r="AC117" i="1"/>
  <c r="AC118" i="1"/>
  <c r="AC119"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47" i="1"/>
  <c r="T48" i="1"/>
  <c r="T49" i="1"/>
  <c r="T50" i="1"/>
  <c r="T51" i="1"/>
  <c r="T52" i="1"/>
  <c r="T54" i="1"/>
  <c r="T55" i="1"/>
  <c r="T56" i="1"/>
  <c r="T57" i="1"/>
  <c r="T58" i="1"/>
  <c r="T59" i="1"/>
  <c r="T60" i="1"/>
  <c r="T62" i="1"/>
  <c r="T63" i="1"/>
  <c r="T64" i="1"/>
  <c r="T65" i="1"/>
  <c r="T66" i="1"/>
  <c r="T67" i="1"/>
  <c r="T68" i="1"/>
  <c r="T70" i="1"/>
  <c r="T71" i="1"/>
  <c r="T72" i="1"/>
  <c r="T73" i="1"/>
  <c r="T74" i="1"/>
  <c r="T75" i="1"/>
  <c r="T77" i="1"/>
  <c r="T78" i="1"/>
  <c r="T79" i="1"/>
  <c r="T80" i="1"/>
  <c r="T81" i="1"/>
  <c r="T82" i="1"/>
  <c r="T84" i="1"/>
  <c r="T85" i="1"/>
  <c r="T86" i="1"/>
  <c r="T87" i="1"/>
  <c r="T88" i="1"/>
  <c r="T89" i="1"/>
  <c r="T90" i="1"/>
  <c r="T92" i="1"/>
  <c r="T93" i="1"/>
  <c r="T94" i="1"/>
  <c r="T95" i="1"/>
  <c r="T96" i="1"/>
  <c r="T97" i="1"/>
  <c r="T99" i="1"/>
  <c r="T100" i="1"/>
  <c r="T101" i="1"/>
  <c r="T102" i="1"/>
  <c r="T103" i="1"/>
  <c r="T104" i="1"/>
  <c r="T106" i="1"/>
  <c r="T107" i="1"/>
  <c r="T108" i="1"/>
  <c r="T109" i="1"/>
  <c r="T110" i="1"/>
  <c r="T111" i="1"/>
  <c r="T113" i="1"/>
  <c r="T114" i="1"/>
  <c r="T115" i="1"/>
  <c r="T116" i="1"/>
  <c r="T117" i="1"/>
  <c r="T118" i="1"/>
  <c r="T119"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R47" i="1"/>
  <c r="R48" i="1"/>
  <c r="R49" i="1"/>
  <c r="R50" i="1"/>
  <c r="R51" i="1"/>
  <c r="R52" i="1"/>
  <c r="R54" i="1"/>
  <c r="R55" i="1"/>
  <c r="R56" i="1"/>
  <c r="R57" i="1"/>
  <c r="R58" i="1"/>
  <c r="R59" i="1"/>
  <c r="R60" i="1"/>
  <c r="R62" i="1"/>
  <c r="R63" i="1"/>
  <c r="R64" i="1"/>
  <c r="R65" i="1"/>
  <c r="R66" i="1"/>
  <c r="R67" i="1"/>
  <c r="R68" i="1"/>
  <c r="R70" i="1"/>
  <c r="R71" i="1"/>
  <c r="R72" i="1"/>
  <c r="R73" i="1"/>
  <c r="R74" i="1"/>
  <c r="R75" i="1"/>
  <c r="R77" i="1"/>
  <c r="R78" i="1"/>
  <c r="R79" i="1"/>
  <c r="R80" i="1"/>
  <c r="R81" i="1"/>
  <c r="R82" i="1"/>
  <c r="R84" i="1"/>
  <c r="R85" i="1"/>
  <c r="R86" i="1"/>
  <c r="R87" i="1"/>
  <c r="R88" i="1"/>
  <c r="R89" i="1"/>
  <c r="R90" i="1"/>
  <c r="R92" i="1"/>
  <c r="R93" i="1"/>
  <c r="R94" i="1"/>
  <c r="R95" i="1"/>
  <c r="R96" i="1"/>
  <c r="R97" i="1"/>
  <c r="R99" i="1"/>
  <c r="R100" i="1"/>
  <c r="R101" i="1"/>
  <c r="R102" i="1"/>
  <c r="R103" i="1"/>
  <c r="R104" i="1"/>
  <c r="R106" i="1"/>
  <c r="R107" i="1"/>
  <c r="R108" i="1"/>
  <c r="R109" i="1"/>
  <c r="R110" i="1"/>
  <c r="R111" i="1"/>
  <c r="R113" i="1"/>
  <c r="R114" i="1"/>
  <c r="R115" i="1"/>
  <c r="R116" i="1"/>
  <c r="R117" i="1"/>
  <c r="R118" i="1"/>
  <c r="R119"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AB10" i="1"/>
  <c r="AB11" i="1"/>
  <c r="AB12" i="1"/>
  <c r="AB13" i="1"/>
  <c r="AB15" i="1"/>
  <c r="AB16" i="1"/>
  <c r="AB17" i="1"/>
  <c r="AB18" i="1"/>
  <c r="AB19" i="1"/>
  <c r="AB21" i="1"/>
  <c r="AB22" i="1"/>
  <c r="AB23" i="1"/>
  <c r="AB24" i="1"/>
  <c r="AB25" i="1"/>
  <c r="AB26" i="1"/>
  <c r="AB27" i="1"/>
  <c r="AB29" i="1"/>
  <c r="AB30" i="1"/>
  <c r="AB31" i="1"/>
  <c r="AB32" i="1"/>
  <c r="AB34" i="1"/>
  <c r="AB35" i="1"/>
  <c r="AB36" i="1"/>
  <c r="AB37" i="1"/>
  <c r="AB38" i="1"/>
  <c r="AB40" i="1"/>
  <c r="AB41" i="1"/>
  <c r="AB42" i="1"/>
  <c r="AB43" i="1"/>
  <c r="AB44" i="1"/>
  <c r="AB45" i="1"/>
  <c r="AB47" i="1"/>
  <c r="AB48" i="1"/>
  <c r="AB49" i="1"/>
  <c r="AB50" i="1"/>
  <c r="AB51" i="1"/>
  <c r="AB52" i="1"/>
  <c r="AB54" i="1"/>
  <c r="AB55" i="1"/>
  <c r="AB56" i="1"/>
  <c r="AB57" i="1"/>
  <c r="AB58" i="1"/>
  <c r="AB59" i="1"/>
  <c r="AB60" i="1"/>
  <c r="AB62" i="1"/>
  <c r="AB63" i="1"/>
  <c r="AB64" i="1"/>
  <c r="AB65" i="1"/>
  <c r="AB66" i="1"/>
  <c r="AB67" i="1"/>
  <c r="AB68" i="1"/>
  <c r="AB70" i="1"/>
  <c r="AB71" i="1"/>
  <c r="AB72" i="1"/>
  <c r="AB73" i="1"/>
  <c r="AB74" i="1"/>
  <c r="AB75" i="1"/>
  <c r="AB77" i="1"/>
  <c r="AB78" i="1"/>
  <c r="AB79" i="1"/>
  <c r="AB80" i="1"/>
  <c r="AB81" i="1"/>
  <c r="AB82" i="1"/>
  <c r="AB84" i="1"/>
  <c r="AB85" i="1"/>
  <c r="AB86" i="1"/>
  <c r="AB87" i="1"/>
  <c r="AB88" i="1"/>
  <c r="AB89" i="1"/>
  <c r="AB90" i="1"/>
  <c r="AB92" i="1"/>
  <c r="AB93" i="1"/>
  <c r="AB94" i="1"/>
  <c r="AB95" i="1"/>
  <c r="AB96" i="1"/>
  <c r="AB97" i="1"/>
  <c r="AB99" i="1"/>
  <c r="AB100" i="1"/>
  <c r="AB101" i="1"/>
  <c r="AB102" i="1"/>
  <c r="AB103" i="1"/>
  <c r="AB104" i="1"/>
  <c r="AB106" i="1"/>
  <c r="AB107" i="1"/>
  <c r="AB108" i="1"/>
  <c r="AB109" i="1"/>
  <c r="AB110" i="1"/>
  <c r="AB111" i="1"/>
  <c r="AB113" i="1"/>
  <c r="AB114" i="1"/>
  <c r="AB115" i="1"/>
  <c r="AB116" i="1"/>
  <c r="AB117" i="1"/>
  <c r="AB118" i="1"/>
  <c r="AB119"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47" i="1"/>
  <c r="Q48" i="1"/>
  <c r="Q49" i="1"/>
  <c r="Q50" i="1"/>
  <c r="Q51" i="1"/>
  <c r="Q52" i="1"/>
  <c r="Q54" i="1"/>
  <c r="Q55" i="1"/>
  <c r="Q56" i="1"/>
  <c r="Q57" i="1"/>
  <c r="Q58" i="1"/>
  <c r="Q59" i="1"/>
  <c r="Q60" i="1"/>
  <c r="Q62" i="1"/>
  <c r="Q63" i="1"/>
  <c r="Q64" i="1"/>
  <c r="Q65" i="1"/>
  <c r="Q66" i="1"/>
  <c r="Q67" i="1"/>
  <c r="Q68" i="1"/>
  <c r="Q70" i="1"/>
  <c r="Q71" i="1"/>
  <c r="Q72" i="1"/>
  <c r="Q73" i="1"/>
  <c r="Q74" i="1"/>
  <c r="Q75" i="1"/>
  <c r="Q77" i="1"/>
  <c r="Q78" i="1"/>
  <c r="Q79" i="1"/>
  <c r="Q80" i="1"/>
  <c r="Q81" i="1"/>
  <c r="Q82" i="1"/>
  <c r="Q84" i="1"/>
  <c r="Q85" i="1"/>
  <c r="Q86" i="1"/>
  <c r="Q87" i="1"/>
  <c r="Q88" i="1"/>
  <c r="Q89" i="1"/>
  <c r="Q90" i="1"/>
  <c r="Q92" i="1"/>
  <c r="Q93" i="1"/>
  <c r="Q94" i="1"/>
  <c r="Q95" i="1"/>
  <c r="Q96" i="1"/>
  <c r="Q97" i="1"/>
  <c r="Q99" i="1"/>
  <c r="Q100" i="1"/>
  <c r="Q101" i="1"/>
  <c r="Q102" i="1"/>
  <c r="Q103" i="1"/>
  <c r="Q104" i="1"/>
  <c r="Q106" i="1"/>
  <c r="Q107" i="1"/>
  <c r="Q108" i="1"/>
  <c r="Q109" i="1"/>
  <c r="Q110" i="1"/>
  <c r="Q111" i="1"/>
  <c r="Q113" i="1"/>
  <c r="Q114" i="1"/>
  <c r="Q115" i="1"/>
  <c r="Q116" i="1"/>
  <c r="Q117" i="1"/>
  <c r="Q118" i="1"/>
  <c r="Q119"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O47" i="1"/>
  <c r="O48" i="1"/>
  <c r="O49" i="1"/>
  <c r="O50" i="1"/>
  <c r="O51" i="1"/>
  <c r="O52" i="1"/>
  <c r="O54" i="1"/>
  <c r="O55" i="1"/>
  <c r="O56" i="1"/>
  <c r="O57" i="1"/>
  <c r="O58" i="1"/>
  <c r="O59" i="1"/>
  <c r="O60" i="1"/>
  <c r="O62" i="1"/>
  <c r="O63" i="1"/>
  <c r="O64" i="1"/>
  <c r="O65" i="1"/>
  <c r="O66" i="1"/>
  <c r="O67" i="1"/>
  <c r="O68" i="1"/>
  <c r="O70" i="1"/>
  <c r="O71" i="1"/>
  <c r="O72" i="1"/>
  <c r="O73" i="1"/>
  <c r="O74" i="1"/>
  <c r="O75" i="1"/>
  <c r="O77" i="1"/>
  <c r="O78" i="1"/>
  <c r="O79" i="1"/>
  <c r="O80" i="1"/>
  <c r="O81" i="1"/>
  <c r="O82" i="1"/>
  <c r="O84" i="1"/>
  <c r="O85" i="1"/>
  <c r="O86" i="1"/>
  <c r="O87" i="1"/>
  <c r="O88" i="1"/>
  <c r="O89" i="1"/>
  <c r="O90" i="1"/>
  <c r="O92" i="1"/>
  <c r="O93" i="1"/>
  <c r="O94" i="1"/>
  <c r="O95" i="1"/>
  <c r="O96" i="1"/>
  <c r="O97" i="1"/>
  <c r="O99" i="1"/>
  <c r="O100" i="1"/>
  <c r="O101" i="1"/>
  <c r="O102" i="1"/>
  <c r="O103" i="1"/>
  <c r="O104" i="1"/>
  <c r="O106" i="1"/>
  <c r="O107" i="1"/>
  <c r="O108" i="1"/>
  <c r="O109" i="1"/>
  <c r="O110" i="1"/>
  <c r="O111" i="1"/>
  <c r="O113" i="1"/>
  <c r="O114" i="1"/>
  <c r="O115" i="1"/>
  <c r="O116" i="1"/>
  <c r="O117" i="1"/>
  <c r="O118" i="1"/>
  <c r="O119"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AA10" i="1"/>
  <c r="AA11" i="1"/>
  <c r="AA12" i="1"/>
  <c r="AA13" i="1"/>
  <c r="AA15" i="1"/>
  <c r="AA16" i="1"/>
  <c r="AA17" i="1"/>
  <c r="AA18" i="1"/>
  <c r="AA19" i="1"/>
  <c r="AA21" i="1"/>
  <c r="AA22" i="1"/>
  <c r="AA23" i="1"/>
  <c r="AA24" i="1"/>
  <c r="AA25" i="1"/>
  <c r="AA26" i="1"/>
  <c r="AA27" i="1"/>
  <c r="AA29" i="1"/>
  <c r="AA30" i="1"/>
  <c r="AA31" i="1"/>
  <c r="AA32" i="1"/>
  <c r="AA34" i="1"/>
  <c r="AA35" i="1"/>
  <c r="AA36" i="1"/>
  <c r="AA37" i="1"/>
  <c r="AA38" i="1"/>
  <c r="AA40" i="1"/>
  <c r="AA41" i="1"/>
  <c r="AA42" i="1"/>
  <c r="AA43" i="1"/>
  <c r="AA44" i="1"/>
  <c r="AA45" i="1"/>
  <c r="AA47" i="1"/>
  <c r="AA48" i="1"/>
  <c r="AA49" i="1"/>
  <c r="AA50" i="1"/>
  <c r="AA51" i="1"/>
  <c r="AA52" i="1"/>
  <c r="AA54" i="1"/>
  <c r="AA55" i="1"/>
  <c r="AA56" i="1"/>
  <c r="AA57" i="1"/>
  <c r="AA58" i="1"/>
  <c r="AA59" i="1"/>
  <c r="AA60" i="1"/>
  <c r="AA62" i="1"/>
  <c r="AA63" i="1"/>
  <c r="AA64" i="1"/>
  <c r="AA65" i="1"/>
  <c r="AA66" i="1"/>
  <c r="AA67" i="1"/>
  <c r="AA68" i="1"/>
  <c r="AA70" i="1"/>
  <c r="AA71" i="1"/>
  <c r="AA72" i="1"/>
  <c r="AA73" i="1"/>
  <c r="AA74" i="1"/>
  <c r="AA75" i="1"/>
  <c r="AA77" i="1"/>
  <c r="AA78" i="1"/>
  <c r="AA79" i="1"/>
  <c r="AA80" i="1"/>
  <c r="AA81" i="1"/>
  <c r="AA82" i="1"/>
  <c r="AA84" i="1"/>
  <c r="AA85" i="1"/>
  <c r="AA86" i="1"/>
  <c r="AA87" i="1"/>
  <c r="AA88" i="1"/>
  <c r="AA89" i="1"/>
  <c r="AA90" i="1"/>
  <c r="AA92" i="1"/>
  <c r="AA93" i="1"/>
  <c r="AA94" i="1"/>
  <c r="AA95" i="1"/>
  <c r="AA96" i="1"/>
  <c r="AA97" i="1"/>
  <c r="AA99" i="1"/>
  <c r="AA100" i="1"/>
  <c r="AA101" i="1"/>
  <c r="AA102" i="1"/>
  <c r="AA103" i="1"/>
  <c r="AA104" i="1"/>
  <c r="AA106" i="1"/>
  <c r="AA107" i="1"/>
  <c r="AA108" i="1"/>
  <c r="AA109" i="1"/>
  <c r="AA110" i="1"/>
  <c r="AA111" i="1"/>
  <c r="AA113" i="1"/>
  <c r="AA114" i="1"/>
  <c r="AA115" i="1"/>
  <c r="AA116" i="1"/>
  <c r="AA117" i="1"/>
  <c r="AA118" i="1"/>
  <c r="AA119"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N47" i="1"/>
  <c r="N48" i="1"/>
  <c r="N49" i="1"/>
  <c r="N50" i="1"/>
  <c r="N51" i="1"/>
  <c r="N52" i="1"/>
  <c r="N54" i="1"/>
  <c r="N55" i="1"/>
  <c r="N56" i="1"/>
  <c r="N57" i="1"/>
  <c r="N58" i="1"/>
  <c r="N59" i="1"/>
  <c r="N60" i="1"/>
  <c r="N62" i="1"/>
  <c r="N63" i="1"/>
  <c r="N64" i="1"/>
  <c r="N65" i="1"/>
  <c r="N66" i="1"/>
  <c r="N67" i="1"/>
  <c r="N68" i="1"/>
  <c r="N70" i="1"/>
  <c r="N71" i="1"/>
  <c r="N72" i="1"/>
  <c r="N73" i="1"/>
  <c r="N74" i="1"/>
  <c r="N75" i="1"/>
  <c r="N77" i="1"/>
  <c r="N78" i="1"/>
  <c r="N79" i="1"/>
  <c r="N80" i="1"/>
  <c r="N81" i="1"/>
  <c r="N82" i="1"/>
  <c r="N84" i="1"/>
  <c r="N85" i="1"/>
  <c r="N86" i="1"/>
  <c r="N87" i="1"/>
  <c r="N88" i="1"/>
  <c r="N89" i="1"/>
  <c r="N90" i="1"/>
  <c r="N92" i="1"/>
  <c r="N93" i="1"/>
  <c r="N94" i="1"/>
  <c r="N95" i="1"/>
  <c r="N96" i="1"/>
  <c r="N97" i="1"/>
  <c r="N99" i="1"/>
  <c r="N100" i="1"/>
  <c r="N101" i="1"/>
  <c r="N102" i="1"/>
  <c r="N103" i="1"/>
  <c r="N104" i="1"/>
  <c r="N106" i="1"/>
  <c r="N107" i="1"/>
  <c r="N108" i="1"/>
  <c r="N109" i="1"/>
  <c r="N110" i="1"/>
  <c r="N111" i="1"/>
  <c r="N113" i="1"/>
  <c r="N114" i="1"/>
  <c r="N115" i="1"/>
  <c r="N116" i="1"/>
  <c r="N117" i="1"/>
  <c r="N118" i="1"/>
  <c r="N119"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L47" i="1"/>
  <c r="L48" i="1"/>
  <c r="L49" i="1"/>
  <c r="L50" i="1"/>
  <c r="L51" i="1"/>
  <c r="L52" i="1"/>
  <c r="L54" i="1"/>
  <c r="L55" i="1"/>
  <c r="L56" i="1"/>
  <c r="L57" i="1"/>
  <c r="L58" i="1"/>
  <c r="L59" i="1"/>
  <c r="L60" i="1"/>
  <c r="L62" i="1"/>
  <c r="L63" i="1"/>
  <c r="L64" i="1"/>
  <c r="L65" i="1"/>
  <c r="L66" i="1"/>
  <c r="L67" i="1"/>
  <c r="L68" i="1"/>
  <c r="L70" i="1"/>
  <c r="L71" i="1"/>
  <c r="L72" i="1"/>
  <c r="L73" i="1"/>
  <c r="L74" i="1"/>
  <c r="L75" i="1"/>
  <c r="L77" i="1"/>
  <c r="L78" i="1"/>
  <c r="L79" i="1"/>
  <c r="L80" i="1"/>
  <c r="L81" i="1"/>
  <c r="L82" i="1"/>
  <c r="L84" i="1"/>
  <c r="L85" i="1"/>
  <c r="L86" i="1"/>
  <c r="L87" i="1"/>
  <c r="L88" i="1"/>
  <c r="L89" i="1"/>
  <c r="L90" i="1"/>
  <c r="L92" i="1"/>
  <c r="L93" i="1"/>
  <c r="L94" i="1"/>
  <c r="L95" i="1"/>
  <c r="L96" i="1"/>
  <c r="L97" i="1"/>
  <c r="L99" i="1"/>
  <c r="L100" i="1"/>
  <c r="L101" i="1"/>
  <c r="L102" i="1"/>
  <c r="L103" i="1"/>
  <c r="L104" i="1"/>
  <c r="L106" i="1"/>
  <c r="L107" i="1"/>
  <c r="L108" i="1"/>
  <c r="L109" i="1"/>
  <c r="L110" i="1"/>
  <c r="L111" i="1"/>
  <c r="L113" i="1"/>
  <c r="L114" i="1"/>
  <c r="L115" i="1"/>
  <c r="L116" i="1"/>
  <c r="L117" i="1"/>
  <c r="L118" i="1"/>
  <c r="L119"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K47" i="1"/>
  <c r="K48" i="1"/>
  <c r="K49" i="1"/>
  <c r="K50" i="1"/>
  <c r="K51" i="1"/>
  <c r="K52" i="1"/>
  <c r="K54" i="1"/>
  <c r="K55" i="1"/>
  <c r="K56" i="1"/>
  <c r="K57" i="1"/>
  <c r="K58" i="1"/>
  <c r="K59" i="1"/>
  <c r="K60" i="1"/>
  <c r="K62" i="1"/>
  <c r="K63" i="1"/>
  <c r="K64" i="1"/>
  <c r="K65" i="1"/>
  <c r="K66" i="1"/>
  <c r="K67" i="1"/>
  <c r="K68" i="1"/>
  <c r="K70" i="1"/>
  <c r="K71" i="1"/>
  <c r="K72" i="1"/>
  <c r="K73" i="1"/>
  <c r="K74" i="1"/>
  <c r="K75" i="1"/>
  <c r="K77" i="1"/>
  <c r="K78" i="1"/>
  <c r="K79" i="1"/>
  <c r="K80" i="1"/>
  <c r="K81" i="1"/>
  <c r="K82" i="1"/>
  <c r="K84" i="1"/>
  <c r="K85" i="1"/>
  <c r="K86" i="1"/>
  <c r="K87" i="1"/>
  <c r="K88" i="1"/>
  <c r="K89" i="1"/>
  <c r="K90" i="1"/>
  <c r="K92" i="1"/>
  <c r="K93" i="1"/>
  <c r="K94" i="1"/>
  <c r="K95" i="1"/>
  <c r="K96" i="1"/>
  <c r="K97" i="1"/>
  <c r="K99" i="1"/>
  <c r="K100" i="1"/>
  <c r="K101" i="1"/>
  <c r="K102" i="1"/>
  <c r="K103" i="1"/>
  <c r="K104" i="1"/>
  <c r="K106" i="1"/>
  <c r="K107" i="1"/>
  <c r="K108" i="1"/>
  <c r="K109" i="1"/>
  <c r="K110" i="1"/>
  <c r="K111" i="1"/>
  <c r="K113" i="1"/>
  <c r="K114" i="1"/>
  <c r="K115" i="1"/>
  <c r="K116" i="1"/>
  <c r="K117" i="1"/>
  <c r="K118" i="1"/>
  <c r="K119"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Z10" i="1"/>
  <c r="Z11" i="1"/>
  <c r="Z12" i="1"/>
  <c r="Z13" i="1"/>
  <c r="Z15" i="1"/>
  <c r="Z16" i="1"/>
  <c r="Z17" i="1"/>
  <c r="Z18" i="1"/>
  <c r="Z19" i="1"/>
  <c r="Z21" i="1"/>
  <c r="Z22" i="1"/>
  <c r="Z23" i="1"/>
  <c r="Z24" i="1"/>
  <c r="Z25" i="1"/>
  <c r="Z26" i="1"/>
  <c r="Z27" i="1"/>
  <c r="Z29" i="1"/>
  <c r="Z30" i="1"/>
  <c r="Z31" i="1"/>
  <c r="Z32" i="1"/>
  <c r="Z34" i="1"/>
  <c r="Z35" i="1"/>
  <c r="Z36" i="1"/>
  <c r="Z37" i="1"/>
  <c r="Z38" i="1"/>
  <c r="Z40" i="1"/>
  <c r="Z41" i="1"/>
  <c r="Z42" i="1"/>
  <c r="Z43" i="1"/>
  <c r="Z44" i="1"/>
  <c r="Z45" i="1"/>
  <c r="Z47" i="1"/>
  <c r="Z48" i="1"/>
  <c r="Z49" i="1"/>
  <c r="Z50" i="1"/>
  <c r="Z51" i="1"/>
  <c r="Z52" i="1"/>
  <c r="Z54" i="1"/>
  <c r="Z55" i="1"/>
  <c r="Z56" i="1"/>
  <c r="Z57" i="1"/>
  <c r="Z58" i="1"/>
  <c r="Z59" i="1"/>
  <c r="Z60" i="1"/>
  <c r="Z62" i="1"/>
  <c r="Z63" i="1"/>
  <c r="Z64" i="1"/>
  <c r="Z65" i="1"/>
  <c r="Z66" i="1"/>
  <c r="Z67" i="1"/>
  <c r="Z68" i="1"/>
  <c r="Z70" i="1"/>
  <c r="Z71" i="1"/>
  <c r="Z72" i="1"/>
  <c r="Z73" i="1"/>
  <c r="Z74" i="1"/>
  <c r="Z75" i="1"/>
  <c r="Z77" i="1"/>
  <c r="Z78" i="1"/>
  <c r="Z79" i="1"/>
  <c r="Z80" i="1"/>
  <c r="Z81" i="1"/>
  <c r="Z82" i="1"/>
  <c r="Z84" i="1"/>
  <c r="Z85" i="1"/>
  <c r="Z86" i="1"/>
  <c r="Z87" i="1"/>
  <c r="Z88" i="1"/>
  <c r="Z89" i="1"/>
  <c r="Z90" i="1"/>
  <c r="Z92" i="1"/>
  <c r="Z93" i="1"/>
  <c r="Z94" i="1"/>
  <c r="Z95" i="1"/>
  <c r="Z96" i="1"/>
  <c r="Z97" i="1"/>
  <c r="Z99" i="1"/>
  <c r="Z100" i="1"/>
  <c r="Z101" i="1"/>
  <c r="Z102" i="1"/>
  <c r="Z103" i="1"/>
  <c r="Z104" i="1"/>
  <c r="Z106" i="1"/>
  <c r="Z107" i="1"/>
  <c r="Z108" i="1"/>
  <c r="Z109" i="1"/>
  <c r="Z110" i="1"/>
  <c r="Z111" i="1"/>
  <c r="Z113" i="1"/>
  <c r="Z114" i="1"/>
  <c r="Z115" i="1"/>
  <c r="Z116" i="1"/>
  <c r="Z117" i="1"/>
  <c r="Z118" i="1"/>
  <c r="Z119"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E95"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99" i="17"/>
  <c r="E98" i="17"/>
  <c r="E97" i="17"/>
  <c r="E94" i="17"/>
  <c r="E93" i="17"/>
  <c r="E92" i="17"/>
  <c r="E91" i="17"/>
  <c r="E90" i="17"/>
  <c r="E89" i="17"/>
  <c r="E88" i="17"/>
  <c r="E87" i="17"/>
  <c r="E86" i="17"/>
  <c r="E85" i="17"/>
  <c r="E84" i="17"/>
  <c r="E83" i="17"/>
  <c r="E82" i="17"/>
  <c r="E81" i="17"/>
  <c r="E80" i="17"/>
  <c r="E75" i="17"/>
  <c r="E74" i="17"/>
  <c r="E73" i="17"/>
  <c r="E72" i="17"/>
  <c r="E71" i="17"/>
  <c r="E70" i="17"/>
  <c r="E69" i="17"/>
  <c r="E68" i="17"/>
  <c r="E67" i="17"/>
  <c r="E66" i="17"/>
  <c r="E65" i="17"/>
  <c r="E64" i="17"/>
  <c r="E63" i="17"/>
  <c r="E62" i="17"/>
  <c r="E61" i="17"/>
  <c r="E60" i="17"/>
  <c r="E59" i="17"/>
  <c r="E58" i="17"/>
  <c r="E57" i="17"/>
  <c r="E56" i="17"/>
  <c r="E55" i="17"/>
  <c r="E54"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5" i="2"/>
  <c r="E56" i="2"/>
  <c r="E57" i="2"/>
  <c r="E58" i="2"/>
  <c r="E59" i="2"/>
  <c r="E60" i="2"/>
  <c r="E61" i="2"/>
  <c r="E62" i="2"/>
  <c r="E90" i="2"/>
  <c r="E91" i="2"/>
  <c r="E63" i="2"/>
  <c r="E67" i="2"/>
  <c r="E68" i="2"/>
  <c r="E69" i="2"/>
  <c r="E64" i="2"/>
  <c r="E65" i="2"/>
  <c r="E66" i="2"/>
  <c r="E70" i="2"/>
  <c r="E71" i="2"/>
  <c r="E72" i="2"/>
  <c r="E73" i="2"/>
  <c r="E74" i="2"/>
  <c r="E75" i="2"/>
  <c r="E76" i="2"/>
  <c r="E77" i="2"/>
  <c r="E78" i="2"/>
  <c r="E50" i="2"/>
  <c r="E83" i="2"/>
  <c r="E84" i="2"/>
  <c r="E85" i="2"/>
  <c r="E96" i="2"/>
  <c r="E87" i="2"/>
  <c r="E88" i="2"/>
  <c r="E94" i="2"/>
  <c r="E95" i="2"/>
  <c r="E97" i="2"/>
  <c r="E98" i="2"/>
  <c r="E99" i="2"/>
  <c r="E100" i="2"/>
  <c r="E101" i="2"/>
  <c r="E92" i="2"/>
  <c r="E93" i="2"/>
  <c r="E102" i="2"/>
  <c r="E103" i="2"/>
  <c r="E89" i="2"/>
  <c r="A3" i="1" l="1"/>
  <c r="AH200" i="1"/>
  <c r="B200" i="1" a="1"/>
  <c r="B200" i="1" s="1"/>
  <c r="AH199" i="1"/>
  <c r="B199" i="1" a="1"/>
  <c r="B199" i="1" s="1"/>
  <c r="AH198" i="1"/>
  <c r="B198" i="1" a="1"/>
  <c r="B198" i="1" s="1"/>
  <c r="AH197" i="1"/>
  <c r="B197" i="1" a="1"/>
  <c r="B197" i="1" s="1"/>
  <c r="AH196" i="1"/>
  <c r="B196" i="1" a="1"/>
  <c r="B196" i="1" s="1"/>
  <c r="AH195" i="1"/>
  <c r="B195" i="1" a="1"/>
  <c r="B195" i="1" s="1"/>
  <c r="AH194" i="1"/>
  <c r="B194" i="1" a="1"/>
  <c r="B194" i="1" s="1"/>
  <c r="AH193" i="1"/>
  <c r="B193" i="1" a="1"/>
  <c r="B193" i="1" s="1"/>
  <c r="AH192" i="1"/>
  <c r="B192" i="1" a="1"/>
  <c r="B192" i="1" s="1"/>
  <c r="AH191" i="1"/>
  <c r="B191" i="1" a="1"/>
  <c r="B191" i="1" s="1"/>
  <c r="AH190" i="1"/>
  <c r="B190" i="1" a="1"/>
  <c r="B190" i="1" s="1"/>
  <c r="AH189" i="1"/>
  <c r="B189" i="1" a="1"/>
  <c r="B189" i="1" s="1"/>
  <c r="AH188" i="1"/>
  <c r="B188" i="1" a="1"/>
  <c r="B188" i="1" s="1"/>
  <c r="AH187" i="1"/>
  <c r="B187" i="1" a="1"/>
  <c r="B187" i="1" s="1"/>
  <c r="AH186" i="1"/>
  <c r="B186" i="1" a="1"/>
  <c r="B186" i="1" s="1"/>
  <c r="AH185" i="1"/>
  <c r="B185" i="1" a="1"/>
  <c r="B185" i="1" s="1"/>
  <c r="AH184" i="1"/>
  <c r="B184" i="1" a="1"/>
  <c r="B184" i="1" s="1"/>
  <c r="AH183" i="1"/>
  <c r="B183" i="1" a="1"/>
  <c r="B183" i="1" s="1"/>
  <c r="AH182" i="1"/>
  <c r="B182" i="1" a="1"/>
  <c r="B182" i="1" s="1"/>
  <c r="AH181" i="1"/>
  <c r="B181" i="1" a="1"/>
  <c r="B181" i="1" s="1"/>
  <c r="AH180" i="1"/>
  <c r="B180" i="1" a="1"/>
  <c r="B180" i="1" s="1"/>
  <c r="AH179" i="1"/>
  <c r="B179" i="1" a="1"/>
  <c r="B179" i="1" s="1"/>
  <c r="AH178" i="1"/>
  <c r="B178" i="1" a="1"/>
  <c r="B178" i="1" s="1"/>
  <c r="AH177" i="1"/>
  <c r="B177" i="1" a="1"/>
  <c r="B177" i="1" s="1"/>
  <c r="AH176" i="1"/>
  <c r="B176" i="1"/>
  <c r="B176" i="1" a="1"/>
  <c r="AH175" i="1"/>
  <c r="B175" i="1" a="1"/>
  <c r="B175" i="1" s="1"/>
  <c r="AH174" i="1"/>
  <c r="B174" i="1" a="1"/>
  <c r="B174" i="1" s="1"/>
  <c r="AH173" i="1"/>
  <c r="B173" i="1" a="1"/>
  <c r="B173" i="1" s="1"/>
  <c r="AH172" i="1"/>
  <c r="B172" i="1" a="1"/>
  <c r="B172" i="1" s="1"/>
  <c r="AH171" i="1"/>
  <c r="B171" i="1" a="1"/>
  <c r="B171" i="1" s="1"/>
  <c r="AH170" i="1"/>
  <c r="B170" i="1" a="1"/>
  <c r="B170" i="1" s="1"/>
  <c r="AH169" i="1"/>
  <c r="B169" i="1" a="1"/>
  <c r="B169" i="1" s="1"/>
  <c r="AH168" i="1"/>
  <c r="B168" i="1" a="1"/>
  <c r="B168" i="1" s="1"/>
  <c r="AH167" i="1"/>
  <c r="B167" i="1" a="1"/>
  <c r="B167" i="1" s="1"/>
  <c r="AH166" i="1"/>
  <c r="B166" i="1" a="1"/>
  <c r="B166" i="1" s="1"/>
  <c r="AH165" i="1"/>
  <c r="B165" i="1" a="1"/>
  <c r="B165" i="1" s="1"/>
  <c r="AH164" i="1"/>
  <c r="B164" i="1" a="1"/>
  <c r="B164" i="1" s="1"/>
  <c r="AH163" i="1"/>
  <c r="B163" i="1" a="1"/>
  <c r="B163" i="1" s="1"/>
  <c r="AH162" i="1"/>
  <c r="B162" i="1" a="1"/>
  <c r="B162" i="1" s="1"/>
  <c r="AH161" i="1"/>
  <c r="B161" i="1" a="1"/>
  <c r="B161" i="1" s="1"/>
  <c r="AH160" i="1"/>
  <c r="B160" i="1" a="1"/>
  <c r="B160" i="1" s="1"/>
  <c r="AH159" i="1"/>
  <c r="B159" i="1" a="1"/>
  <c r="B159" i="1" s="1"/>
  <c r="AH158" i="1"/>
  <c r="B158" i="1" a="1"/>
  <c r="B158" i="1" s="1"/>
  <c r="AH157" i="1"/>
  <c r="B157" i="1" a="1"/>
  <c r="B157" i="1" s="1"/>
  <c r="AH156" i="1"/>
  <c r="B156" i="1" a="1"/>
  <c r="B156" i="1" s="1"/>
  <c r="AH155" i="1"/>
  <c r="B155" i="1"/>
  <c r="B155" i="1" a="1"/>
  <c r="AH154" i="1"/>
  <c r="B154" i="1" a="1"/>
  <c r="B154" i="1" s="1"/>
  <c r="AH153" i="1"/>
  <c r="B153" i="1" a="1"/>
  <c r="B153" i="1" s="1"/>
  <c r="AH152" i="1"/>
  <c r="B152" i="1" a="1"/>
  <c r="B152" i="1" s="1"/>
  <c r="AH151" i="1"/>
  <c r="B151" i="1" a="1"/>
  <c r="B151" i="1" s="1"/>
  <c r="AH150" i="1"/>
  <c r="B150" i="1" a="1"/>
  <c r="B150" i="1" s="1"/>
  <c r="AH149" i="1"/>
  <c r="B149" i="1" a="1"/>
  <c r="B149" i="1" s="1"/>
  <c r="AH148" i="1"/>
  <c r="B148" i="1" a="1"/>
  <c r="B148" i="1" s="1"/>
  <c r="AH147" i="1"/>
  <c r="B147" i="1" a="1"/>
  <c r="B147" i="1" s="1"/>
  <c r="AH146" i="1"/>
  <c r="B146" i="1" a="1"/>
  <c r="B146" i="1" s="1"/>
  <c r="AH145" i="1"/>
  <c r="B145" i="1" a="1"/>
  <c r="B145" i="1" s="1"/>
  <c r="AH144" i="1"/>
  <c r="B144" i="1" a="1"/>
  <c r="B144" i="1" s="1"/>
  <c r="AH143" i="1"/>
  <c r="B143" i="1" a="1"/>
  <c r="B143" i="1" s="1"/>
  <c r="AH142" i="1"/>
  <c r="B142" i="1" a="1"/>
  <c r="B142" i="1" s="1"/>
  <c r="AH141" i="1"/>
  <c r="B141" i="1" a="1"/>
  <c r="B141" i="1" s="1"/>
  <c r="AH140" i="1"/>
  <c r="B140" i="1" a="1"/>
  <c r="B140" i="1" s="1"/>
  <c r="AH139" i="1"/>
  <c r="B139" i="1" a="1"/>
  <c r="B139" i="1" s="1"/>
  <c r="AH138" i="1"/>
  <c r="B138" i="1" a="1"/>
  <c r="B138" i="1" s="1"/>
  <c r="AH137" i="1"/>
  <c r="B137" i="1" a="1"/>
  <c r="B137" i="1" s="1"/>
  <c r="AH136" i="1"/>
  <c r="B136" i="1" a="1"/>
  <c r="B136" i="1" s="1"/>
  <c r="AH135" i="1"/>
  <c r="B135" i="1" a="1"/>
  <c r="B135" i="1" s="1"/>
  <c r="AH134" i="1"/>
  <c r="B134" i="1" a="1"/>
  <c r="B134" i="1" s="1"/>
  <c r="AH133" i="1"/>
  <c r="B133" i="1"/>
  <c r="B133" i="1" a="1"/>
  <c r="AH132" i="1"/>
  <c r="B132" i="1" a="1"/>
  <c r="B132" i="1" s="1"/>
  <c r="AH131" i="1"/>
  <c r="B131" i="1" a="1"/>
  <c r="B131" i="1" s="1"/>
  <c r="AH130" i="1"/>
  <c r="B130" i="1" a="1"/>
  <c r="B130" i="1" s="1"/>
  <c r="AH129" i="1"/>
  <c r="B129" i="1" a="1"/>
  <c r="B129" i="1" s="1"/>
  <c r="AH128" i="1"/>
  <c r="B128" i="1" a="1"/>
  <c r="B128" i="1" s="1"/>
  <c r="AH127" i="1"/>
  <c r="B127" i="1" a="1"/>
  <c r="B127" i="1" s="1"/>
  <c r="AH126" i="1"/>
  <c r="B126" i="1" a="1"/>
  <c r="B126" i="1" s="1"/>
  <c r="AH125" i="1"/>
  <c r="B125" i="1" a="1"/>
  <c r="B125" i="1" s="1"/>
  <c r="AH124" i="1"/>
  <c r="B124" i="1" a="1"/>
  <c r="B124" i="1" s="1"/>
  <c r="AH123" i="1"/>
  <c r="B123" i="1" a="1"/>
  <c r="B123" i="1" s="1"/>
  <c r="AH122" i="1"/>
  <c r="B122" i="1" a="1"/>
  <c r="B122" i="1" s="1"/>
  <c r="AH121" i="1"/>
  <c r="B121" i="1" a="1"/>
  <c r="B121" i="1" s="1"/>
  <c r="AH120" i="1"/>
  <c r="AH119" i="1"/>
  <c r="B119" i="1" a="1"/>
  <c r="B119" i="1" s="1"/>
  <c r="AH118" i="1"/>
  <c r="B118" i="1" a="1"/>
  <c r="B118" i="1" s="1"/>
  <c r="AH117" i="1"/>
  <c r="B117" i="1" a="1"/>
  <c r="B117" i="1" s="1"/>
  <c r="AH116" i="1"/>
  <c r="B116" i="1" a="1"/>
  <c r="B116" i="1" s="1"/>
  <c r="AH115" i="1"/>
  <c r="B115" i="1" a="1"/>
  <c r="B115" i="1" s="1"/>
  <c r="AH114" i="1"/>
  <c r="B114" i="1" a="1"/>
  <c r="B114" i="1" s="1"/>
  <c r="AH113" i="1"/>
  <c r="B113" i="1" a="1"/>
  <c r="B113" i="1" s="1"/>
  <c r="AH112" i="1"/>
  <c r="AH111" i="1"/>
  <c r="B111" i="1"/>
  <c r="B111" i="1" a="1"/>
  <c r="AH110" i="1"/>
  <c r="B110" i="1" a="1"/>
  <c r="B110" i="1" s="1"/>
  <c r="AH109" i="1"/>
  <c r="B109" i="1" a="1"/>
  <c r="B109" i="1" s="1"/>
  <c r="AH108" i="1"/>
  <c r="B108" i="1" a="1"/>
  <c r="B108" i="1" s="1"/>
  <c r="AH107" i="1"/>
  <c r="B107" i="1" a="1"/>
  <c r="B107" i="1" s="1"/>
  <c r="AH106" i="1"/>
  <c r="B106" i="1" a="1"/>
  <c r="B106" i="1" s="1"/>
  <c r="AH105" i="1"/>
  <c r="AH104" i="1"/>
  <c r="B104" i="1" a="1"/>
  <c r="B104" i="1" s="1"/>
  <c r="AH103" i="1"/>
  <c r="B103" i="1" a="1"/>
  <c r="B103" i="1" s="1"/>
  <c r="AH102" i="1"/>
  <c r="B102" i="1" a="1"/>
  <c r="B102" i="1" s="1"/>
  <c r="AH101" i="1"/>
  <c r="B101" i="1" a="1"/>
  <c r="B101" i="1" s="1"/>
  <c r="AH100" i="1"/>
  <c r="B100" i="1" a="1"/>
  <c r="B100" i="1" s="1"/>
  <c r="AH99" i="1"/>
  <c r="B99" i="1" a="1"/>
  <c r="B99" i="1" s="1"/>
  <c r="AH98" i="1"/>
  <c r="AH97" i="1"/>
  <c r="B97" i="1" a="1"/>
  <c r="B97" i="1" s="1"/>
  <c r="AH96" i="1"/>
  <c r="B96" i="1" a="1"/>
  <c r="B96" i="1" s="1"/>
  <c r="AH95" i="1"/>
  <c r="B95" i="1" a="1"/>
  <c r="B95" i="1" s="1"/>
  <c r="AH94" i="1"/>
  <c r="B94" i="1" a="1"/>
  <c r="B94" i="1" s="1"/>
  <c r="AH93" i="1"/>
  <c r="B93" i="1" a="1"/>
  <c r="B93" i="1" s="1"/>
  <c r="AH92" i="1"/>
  <c r="B92" i="1" a="1"/>
  <c r="B92" i="1" s="1"/>
  <c r="AH91" i="1"/>
  <c r="AH90" i="1"/>
  <c r="B90" i="1" a="1"/>
  <c r="B90" i="1" s="1"/>
  <c r="AH89" i="1"/>
  <c r="B89" i="1" a="1"/>
  <c r="B89" i="1" s="1"/>
  <c r="AH88" i="1"/>
  <c r="B88" i="1" a="1"/>
  <c r="B88" i="1" s="1"/>
  <c r="AH87" i="1"/>
  <c r="B87" i="1" a="1"/>
  <c r="B87" i="1" s="1"/>
  <c r="AH86" i="1"/>
  <c r="B86" i="1" a="1"/>
  <c r="B86" i="1" s="1"/>
  <c r="AH85" i="1"/>
  <c r="B85" i="1" a="1"/>
  <c r="B85" i="1" s="1"/>
  <c r="AH84" i="1"/>
  <c r="B84" i="1" a="1"/>
  <c r="B84" i="1" s="1"/>
  <c r="AH83" i="1"/>
  <c r="AH82" i="1"/>
  <c r="B82" i="1" a="1"/>
  <c r="B82" i="1" s="1"/>
  <c r="AH81" i="1"/>
  <c r="B81" i="1" a="1"/>
  <c r="B81" i="1" s="1"/>
  <c r="AH80" i="1"/>
  <c r="B80" i="1" a="1"/>
  <c r="B80" i="1" s="1"/>
  <c r="AH79" i="1"/>
  <c r="B79" i="1" a="1"/>
  <c r="B79" i="1" s="1"/>
  <c r="AH78" i="1"/>
  <c r="B78" i="1" a="1"/>
  <c r="B78" i="1" s="1"/>
  <c r="AH77" i="1"/>
  <c r="B77" i="1" a="1"/>
  <c r="B77" i="1" s="1"/>
  <c r="AH76" i="1"/>
  <c r="AH75" i="1"/>
  <c r="B75" i="1" a="1"/>
  <c r="B75" i="1" s="1"/>
  <c r="AH74" i="1"/>
  <c r="B74" i="1" a="1"/>
  <c r="B74" i="1" s="1"/>
  <c r="AH73" i="1"/>
  <c r="B73" i="1" a="1"/>
  <c r="B73" i="1" s="1"/>
  <c r="AH72" i="1"/>
  <c r="B72" i="1" a="1"/>
  <c r="B72" i="1" s="1"/>
  <c r="AH71" i="1"/>
  <c r="B71" i="1" a="1"/>
  <c r="B71" i="1" s="1"/>
  <c r="AH70" i="1"/>
  <c r="B70" i="1" a="1"/>
  <c r="B70" i="1" s="1"/>
  <c r="AH69" i="1"/>
  <c r="AH68" i="1"/>
  <c r="B68" i="1" a="1"/>
  <c r="B68" i="1" s="1"/>
  <c r="AH67" i="1"/>
  <c r="B67" i="1" a="1"/>
  <c r="B67" i="1" s="1"/>
  <c r="AH66" i="1"/>
  <c r="B66" i="1" a="1"/>
  <c r="B66" i="1" s="1"/>
  <c r="AH65" i="1"/>
  <c r="B65" i="1"/>
  <c r="B65" i="1" a="1"/>
  <c r="AH64" i="1"/>
  <c r="B64" i="1" a="1"/>
  <c r="B64" i="1" s="1"/>
  <c r="AH63" i="1"/>
  <c r="B63" i="1" a="1"/>
  <c r="B63" i="1" s="1"/>
  <c r="AH62" i="1"/>
  <c r="B62" i="1" a="1"/>
  <c r="B62" i="1" s="1"/>
  <c r="AH61" i="1"/>
  <c r="AH60" i="1"/>
  <c r="B60" i="1" a="1"/>
  <c r="B60" i="1" s="1"/>
  <c r="AH59" i="1"/>
  <c r="B59" i="1" a="1"/>
  <c r="B59" i="1" s="1"/>
  <c r="AH58" i="1"/>
  <c r="B58" i="1" a="1"/>
  <c r="B58" i="1" s="1"/>
  <c r="AH57" i="1"/>
  <c r="B57" i="1" a="1"/>
  <c r="B57" i="1" s="1"/>
  <c r="AH56" i="1"/>
  <c r="B56" i="1" a="1"/>
  <c r="B56" i="1" s="1"/>
  <c r="AH55" i="1"/>
  <c r="B55" i="1"/>
  <c r="B55" i="1" a="1"/>
  <c r="AH54" i="1"/>
  <c r="B54" i="1" a="1"/>
  <c r="B54" i="1" s="1"/>
  <c r="AH53" i="1"/>
  <c r="AH52" i="1"/>
  <c r="B52" i="1" a="1"/>
  <c r="B52" i="1" s="1"/>
  <c r="AH51" i="1"/>
  <c r="B51" i="1" a="1"/>
  <c r="B51" i="1" s="1"/>
  <c r="AH50" i="1"/>
  <c r="B50" i="1"/>
  <c r="B50" i="1" a="1"/>
  <c r="AH49" i="1"/>
  <c r="B49" i="1" a="1"/>
  <c r="B49" i="1" s="1"/>
  <c r="AH48" i="1"/>
  <c r="B48" i="1" a="1"/>
  <c r="B48" i="1" s="1"/>
  <c r="AH47" i="1"/>
  <c r="B47" i="1" a="1"/>
  <c r="B47" i="1" s="1"/>
  <c r="AH46" i="1"/>
  <c r="AH45" i="1"/>
  <c r="B45" i="1" a="1"/>
  <c r="B45" i="1" s="1"/>
  <c r="AH44" i="1"/>
  <c r="B44" i="1" a="1"/>
  <c r="B44" i="1" s="1"/>
  <c r="AH43" i="1"/>
  <c r="B43" i="1" a="1"/>
  <c r="B43" i="1" s="1"/>
  <c r="AH42" i="1"/>
  <c r="B42" i="1" a="1"/>
  <c r="B42" i="1" s="1"/>
  <c r="AH41" i="1"/>
  <c r="AH40" i="1"/>
  <c r="AH39" i="1"/>
  <c r="AH38" i="1"/>
  <c r="B38" i="1" a="1"/>
  <c r="B38" i="1" s="1"/>
  <c r="AH37" i="1"/>
  <c r="B37" i="1" a="1"/>
  <c r="B37" i="1" s="1"/>
  <c r="AH36" i="1"/>
  <c r="B36" i="1" a="1"/>
  <c r="B36" i="1" s="1"/>
  <c r="AH35" i="1"/>
  <c r="B35" i="1" a="1"/>
  <c r="B35" i="1" s="1"/>
  <c r="AH34" i="1"/>
  <c r="B34" i="1" a="1"/>
  <c r="B34" i="1" s="1"/>
  <c r="AH33" i="1"/>
  <c r="AH32" i="1"/>
  <c r="B32" i="1" a="1"/>
  <c r="B32" i="1" s="1"/>
  <c r="AH31" i="1"/>
  <c r="B31" i="1" a="1"/>
  <c r="B31" i="1" s="1"/>
  <c r="AH30" i="1"/>
  <c r="B30" i="1" a="1"/>
  <c r="B30" i="1" s="1"/>
  <c r="AH29" i="1"/>
  <c r="B29" i="1" a="1"/>
  <c r="B29" i="1" s="1"/>
  <c r="AH28" i="1"/>
  <c r="AH27" i="1"/>
  <c r="AH26" i="1"/>
  <c r="B26" i="1" a="1"/>
  <c r="B26" i="1" s="1"/>
  <c r="AH25" i="1"/>
  <c r="B25" i="1" a="1"/>
  <c r="B25" i="1" s="1"/>
  <c r="AH24" i="1"/>
  <c r="B24" i="1"/>
  <c r="B24" i="1" a="1"/>
  <c r="AH23" i="1"/>
  <c r="B23" i="1" a="1"/>
  <c r="B23" i="1" s="1"/>
  <c r="AH22" i="1"/>
  <c r="B22" i="1" a="1"/>
  <c r="B22" i="1" s="1"/>
  <c r="AH21" i="1"/>
  <c r="B21" i="1" a="1"/>
  <c r="B21" i="1" s="1"/>
  <c r="AH20" i="1"/>
  <c r="AH19" i="1"/>
  <c r="B19" i="1" a="1"/>
  <c r="B19" i="1" s="1"/>
  <c r="AH18" i="1"/>
  <c r="B18" i="1" a="1"/>
  <c r="B18" i="1" s="1"/>
  <c r="AH17" i="1"/>
  <c r="B17" i="1" a="1"/>
  <c r="B17" i="1" s="1"/>
  <c r="AH16" i="1"/>
  <c r="B16" i="1" a="1"/>
  <c r="B16" i="1" s="1"/>
  <c r="AH15" i="1"/>
  <c r="B15" i="1" a="1"/>
  <c r="B15" i="1" s="1"/>
  <c r="AH14" i="1"/>
  <c r="AH13" i="1"/>
  <c r="B13" i="1" a="1"/>
  <c r="B13" i="1" s="1"/>
  <c r="AH12" i="1"/>
  <c r="B12" i="1" a="1"/>
  <c r="B12" i="1" s="1"/>
  <c r="AH11" i="1"/>
  <c r="AE7" i="1" s="1"/>
  <c r="B11" i="1" a="1"/>
  <c r="B11" i="1" s="1"/>
  <c r="AH10" i="1"/>
  <c r="B10" i="1" a="1"/>
  <c r="B10" i="1" s="1"/>
  <c r="AH9" i="1"/>
  <c r="C9" i="1"/>
  <c r="C10" i="1" s="1"/>
  <c r="C11" i="1" s="1"/>
  <c r="C12" i="1" s="1"/>
  <c r="C13" i="1" s="1"/>
  <c r="C14" i="1" s="1"/>
  <c r="B9" i="1" a="1"/>
  <c r="B9" i="1" s="1"/>
  <c r="E6" i="1" a="1"/>
  <c r="E6" i="1" s="1"/>
  <c r="C6" i="1"/>
  <c r="E4" i="1"/>
  <c r="E3" i="1" s="1"/>
  <c r="E2" i="1"/>
  <c r="X10" i="1" l="1"/>
  <c r="X24" i="1"/>
  <c r="X38" i="1"/>
  <c r="W19" i="1"/>
  <c r="W34" i="1"/>
  <c r="U10" i="1"/>
  <c r="U24" i="1"/>
  <c r="U38" i="1"/>
  <c r="T19" i="1"/>
  <c r="R24" i="1"/>
  <c r="Q19" i="1"/>
  <c r="O24" i="1"/>
  <c r="N19" i="1"/>
  <c r="X11" i="1"/>
  <c r="X25" i="1"/>
  <c r="X40" i="1"/>
  <c r="W21" i="1"/>
  <c r="W35" i="1"/>
  <c r="U11" i="1"/>
  <c r="U25" i="1"/>
  <c r="U40" i="1"/>
  <c r="T21" i="1"/>
  <c r="T35" i="1"/>
  <c r="R11" i="1"/>
  <c r="R25" i="1"/>
  <c r="R40" i="1"/>
  <c r="Q21" i="1"/>
  <c r="Q35" i="1"/>
  <c r="O11" i="1"/>
  <c r="O25" i="1"/>
  <c r="O40" i="1"/>
  <c r="N21" i="1"/>
  <c r="N36" i="1"/>
  <c r="L13" i="1"/>
  <c r="L27" i="1"/>
  <c r="L42" i="1"/>
  <c r="K18" i="1"/>
  <c r="K34" i="1"/>
  <c r="X12" i="1"/>
  <c r="X26" i="1"/>
  <c r="X41" i="1"/>
  <c r="W22" i="1"/>
  <c r="W36" i="1"/>
  <c r="U12" i="1"/>
  <c r="U26" i="1"/>
  <c r="U41" i="1"/>
  <c r="T22" i="1"/>
  <c r="T36" i="1"/>
  <c r="R12" i="1"/>
  <c r="R26" i="1"/>
  <c r="R41" i="1"/>
  <c r="Q22" i="1"/>
  <c r="Q36" i="1"/>
  <c r="O12" i="1"/>
  <c r="O26" i="1"/>
  <c r="O41" i="1"/>
  <c r="N22" i="1"/>
  <c r="N37" i="1"/>
  <c r="L15" i="1"/>
  <c r="L29" i="1"/>
  <c r="L43" i="1"/>
  <c r="K19" i="1"/>
  <c r="K35" i="1"/>
  <c r="K37" i="1"/>
  <c r="X13" i="1"/>
  <c r="X27" i="1"/>
  <c r="X42" i="1"/>
  <c r="W23" i="1"/>
  <c r="W37" i="1"/>
  <c r="U13" i="1"/>
  <c r="U27" i="1"/>
  <c r="U42" i="1"/>
  <c r="T23" i="1"/>
  <c r="T37" i="1"/>
  <c r="R13" i="1"/>
  <c r="R27" i="1"/>
  <c r="R42" i="1"/>
  <c r="Q23" i="1"/>
  <c r="Q37" i="1"/>
  <c r="O13" i="1"/>
  <c r="O27" i="1"/>
  <c r="O42" i="1"/>
  <c r="N23" i="1"/>
  <c r="N38" i="1"/>
  <c r="L16" i="1"/>
  <c r="L30" i="1"/>
  <c r="L44" i="1"/>
  <c r="K21" i="1"/>
  <c r="K36" i="1"/>
  <c r="X15" i="1"/>
  <c r="X29" i="1"/>
  <c r="X43" i="1"/>
  <c r="W10" i="1"/>
  <c r="W24" i="1"/>
  <c r="W38" i="1"/>
  <c r="U15" i="1"/>
  <c r="U29" i="1"/>
  <c r="U43" i="1"/>
  <c r="T10" i="1"/>
  <c r="T24" i="1"/>
  <c r="T38" i="1"/>
  <c r="R15" i="1"/>
  <c r="R29" i="1"/>
  <c r="R43" i="1"/>
  <c r="Q10" i="1"/>
  <c r="Q24" i="1"/>
  <c r="Q38" i="1"/>
  <c r="O15" i="1"/>
  <c r="O29" i="1"/>
  <c r="O43" i="1"/>
  <c r="N10" i="1"/>
  <c r="N24" i="1"/>
  <c r="N40" i="1"/>
  <c r="L17" i="1"/>
  <c r="L31" i="1"/>
  <c r="L45" i="1"/>
  <c r="K22" i="1"/>
  <c r="X16" i="1"/>
  <c r="X30" i="1"/>
  <c r="X44" i="1"/>
  <c r="W11" i="1"/>
  <c r="W25" i="1"/>
  <c r="W40" i="1"/>
  <c r="U16" i="1"/>
  <c r="U30" i="1"/>
  <c r="U44" i="1"/>
  <c r="T11" i="1"/>
  <c r="T25" i="1"/>
  <c r="T40" i="1"/>
  <c r="R16" i="1"/>
  <c r="R30" i="1"/>
  <c r="R44" i="1"/>
  <c r="Q11" i="1"/>
  <c r="Q25" i="1"/>
  <c r="Q40" i="1"/>
  <c r="O16" i="1"/>
  <c r="O30" i="1"/>
  <c r="O44" i="1"/>
  <c r="N11" i="1"/>
  <c r="N25" i="1"/>
  <c r="N42" i="1"/>
  <c r="L18" i="1"/>
  <c r="L32" i="1"/>
  <c r="L9" i="1"/>
  <c r="K23" i="1"/>
  <c r="K38" i="1"/>
  <c r="X17" i="1"/>
  <c r="X31" i="1"/>
  <c r="X45" i="1"/>
  <c r="W12" i="1"/>
  <c r="W26" i="1"/>
  <c r="W41" i="1"/>
  <c r="U17" i="1"/>
  <c r="U31" i="1"/>
  <c r="U45" i="1"/>
  <c r="T12" i="1"/>
  <c r="T26" i="1"/>
  <c r="T41" i="1"/>
  <c r="R17" i="1"/>
  <c r="R31" i="1"/>
  <c r="R45" i="1"/>
  <c r="Q12" i="1"/>
  <c r="Q26" i="1"/>
  <c r="Q41" i="1"/>
  <c r="O17" i="1"/>
  <c r="O31" i="1"/>
  <c r="O45" i="1"/>
  <c r="N12" i="1"/>
  <c r="N26" i="1"/>
  <c r="N43" i="1"/>
  <c r="L19" i="1"/>
  <c r="L34" i="1"/>
  <c r="K10" i="1"/>
  <c r="K24" i="1"/>
  <c r="K40" i="1"/>
  <c r="L36" i="1"/>
  <c r="K26" i="1"/>
  <c r="O21" i="1"/>
  <c r="N16" i="1"/>
  <c r="L23" i="1"/>
  <c r="L37" i="1"/>
  <c r="K29" i="1"/>
  <c r="X18" i="1"/>
  <c r="X32" i="1"/>
  <c r="X9" i="1"/>
  <c r="W13" i="1"/>
  <c r="W27" i="1"/>
  <c r="W42" i="1"/>
  <c r="U18" i="1"/>
  <c r="U32" i="1"/>
  <c r="U9" i="1"/>
  <c r="T13" i="1"/>
  <c r="T27" i="1"/>
  <c r="T42" i="1"/>
  <c r="R18" i="1"/>
  <c r="R32" i="1"/>
  <c r="R9" i="1"/>
  <c r="Q13" i="1"/>
  <c r="Q27" i="1"/>
  <c r="Q42" i="1"/>
  <c r="O18" i="1"/>
  <c r="O32" i="1"/>
  <c r="O9" i="1"/>
  <c r="N13" i="1"/>
  <c r="N29" i="1"/>
  <c r="N44" i="1"/>
  <c r="L21" i="1"/>
  <c r="L35" i="1"/>
  <c r="K11" i="1"/>
  <c r="K25" i="1"/>
  <c r="K42" i="1"/>
  <c r="K9" i="1"/>
  <c r="L22" i="1"/>
  <c r="K12" i="1"/>
  <c r="K43" i="1"/>
  <c r="O35" i="1"/>
  <c r="N31" i="1"/>
  <c r="N9" i="1"/>
  <c r="K13" i="1"/>
  <c r="K44" i="1"/>
  <c r="K32" i="1"/>
  <c r="X19" i="1"/>
  <c r="X34" i="1"/>
  <c r="W15" i="1"/>
  <c r="W29" i="1"/>
  <c r="W43" i="1"/>
  <c r="U19" i="1"/>
  <c r="U34" i="1"/>
  <c r="T15" i="1"/>
  <c r="T29" i="1"/>
  <c r="T43" i="1"/>
  <c r="R19" i="1"/>
  <c r="R34" i="1"/>
  <c r="Q15" i="1"/>
  <c r="Q29" i="1"/>
  <c r="Q43" i="1"/>
  <c r="O19" i="1"/>
  <c r="O34" i="1"/>
  <c r="N15" i="1"/>
  <c r="N30" i="1"/>
  <c r="N45" i="1"/>
  <c r="X21" i="1"/>
  <c r="X35" i="1"/>
  <c r="W16" i="1"/>
  <c r="W30" i="1"/>
  <c r="W44" i="1"/>
  <c r="U21" i="1"/>
  <c r="U35" i="1"/>
  <c r="T16" i="1"/>
  <c r="T30" i="1"/>
  <c r="T44" i="1"/>
  <c r="R21" i="1"/>
  <c r="R35" i="1"/>
  <c r="Q16" i="1"/>
  <c r="Q30" i="1"/>
  <c r="Q44" i="1"/>
  <c r="X22" i="1"/>
  <c r="X36" i="1"/>
  <c r="W17" i="1"/>
  <c r="W31" i="1"/>
  <c r="W45" i="1"/>
  <c r="U22" i="1"/>
  <c r="U36" i="1"/>
  <c r="T17" i="1"/>
  <c r="T31" i="1"/>
  <c r="T45" i="1"/>
  <c r="R22" i="1"/>
  <c r="R36" i="1"/>
  <c r="Q17" i="1"/>
  <c r="Q31" i="1"/>
  <c r="Q45" i="1"/>
  <c r="O22" i="1"/>
  <c r="O36" i="1"/>
  <c r="N17" i="1"/>
  <c r="N32" i="1"/>
  <c r="L10" i="1"/>
  <c r="L24" i="1"/>
  <c r="L38" i="1"/>
  <c r="K15" i="1"/>
  <c r="K30" i="1"/>
  <c r="K45" i="1"/>
  <c r="N27" i="1"/>
  <c r="R10" i="1"/>
  <c r="Q34" i="1"/>
  <c r="O38" i="1"/>
  <c r="N35" i="1"/>
  <c r="L26" i="1"/>
  <c r="K17" i="1"/>
  <c r="X23" i="1"/>
  <c r="X37" i="1"/>
  <c r="W18" i="1"/>
  <c r="W32" i="1"/>
  <c r="W9" i="1"/>
  <c r="U23" i="1"/>
  <c r="U37" i="1"/>
  <c r="T18" i="1"/>
  <c r="T32" i="1"/>
  <c r="T9" i="1"/>
  <c r="R23" i="1"/>
  <c r="R37" i="1"/>
  <c r="Q18" i="1"/>
  <c r="Q32" i="1"/>
  <c r="Q9" i="1"/>
  <c r="O23" i="1"/>
  <c r="O37" i="1"/>
  <c r="N18" i="1"/>
  <c r="N34" i="1"/>
  <c r="L11" i="1"/>
  <c r="L25" i="1"/>
  <c r="L40" i="1"/>
  <c r="K16" i="1"/>
  <c r="K31" i="1"/>
  <c r="N41" i="1"/>
  <c r="T34" i="1"/>
  <c r="R38" i="1"/>
  <c r="O10" i="1"/>
  <c r="L12" i="1"/>
  <c r="L41" i="1"/>
  <c r="K27" i="1"/>
  <c r="K41" i="1"/>
  <c r="L1" i="1"/>
  <c r="C15" i="1"/>
  <c r="C16" i="1" s="1"/>
  <c r="C17" i="1" s="1"/>
  <c r="C18" i="1" s="1"/>
  <c r="C19" i="1" s="1"/>
  <c r="C20" i="1" s="1"/>
  <c r="C21" i="1" l="1"/>
  <c r="C22" i="1" s="1"/>
  <c r="C23" i="1" s="1"/>
  <c r="C24" i="1" s="1"/>
  <c r="C25" i="1" s="1"/>
  <c r="C26" i="1" s="1"/>
  <c r="C27" i="1" s="1"/>
  <c r="C28" i="1" l="1"/>
  <c r="C29" i="1" l="1"/>
  <c r="C30" i="1" s="1"/>
  <c r="C31" i="1" s="1"/>
  <c r="C32" i="1" s="1"/>
  <c r="C33" i="1" s="1"/>
  <c r="C34" i="1" s="1"/>
  <c r="C35" i="1" l="1"/>
  <c r="C36" i="1" l="1"/>
  <c r="C37" i="1" l="1"/>
  <c r="C38" i="1" l="1"/>
  <c r="C39" i="1" l="1"/>
  <c r="C40" i="1" l="1"/>
  <c r="C41" i="1" l="1"/>
  <c r="C42" i="1" l="1"/>
  <c r="C43" i="1" l="1"/>
  <c r="C44" i="1" s="1"/>
  <c r="C45" i="1" s="1"/>
  <c r="C46" i="1" s="1"/>
  <c r="C47" i="1" l="1"/>
  <c r="C48" i="1" s="1"/>
  <c r="C49" i="1" s="1"/>
  <c r="C50" i="1" s="1"/>
  <c r="C51" i="1" s="1"/>
  <c r="C52" i="1" s="1"/>
  <c r="C53" i="1" s="1"/>
  <c r="C54" i="1" l="1"/>
  <c r="C55" i="1" s="1"/>
  <c r="C56" i="1" s="1"/>
  <c r="C57" i="1" s="1"/>
  <c r="C58" i="1" s="1"/>
  <c r="C59" i="1" s="1"/>
  <c r="C60" i="1" s="1"/>
  <c r="C61" i="1" s="1"/>
  <c r="C62" i="1" l="1"/>
  <c r="C63" i="1" s="1"/>
  <c r="C64" i="1" s="1"/>
  <c r="C65" i="1" s="1"/>
  <c r="C66" i="1" s="1"/>
  <c r="C67" i="1" s="1"/>
  <c r="C68" i="1" s="1"/>
  <c r="C69" i="1" s="1"/>
  <c r="C70" i="1" l="1"/>
  <c r="C71" i="1" s="1"/>
  <c r="C72" i="1" s="1"/>
  <c r="C73" i="1" s="1"/>
  <c r="C74" i="1" s="1"/>
  <c r="C75" i="1" s="1"/>
  <c r="C76" i="1" s="1"/>
  <c r="C77" i="1" l="1"/>
  <c r="C78" i="1" s="1"/>
  <c r="C79" i="1" s="1"/>
  <c r="C80" i="1" s="1"/>
  <c r="C81" i="1" s="1"/>
  <c r="C82" i="1" s="1"/>
  <c r="C83" i="1" s="1"/>
  <c r="C84" i="1" l="1"/>
  <c r="C85" i="1" l="1"/>
  <c r="C86" i="1" s="1"/>
  <c r="C87" i="1" s="1"/>
  <c r="C88" i="1" s="1"/>
  <c r="C89" i="1" s="1"/>
  <c r="C90" i="1" s="1"/>
  <c r="C91" i="1" s="1"/>
  <c r="C92" i="1" l="1"/>
  <c r="C93" i="1" s="1"/>
  <c r="C94" i="1" s="1"/>
  <c r="C95" i="1" s="1"/>
  <c r="C96" i="1" s="1"/>
  <c r="C97" i="1" s="1"/>
  <c r="C98" i="1" s="1"/>
  <c r="C99" i="1" l="1"/>
  <c r="C100" i="1" s="1"/>
  <c r="C101" i="1" s="1"/>
  <c r="C102" i="1" s="1"/>
  <c r="C103" i="1" s="1"/>
  <c r="C104" i="1" s="1"/>
  <c r="C105" i="1" s="1"/>
  <c r="C106" i="1" l="1"/>
  <c r="C107" i="1" l="1"/>
  <c r="C108" i="1" l="1"/>
  <c r="C109" i="1" l="1"/>
  <c r="C110" i="1" l="1"/>
  <c r="C111" i="1" s="1"/>
  <c r="C112" i="1" s="1"/>
  <c r="C113" i="1" l="1"/>
  <c r="C114" i="1" l="1"/>
  <c r="C115" i="1" l="1"/>
  <c r="C116" i="1" s="1"/>
  <c r="C117" i="1" s="1"/>
  <c r="C118" i="1" s="1"/>
  <c r="C119" i="1" s="1"/>
  <c r="C120" i="1" s="1"/>
  <c r="C121" i="1" l="1"/>
  <c r="C122" i="1" s="1"/>
  <c r="C123" i="1" s="1"/>
  <c r="C124" i="1" s="1"/>
  <c r="C125" i="1" s="1"/>
  <c r="C126" i="1" s="1"/>
  <c r="C127" i="1" s="1"/>
  <c r="C128" i="1" s="1"/>
  <c r="C129" i="1" s="1"/>
  <c r="C130" i="1" s="1"/>
  <c r="C131" i="1" s="1"/>
  <c r="C132" i="1" s="1"/>
  <c r="C133" i="1" s="1"/>
  <c r="C134" i="1" s="1"/>
  <c r="C135" i="1" s="1"/>
  <c r="C136" i="1" s="1"/>
  <c r="C137" i="1" s="1"/>
  <c r="C138" i="1" s="1"/>
  <c r="C139" i="1" s="1"/>
  <c r="C140" i="1" s="1"/>
  <c r="C141" i="1" s="1"/>
  <c r="C142" i="1" s="1"/>
  <c r="C143" i="1" s="1"/>
  <c r="C144" i="1" s="1"/>
  <c r="C145" i="1" s="1"/>
  <c r="C146" i="1" s="1"/>
  <c r="C147" i="1" s="1"/>
  <c r="C148" i="1" s="1"/>
  <c r="C149" i="1" s="1"/>
  <c r="C150" i="1" s="1"/>
  <c r="C151" i="1" s="1"/>
  <c r="C152" i="1" s="1"/>
  <c r="C153" i="1" s="1"/>
  <c r="C154" i="1" s="1"/>
  <c r="C155" i="1" s="1"/>
  <c r="C156" i="1" s="1"/>
  <c r="C157" i="1" s="1"/>
  <c r="C158" i="1" s="1"/>
  <c r="C159" i="1" s="1"/>
  <c r="C160" i="1" s="1"/>
  <c r="C161" i="1" s="1"/>
  <c r="C162" i="1" s="1"/>
  <c r="C163" i="1" s="1"/>
  <c r="C164" i="1" s="1"/>
  <c r="C165" i="1" s="1"/>
  <c r="C166" i="1" s="1"/>
  <c r="C167" i="1" s="1"/>
  <c r="C168" i="1" s="1"/>
  <c r="C169" i="1" s="1"/>
  <c r="C170" i="1" s="1"/>
  <c r="C171" i="1" s="1"/>
  <c r="C172" i="1" s="1"/>
  <c r="C173" i="1" s="1"/>
  <c r="C174" i="1" s="1"/>
  <c r="C175" i="1" s="1"/>
  <c r="C176" i="1" s="1"/>
  <c r="C177" i="1" s="1"/>
  <c r="C178" i="1" s="1"/>
  <c r="C179" i="1" s="1"/>
  <c r="C180" i="1" s="1"/>
  <c r="C181" i="1" s="1"/>
  <c r="C182" i="1" s="1"/>
  <c r="C183" i="1" s="1"/>
  <c r="C184" i="1" s="1"/>
  <c r="C185" i="1" s="1"/>
  <c r="C186" i="1" s="1"/>
  <c r="C187" i="1" s="1"/>
  <c r="C188" i="1" s="1"/>
  <c r="C189" i="1" s="1"/>
  <c r="C190" i="1" s="1"/>
  <c r="C191" i="1" s="1"/>
  <c r="C192" i="1" s="1"/>
  <c r="C193" i="1" s="1"/>
  <c r="C194" i="1" s="1"/>
  <c r="C195" i="1" s="1"/>
  <c r="C196" i="1" s="1"/>
  <c r="C197" i="1" s="1"/>
  <c r="C198" i="1" s="1"/>
  <c r="C199" i="1" s="1"/>
  <c r="C200" i="1" s="1"/>
  <c r="B41" i="1" l="1" a="1"/>
  <c r="B41" i="1" s="1"/>
  <c r="B28" i="1" a="1"/>
  <c r="B28" i="1" s="1"/>
  <c r="B39" i="1" a="1"/>
  <c r="B39" i="1" s="1"/>
  <c r="B14" i="1" a="1"/>
  <c r="B14" i="1" s="1"/>
  <c r="B20" i="1" a="1"/>
  <c r="B20" i="1" s="1"/>
  <c r="B27" i="1" a="1"/>
  <c r="B27" i="1" s="1"/>
  <c r="B33" i="1" a="1"/>
  <c r="B33" i="1" s="1"/>
  <c r="B40" i="1" a="1"/>
  <c r="B40" i="1" s="1"/>
  <c r="B46" i="1" a="1"/>
  <c r="B46" i="1" s="1"/>
  <c r="B53" i="1" a="1"/>
  <c r="B53" i="1" s="1"/>
  <c r="B69" i="1" a="1"/>
  <c r="B69" i="1" s="1"/>
  <c r="B61" i="1" a="1"/>
  <c r="B61" i="1" s="1"/>
  <c r="B83" i="1" a="1"/>
  <c r="B83" i="1" s="1"/>
  <c r="B76" i="1" a="1"/>
  <c r="B76" i="1" s="1"/>
  <c r="B91" i="1" a="1"/>
  <c r="B91" i="1" s="1"/>
  <c r="B98" i="1" a="1"/>
  <c r="B98" i="1" s="1"/>
  <c r="B105" i="1" a="1"/>
  <c r="B105" i="1" s="1"/>
  <c r="B120" i="1" a="1"/>
  <c r="B120" i="1" s="1"/>
  <c r="B112" i="1" a="1"/>
  <c r="B112" i="1" s="1"/>
  <c r="L98" i="1" l="1"/>
  <c r="X98" i="1"/>
  <c r="AD98" i="1"/>
  <c r="W98" i="1" s="1"/>
  <c r="U98" i="1"/>
  <c r="AC98" i="1"/>
  <c r="T98" i="1" s="1"/>
  <c r="R98" i="1"/>
  <c r="AB98" i="1"/>
  <c r="Q98" i="1" s="1"/>
  <c r="O98" i="1"/>
  <c r="AA98" i="1"/>
  <c r="N98" i="1" s="1"/>
  <c r="Z98" i="1"/>
  <c r="K98" i="1" s="1"/>
  <c r="X61" i="1"/>
  <c r="AD61" i="1"/>
  <c r="W61" i="1" s="1"/>
  <c r="U61" i="1"/>
  <c r="AC61" i="1"/>
  <c r="T61" i="1" s="1"/>
  <c r="R61" i="1"/>
  <c r="AB61" i="1"/>
  <c r="Q61" i="1" s="1"/>
  <c r="O61" i="1"/>
  <c r="AA61" i="1"/>
  <c r="N61" i="1" s="1"/>
  <c r="Z61" i="1"/>
  <c r="K61" i="1" s="1"/>
  <c r="L61" i="1"/>
  <c r="Z69" i="1"/>
  <c r="K69" i="1" s="1"/>
  <c r="L69" i="1"/>
  <c r="X69" i="1"/>
  <c r="AD69" i="1"/>
  <c r="W69" i="1" s="1"/>
  <c r="U69" i="1"/>
  <c r="AC69" i="1"/>
  <c r="T69" i="1" s="1"/>
  <c r="R69" i="1"/>
  <c r="AB69" i="1"/>
  <c r="Q69" i="1" s="1"/>
  <c r="O69" i="1"/>
  <c r="AA69" i="1"/>
  <c r="N69" i="1" s="1"/>
  <c r="AB53" i="1"/>
  <c r="Q53" i="1" s="1"/>
  <c r="L53" i="1"/>
  <c r="AA53" i="1"/>
  <c r="N53" i="1" s="1"/>
  <c r="U53" i="1"/>
  <c r="AC53" i="1"/>
  <c r="T53" i="1" s="1"/>
  <c r="R53" i="1"/>
  <c r="X53" i="1"/>
  <c r="AD53" i="1"/>
  <c r="W53" i="1" s="1"/>
  <c r="O53" i="1"/>
  <c r="Z53" i="1"/>
  <c r="K53" i="1" s="1"/>
  <c r="X46" i="1"/>
  <c r="AD46" i="1"/>
  <c r="W46" i="1" s="1"/>
  <c r="U46" i="1"/>
  <c r="AC46" i="1"/>
  <c r="T46" i="1" s="1"/>
  <c r="R46" i="1"/>
  <c r="AB46" i="1"/>
  <c r="Q46" i="1" s="1"/>
  <c r="O46" i="1"/>
  <c r="AA46" i="1"/>
  <c r="N46" i="1" s="1"/>
  <c r="L46" i="1"/>
  <c r="Z46" i="1"/>
  <c r="K46" i="1" s="1"/>
  <c r="L112" i="1"/>
  <c r="X112" i="1"/>
  <c r="AD112" i="1"/>
  <c r="W112" i="1" s="1"/>
  <c r="U112" i="1"/>
  <c r="AC112" i="1"/>
  <c r="T112" i="1" s="1"/>
  <c r="R112" i="1"/>
  <c r="AB112" i="1"/>
  <c r="Q112" i="1" s="1"/>
  <c r="O112" i="1"/>
  <c r="AA112" i="1"/>
  <c r="N112" i="1" s="1"/>
  <c r="Z112" i="1"/>
  <c r="K112" i="1" s="1"/>
  <c r="Z33" i="1"/>
  <c r="K33" i="1" s="1"/>
  <c r="L33" i="1"/>
  <c r="X33" i="1"/>
  <c r="AD33" i="1"/>
  <c r="W33" i="1" s="1"/>
  <c r="U33" i="1"/>
  <c r="AC33" i="1"/>
  <c r="T33" i="1" s="1"/>
  <c r="R33" i="1"/>
  <c r="AB33" i="1"/>
  <c r="Q33" i="1" s="1"/>
  <c r="O33" i="1"/>
  <c r="AA33" i="1"/>
  <c r="N33" i="1" s="1"/>
  <c r="X120" i="1"/>
  <c r="AD120" i="1"/>
  <c r="W120" i="1" s="1"/>
  <c r="U120" i="1"/>
  <c r="AC120" i="1"/>
  <c r="T120" i="1" s="1"/>
  <c r="R120" i="1"/>
  <c r="AB120" i="1"/>
  <c r="Q120" i="1" s="1"/>
  <c r="O120" i="1"/>
  <c r="AA120" i="1"/>
  <c r="N120" i="1" s="1"/>
  <c r="Z120" i="1"/>
  <c r="K120" i="1" s="1"/>
  <c r="L120" i="1"/>
  <c r="Z20" i="1"/>
  <c r="K20" i="1" s="1"/>
  <c r="L20" i="1"/>
  <c r="X20" i="1"/>
  <c r="AD20" i="1"/>
  <c r="W20" i="1" s="1"/>
  <c r="U20" i="1"/>
  <c r="AC20" i="1"/>
  <c r="T20" i="1" s="1"/>
  <c r="R20" i="1"/>
  <c r="AB20" i="1"/>
  <c r="Q20" i="1" s="1"/>
  <c r="O20" i="1"/>
  <c r="AA20" i="1"/>
  <c r="N20" i="1" s="1"/>
  <c r="L14" i="1"/>
  <c r="X14" i="1"/>
  <c r="AD14" i="1"/>
  <c r="W14" i="1" s="1"/>
  <c r="U14" i="1"/>
  <c r="AC14" i="1"/>
  <c r="T14" i="1" s="1"/>
  <c r="R14" i="1"/>
  <c r="AB14" i="1"/>
  <c r="Q14" i="1" s="1"/>
  <c r="O14" i="1"/>
  <c r="AA14" i="1"/>
  <c r="N14" i="1" s="1"/>
  <c r="Z14" i="1"/>
  <c r="K14" i="1" s="1"/>
  <c r="L91" i="1"/>
  <c r="X91" i="1"/>
  <c r="AD91" i="1"/>
  <c r="W91" i="1" s="1"/>
  <c r="U91" i="1"/>
  <c r="AC91" i="1"/>
  <c r="T91" i="1" s="1"/>
  <c r="R91" i="1"/>
  <c r="AB91" i="1"/>
  <c r="Q91" i="1" s="1"/>
  <c r="O91" i="1"/>
  <c r="AA91" i="1"/>
  <c r="N91" i="1" s="1"/>
  <c r="Z91" i="1"/>
  <c r="K91" i="1" s="1"/>
  <c r="O39" i="1"/>
  <c r="X39" i="1"/>
  <c r="AD39" i="1"/>
  <c r="W39" i="1" s="1"/>
  <c r="U39" i="1"/>
  <c r="AC39" i="1"/>
  <c r="T39" i="1" s="1"/>
  <c r="R39" i="1"/>
  <c r="AB39" i="1"/>
  <c r="Q39" i="1" s="1"/>
  <c r="AA39" i="1"/>
  <c r="N39" i="1" s="1"/>
  <c r="Z39" i="1"/>
  <c r="K39" i="1" s="1"/>
  <c r="L39" i="1"/>
  <c r="L76" i="1"/>
  <c r="X76" i="1"/>
  <c r="AD76" i="1"/>
  <c r="W76" i="1" s="1"/>
  <c r="U76" i="1"/>
  <c r="AC76" i="1"/>
  <c r="T76" i="1" s="1"/>
  <c r="R76" i="1"/>
  <c r="AB76" i="1"/>
  <c r="Q76" i="1" s="1"/>
  <c r="O76" i="1"/>
  <c r="AA76" i="1"/>
  <c r="N76" i="1" s="1"/>
  <c r="Z76" i="1"/>
  <c r="K76" i="1" s="1"/>
  <c r="L28" i="1"/>
  <c r="X28" i="1"/>
  <c r="AD28" i="1"/>
  <c r="W28" i="1" s="1"/>
  <c r="U28" i="1"/>
  <c r="AC28" i="1"/>
  <c r="T28" i="1" s="1"/>
  <c r="R28" i="1"/>
  <c r="AB28" i="1"/>
  <c r="Q28" i="1" s="1"/>
  <c r="O28" i="1"/>
  <c r="AA28" i="1"/>
  <c r="N28" i="1" s="1"/>
  <c r="Z28" i="1"/>
  <c r="K28" i="1" s="1"/>
  <c r="Z105" i="1"/>
  <c r="K105" i="1" s="1"/>
  <c r="L105" i="1"/>
  <c r="X105" i="1"/>
  <c r="AD105" i="1"/>
  <c r="W105" i="1" s="1"/>
  <c r="U105" i="1"/>
  <c r="AC105" i="1"/>
  <c r="T105" i="1" s="1"/>
  <c r="R105" i="1"/>
  <c r="AB105" i="1"/>
  <c r="Q105" i="1" s="1"/>
  <c r="O105" i="1"/>
  <c r="AA105" i="1"/>
  <c r="N105" i="1" s="1"/>
  <c r="O83" i="1"/>
  <c r="X83" i="1"/>
  <c r="AD83" i="1"/>
  <c r="W83" i="1" s="1"/>
  <c r="U83" i="1"/>
  <c r="AC83" i="1"/>
  <c r="T83" i="1" s="1"/>
  <c r="R83" i="1"/>
  <c r="AB83" i="1"/>
  <c r="Q83" i="1" s="1"/>
  <c r="Z83" i="1"/>
  <c r="K83" i="1" s="1"/>
  <c r="L83" i="1"/>
  <c r="AA83" i="1"/>
  <c r="N8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<sst xmlns="http://schemas.openxmlformats.org/spreadsheetml/2006/main" count="2248" uniqueCount="735">
  <si>
    <t>Stage 1</t>
  </si>
  <si>
    <t xml:space="preserve">Coding5s: </t>
  </si>
  <si>
    <t>AI-Powered Fast Track to Advanced Coding System</t>
  </si>
  <si>
    <t>Stage 1:</t>
  </si>
  <si>
    <t>Stage 2:</t>
  </si>
  <si>
    <t>Stage 3:</t>
  </si>
  <si>
    <t>Stage 4:</t>
  </si>
  <si>
    <t>Stage 5:</t>
  </si>
  <si>
    <t>Learning Now:</t>
  </si>
  <si>
    <t>Python</t>
  </si>
  <si>
    <t>Initial learning path</t>
  </si>
  <si>
    <t>Debugging broken code</t>
  </si>
  <si>
    <t>Completing blank code lines</t>
  </si>
  <si>
    <t>Cleaning dirty working code</t>
  </si>
  <si>
    <t>Expanding good working code</t>
  </si>
  <si>
    <t>Has Synthetic Dataset:</t>
  </si>
  <si>
    <t>No Dataset:</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</si>
  <si>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</si>
  <si>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</si>
  <si>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</si>
  <si>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</si>
  <si>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</si>
  <si>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</si>
  <si>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</si>
  <si>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</si>
  <si>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</si>
  <si>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</si>
  <si>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</si>
  <si>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</si>
  <si>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</si>
  <si>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</si>
  <si>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</si>
  <si>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</si>
  <si>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</si>
  <si>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</si>
  <si>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</si>
  <si>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</si>
  <si>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</si>
  <si>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</si>
  <si>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</si>
  <si>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</si>
  <si>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</si>
  <si>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</si>
  <si>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</si>
  <si>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</si>
  <si>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</si>
  <si>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</si>
  <si>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</si>
  <si>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</si>
  <si>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</si>
  <si>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</si>
  <si>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</si>
  <si>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</si>
  <si>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</si>
  <si>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</si>
  <si>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</si>
  <si>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</si>
  <si>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</si>
  <si>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</si>
  <si>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</si>
  <si>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</si>
  <si>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</si>
  <si>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</si>
  <si>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</si>
  <si>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</si>
  <si>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</si>
  <si>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</si>
  <si>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</si>
  <si>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</si>
  <si>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</si>
  <si>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</si>
  <si>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</si>
  <si>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</si>
  <si>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</si>
  <si>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</si>
  <si>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</si>
  <si>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</si>
  <si>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</si>
  <si>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</si>
  <si>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</si>
  <si>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N/A</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</si>
  <si>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</si>
  <si>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</si>
  <si>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</si>
  <si>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</si>
  <si>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</si>
  <si>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</si>
  <si>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</si>
  <si>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</si>
  <si>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</si>
  <si>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[ENVIRONMENT CONSTRAINT]: This topic uses input(). You MUST inject a visible Markdown warning at the very beginning of your challenges stating that standard stdin is restricted in Livebooks and they should use online-python.com in their right-hand window if they want to test interactive streams. Also inform: **Please note that ALL other topics and lessons in this curriculum work flawlessly without any execution bugs in Livebook.**</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</si>
  <si>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</si>
  <si>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</si>
  <si>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</si>
  <si>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</si>
  <si>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</si>
  <si>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</si>
  <si>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</si>
  <si>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</si>
  <si>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</si>
  <si>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</si>
  <si>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</si>
  <si>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</si>
  <si>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</si>
  <si>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</si>
  <si>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</si>
  <si>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</si>
  <si>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</si>
  <si>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</si>
  <si>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</si>
  <si>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</si>
  <si>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</si>
  <si>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</si>
  <si>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</si>
  <si>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</si>
  <si>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</si>
  <si>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</si>
  <si>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</si>
  <si>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</si>
  <si>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</si>
  <si>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</si>
  <si>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</si>
  <si>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</si>
  <si>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</si>
  <si>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</si>
  <si>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</si>
  <si>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</si>
  <si>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</si>
  <si>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</si>
  <si>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</si>
  <si>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</si>
  <si>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</si>
  <si>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</si>
  <si>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</si>
  <si>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</si>
  <si>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</si>
  <si>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</si>
  <si>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</si>
  <si>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</si>
  <si>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</si>
  <si>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</si>
  <si>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</si>
  <si>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</si>
  <si>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</si>
  <si>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</si>
  <si>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</si>
  <si>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</si>
  <si>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</si>
  <si>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</si>
  <si>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</si>
  <si>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</si>
  <si>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</si>
  <si>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</si>
  <si>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</si>
  <si>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</si>
  <si>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</si>
  <si>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</si>
  <si>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</si>
  <si>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</si>
  <si>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</si>
  <si>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</si>
  <si>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</si>
  <si>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</si>
  <si>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</si>
  <si>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</si>
  <si>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</si>
  <si>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</si>
  <si>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</si>
  <si>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</si>
  <si>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</si>
  <si>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</si>
  <si>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</si>
  <si>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</si>
  <si>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</si>
  <si>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</si>
  <si>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</si>
  <si>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</si>
  <si>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</si>
  <si>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</si>
  <si>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</si>
  <si>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</si>
  <si>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</si>
  <si>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</si>
  <si>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EXACTLY " &amp; D9 &amp; "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t>
  </si>
  <si>
    <t>[CODE CONSTRAINTS]</t>
  </si>
  <si>
    <t>[SYNTAX CONFIGURATION RULE]</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</si>
  <si>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</si>
  <si>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</si>
  <si>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</si>
  <si>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</si>
  <si>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</si>
  <si>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</si>
  <si>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</si>
  <si>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</si>
  <si>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</si>
  <si>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</si>
  <si>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Use correct loaders and enforce encoding='utf-8' and newline='' when applicable | " &amp;</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</si>
  <si>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</si>
  <si>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</si>
  <si>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</si>
  <si>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</si>
  <si>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</si>
  <si>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</si>
  <si>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</si>
  <si>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</si>
  <si>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</si>
  <si>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</si>
  <si>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</si>
  <si>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</si>
  <si>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</si>
  <si>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</si>
  <si>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</si>
  <si>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</si>
  <si>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</si>
  <si>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</si>
  <si>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</si>
  <si>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</si>
  <si>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</si>
  <si>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</si>
  <si>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</si>
  <si>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</si>
  <si>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</si>
  <si>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</si>
  <si>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</si>
  <si>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</si>
  <si>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</si>
  <si>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</si>
  <si>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</si>
  <si>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</si>
  <si>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</si>
  <si>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</si>
  <si>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</si>
  <si>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</si>
  <si>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</si>
  <si>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</si>
  <si>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Include a short tutor-style sentence in " &amp; $B$6 &amp; " before the analogy, followed by this EXACT instruction block translated to " &amp; $B$6 &amp; ": '🚨 **Your objective in this lesson:** To truly learn the new  " &amp; $I$2 &amp; "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t>
  </si>
  <si>
    <t>Code MUST be clean, readable, educational, executable, and produce correct and accurate results | " &amp;</t>
  </si>
  <si>
    <t>=IF(H9="Topic",</t>
  </si>
  <si>
    <t>[LIBRARY BEING LEARNED]</t>
  </si>
  <si>
    <t>If a library or ecosystem like pandas or numpy is specified in [LIBRARY BEING LEARNED], you are CRITICALLY FORBIDDEN from using pure " &amp; $I$2 &amp; " iterative loops (for/while). You MUST enforce the native, optimized data structures and vectorized operations of that specific library | " &amp;</t>
  </si>
  <si>
    <t>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t>
  </si>
  <si>
    <t>[WILDCARD SPACE]</t>
  </si>
  <si>
    <t>[EXECUTIVE CONSTRAINTS]</t>
  </si>
  <si>
    <t>Each example MUST include: - Internal data OR dataset usage - Print key intermediate steps and the final result - MUST NOT exceed exactly " &amp; $A9 &amp; " lines of EXECUTABLE code (STRICT: Do NOT count comments or blank lines). - NEVER exceed this limit. | " &amp;</t>
  </si>
  <si>
    <t>This: " &amp; IF(F9&gt;=10, "Monetary values formatted with '$', commas, 2 decimals using f-strings.", "Print raw numeric outputs directly without forcing custom monetary formatting structures yet.")&amp;" | " &amp;</t>
  </si>
  <si>
    <t>Include Key Takeaway section at the end | " &amp; IF(AJ9&lt;&gt;"", AJ9, "") &amp;" | " &amp;</t>
  </si>
  <si>
    <t>This: " &amp; IF(F9&gt;=10, "You MUST format output strings elegantly using f-strings natively.", "CRITICAL PROHIBITION: Do NOT use f-strings (f""..."") or any advanced text formatting methods yet. Use basic print() with multiple arguments separated by commas for text labels and variables.")&amp;" | " &amp;</t>
  </si>
  <si>
    <t>End your entire response EXACTLY with this markdown string (ensure all code blocks are closed before it): ⚡ *Coding5s System — Learn Programming by Writing Code* | ",</t>
  </si>
  <si>
    <t>STRICT ARCHITECTURE: " &amp; IF(G9="Beginner","Do NOT use functions unless absolutely required by the concept. Use flat, linear scripts. ",IF(G9="Intermediate","MUST use modular functions. Encapsulate logic in def blocks. ","MUST use modular functions. ABSOLUTELY PROHIBITED: Flat linear scripts. All logic must be contained within callable functions with clear entry points.")) &amp; " | " &amp;</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</si>
  <si>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</si>
  <si>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</si>
  <si>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</si>
  <si>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</si>
  <si>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</si>
  <si>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</si>
  <si>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</si>
  <si>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</si>
  <si>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</si>
  <si>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[ARCHITECTURAL CONSTRAINTS]</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</si>
  <si>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</si>
  <si>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</si>
  <si>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</si>
  <si>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You are helping a Junior Developer who is " &amp; IF(UPPER(H9)="PROJECT", "building a PROJECT: " &amp; I9 &amp; ". Topics applied in this project: " &amp; B9 &amp; ". Project objective: " &amp; J9, "learning: " &amp; I9 &amp; ". Topic details: " &amp; J9) &amp; "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</si>
  <si>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</si>
  <si>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</si>
  <si>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</si>
  <si>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</si>
  <si>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</si>
  <si>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IF(AJ9&lt;&gt;"", "[MENTOR CONTEXT ALERT] Be aware of the following infrastructure limitation for this exercise: " &amp; AJ9 &amp; " Use this knowledge to reassure the student if they present an environment error. | ", "") &amp; " | " &amp;</t>
  </si>
  <si>
    <t>"&amp; IF(G9="Beginner","Do NOT use functions unless absolutely required by the concept. Use flat, linear scripts. NO classes. ", IF(G9="Intermediate","MUST use modular functions ONLY IF the student attempted them or the exercise explicitly demands it. Do NOT over-refactor flat scripts just to make them modular. NO classes. ","MUST use modular functions appropriately for architecture and clarity. ")) &amp; "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</si>
  <si>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</si>
  <si>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</si>
  <si>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</si>
  <si>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 &amp; B9 &amp; " | " &amp;</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</si>
  <si>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</si>
  <si>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</si>
  <si>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</si>
  <si>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</si>
  <si>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[ARCHITECTURE &amp; COMMENT RULE - STRICT]</t>
  </si>
  <si>
    <t>Handle real-world data safely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</si>
  <si>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</si>
  <si>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</si>
  <si>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</si>
  <si>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</si>
  <si>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</si>
  <si>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</si>
  <si>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</si>
  <si>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</si>
  <si>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MUST be between " &amp; IF(G9="Beginner", "25–40", IF(G9="Intermediate", "30–60", "40–100")) &amp; " lines (STRICT) - Multi-step flow " &amp; IF(G9&lt;&gt;"Advanced", "- NO classes ", "") &amp; " | " &amp;</t>
  </si>
  <si>
    <t>" &amp; IF(G9="Beginner", "Avoid functions unless required. Use flat, linear scripts. ", IF(G9="Intermediate", "MUST use modular functions with a main() entry point. ", "MUST use well-structured modular functions with a main() entry point. " )) &amp; " | " &amp;</t>
  </si>
  <si>
    <t>Target Library:</t>
  </si>
  <si>
    <t>" &amp; $I$3 &amp; " | " &amp;</t>
  </si>
  <si>
    <t>Teach through a practical " &amp; $I$2 &amp; " - " &amp; $I$3 &amp; " project following the micro-learning methodology, acting as a supportive tutor, creating a project about  " &amp; I9 &amp; " | " &amp;</t>
  </si>
  <si>
    <t>updated</t>
  </si>
  <si>
    <t>Mentor Stage 1</t>
  </si>
  <si>
    <t>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t>
  </si>
  <si>
    <t>IF an external configuration or data file is needed, include: 1. Short instructional sentence 2. File content in markdown code block 3. Place it strictly BEFORE the main code. | " &amp;</t>
  </si>
  <si>
    <t>New Programming Language - Paradigm &amp; Ecosystem - Rules Generator Prompt</t>
  </si>
  <si>
    <t>Documentation: New Programming Language - Paradigm &amp; Ecosystem - Rules Generator Prompt</t>
  </si>
  <si>
    <t>Stage 2</t>
  </si>
  <si>
    <t>The Immutable Kernel</t>
  </si>
  <si>
    <t>Careless " &amp; $I$2 &amp; " Developer</t>
  </si>
  <si>
    <t>Generate debugging challenges in " &amp; $I$2 &amp; " |</t>
  </si>
  <si>
    <t>" &amp; I9 &amp; " |</t>
  </si>
  <si>
    <t>" &amp; G9 &amp; " |</t>
  </si>
  <si>
    <t>" &amp; D9 &amp; " challenges</t>
  </si>
  <si>
    <t>Use correct loaders and enforce encoding='utf-8' and newline='' when applicable</t>
  </si>
  <si>
    <t>Explicit casting required before comparisons or calculations</t>
  </si>
  <si>
    <t>[ENV USAGE RULE]</t>
  </si>
  <si>
    <t>Environment variables may be used but bugs MUST exist ONLY in code logic, NEVER in config files</t>
  </si>
  <si>
    <t>Each challenge MUST include: - Internal data OR dataset usage (based on DATA RULE) - At least 1 loop (when applicable) - At least 1 print statement - " &amp; IF(G9="Beginner", "5–15", IF(G9="Intermediate", "10–25", "15–35")) &amp; " lines of EXECUTABLE code per example (STRICT: Do NOT count blank lines towards this limit) " &amp; IF(G9&lt;&gt;"Advanced", "- NO classes ", "") &amp; "- EXACTLY 1 function - EXACTLY 1 function call - NO global executable code EXCEPT the single function call</t>
  </si>
  <si>
    <t>The intro MUST be a dynamically generated, urgent, unprofessional email in " &amp; $B$6 &amp; " with this EXACT format: '📥 From: [Random Dev Name]' / '📤 To: [Insert my user name if you know it from context, otherwise use " &amp; $I$2 &amp; "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 '🚨 Your objective in this lesson: You must copy the code blocks from each Challenge exactly as they are and paste them into your IDE. Then you have to fix all the errors in the code until you achieve the exact Expected Output when running the program.' | " &amp;</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</si>
  <si>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</si>
  <si>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</si>
  <si>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</si>
  <si>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</si>
  <si>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</si>
  <si>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</si>
  <si>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</si>
  <si>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</si>
  <si>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</si>
  <si>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</si>
  <si>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</si>
  <si>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</si>
  <si>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</si>
  <si>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</si>
  <si>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</si>
  <si>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</si>
  <si>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</si>
  <si>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t>
  </si>
  <si>
    <t>Code must fail due to syntax errors, runtime exceptions, or produce incorrect output</t>
  </si>
  <si>
    <t>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</si>
  <si>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</si>
  <si>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</si>
  <si>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</si>
  <si>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</si>
  <si>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</si>
  <si>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</si>
  <si>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</si>
  <si>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</si>
  <si>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</si>
  <si>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</si>
  <si>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</si>
  <si>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</si>
  <si>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</si>
  <si>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</si>
  <si>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</si>
  <si>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</si>
  <si>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</si>
  <si>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</si>
  <si>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</si>
  <si>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If a library or ecosystem like pandas or numpy is specified in [LIBRARY BEING LEARNED], you are CRITICALLY FORBIDDEN from using pure " &amp; $I$2 &amp; " iterative loops (for/while). You MUST enforce the native, optimized data structures and vectorized operations of that specific library</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</si>
  <si>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</si>
  <si>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</si>
  <si>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</si>
  <si>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Include 5–7 bugs. You MUST use a mix of Syntax errors (like typos, missing brackets, indentation errors), Logic errors (produces wrong output), AND common Runtime Exceptions (e.g., TypeError, ValueError, ZeroDivisionError, IndexError, KeyError). Simulate real mistakes a junior developer would make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</si>
  <si>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</si>
  <si>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</si>
  <si>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</si>
  <si>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</si>
  <si>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</si>
  <si>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</si>
  <si>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</si>
  <si>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</si>
  <si>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</si>
  <si>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</si>
  <si>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</si>
  <si>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</si>
  <si>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Code MUST be explicitly PEP 8 compliant. Use descriptive snake_case for variables and functions. NEVER use mutable default arguments (like lists or dicts) in function definitions; use None instead. Ensure proper indentation (4 spaces). Emphasize readability and 'The Zen of Python'.</t>
  </si>
  <si>
    <t>[FOOTER RULE]</t>
  </si>
  <si>
    <t>You are helping a Junior Developer debug a " &amp; IF(UPPER(H9)="PROJECT", "PROJECT: " &amp; I9 &amp; ". Topics involved: " &amp; B9 &amp; ". Project objective: " &amp; J9, "TOPIC: " &amp; I9 &amp; ". Topic details: " &amp; J9) &amp; " | " &amp;</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</si>
  <si>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</si>
  <si>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</si>
  <si>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</si>
  <si>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</si>
  <si>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</si>
  <si>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</si>
  <si>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</si>
  <si>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</si>
  <si>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</si>
  <si>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[PROGRAMMING LANGUAGE RULE]</t>
  </si>
  <si>
    <t>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t>
  </si>
  <si>
    <t>[FILE PROCESSING RULE]</t>
  </si>
  <si>
    <t>Use standard native libraries for " &amp; $I$2 &amp; " to parse the file type correctly. Adapt code to data structure (tabular, key-value, etc.). Dataset exists locally with original filename.</t>
  </si>
  <si>
    <t>MUST be between " &amp; IF(G9="Beginner", "5–15", IF(G9="Intermediate", "10–25", "15–35")) &amp; " lines of EXECUTABLE code (STRICT: Do NOT count comments or TODOs) - Length MUST vary across challenges - EXACTLY 1 function - EXACTLY 1 function call - NO classes - NO multiple functions - NO global code EXCEPT the single function call</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</si>
  <si>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</si>
  <si>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</si>
  <si>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</si>
  <si>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</si>
  <si>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</si>
  <si>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</si>
  <si>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</si>
  <si>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</si>
  <si>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</si>
  <si>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</si>
  <si>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</si>
  <si>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</si>
  <si>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</si>
  <si>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</si>
  <si>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</si>
  <si>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</si>
  <si>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</si>
  <si>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</si>
  <si>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</si>
  <si>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</si>
  <si>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</si>
  <si>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</si>
  <si>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</si>
  <si>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</si>
  <si>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</si>
  <si>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</si>
  <si>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</si>
  <si>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</si>
  <si>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</si>
  <si>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MUST be between " &amp; IF(G9="Beginner", "25–40", IF(G9="Intermediate", "30–60", "40–100")) &amp; " lines of EXECUTABLE code (STRICT: Do NOT count comments or TODOs) - Multi-step flow - Max 2 functions - NO OOP / classes</t>
  </si>
  <si>
    <t>Use standard native libraries for " &amp; $I$2 &amp; " to parse the file type correctly. Adapt code to data structure. Dataset exists locally with original filename.</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</si>
  <si>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</si>
  <si>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</si>
  <si>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</si>
  <si>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</si>
  <si>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</si>
  <si>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</si>
  <si>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</si>
  <si>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</si>
  <si>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</si>
  <si>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</si>
  <si>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</si>
  <si>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</si>
  <si>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</si>
  <si>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</si>
  <si>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</si>
  <si>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</si>
  <si>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You are helping a Junior Developer complete a " &amp; IF(UPPER(H9)="PROJECT", "PROJECT: " &amp; I9 &amp; ". Topics involved: " &amp; B9 &amp; ". Project objective: " &amp; J9, "TOPIC: " &amp; I9 &amp; ". Topic details: " &amp; J9) &amp; " | " &amp;</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</si>
  <si>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</si>
  <si>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</si>
  <si>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</si>
  <si>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</si>
  <si>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</si>
  <si>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</si>
  <si>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</si>
  <si>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</si>
  <si>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</si>
  <si>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</si>
  <si>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</si>
  <si>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</si>
  <si>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</si>
  <si>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</si>
  <si>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</si>
  <si>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Explicit casting required before calculations</t>
  </si>
  <si>
    <t>Handle missing, malformed, or inconsistent data safely</t>
  </si>
  <si>
    <t>Normalize boolean values before comparison</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</si>
  <si>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</si>
  <si>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</si>
  <si>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</si>
  <si>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</si>
  <si>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</si>
  <si>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</si>
  <si>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</si>
  <si>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</si>
  <si>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</si>
  <si>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</si>
  <si>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</si>
  <si>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</si>
  <si>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</si>
  <si>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</si>
  <si>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</si>
  <si>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Rule: " &amp; IF(G9="Beginner", "Do NOT use functions unless absolutely required by the concept. Use linear scripts. ", IF(G9="Intermediate", "Functions are optional. Use them only if they improve clarity. Avoid over-engineering. ", "Use functions appropriately but code can still be messy. " )) &amp; " | " &amp;</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</si>
  <si>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</si>
  <si>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</si>
  <si>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</si>
  <si>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</si>
  <si>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</si>
  <si>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</si>
  <si>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</si>
  <si>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</si>
  <si>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</si>
  <si>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</si>
  <si>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</si>
  <si>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</si>
  <si>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</si>
  <si>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</si>
  <si>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Rule: " &amp; IF(G9="Beginner", "Avoid functions unless required. ", IF(G9="Intermediate", "Functions optional. ", "Use 2–4 functions but code can still be messy. " )) &amp; " | " &amp;</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</si>
  <si>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</si>
  <si>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</si>
  <si>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</si>
  <si>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You are performing a Code Review for a " &amp; IF(UPPER(H9)="PROJECT", "PROJECT: " &amp; I9 &amp; ". Topics involved: " &amp; B9 &amp; ". Project objective: " &amp; J9, "TOPIC: " &amp; I9 &amp; ". Topic details: " &amp; J9) &amp; " | " &amp;</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</si>
  <si>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</si>
  <si>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</si>
  <si>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</si>
  <si>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</si>
  <si>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</si>
  <si>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</si>
  <si>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</si>
  <si>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</si>
  <si>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</si>
  <si>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</si>
  <si>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</si>
  <si>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</si>
  <si>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</si>
  <si>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</si>
  <si>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</si>
  <si>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</si>
  <si>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</si>
  <si>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</si>
  <si>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</si>
  <si>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</si>
  <si>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</si>
  <si>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</si>
  <si>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</si>
  <si>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</si>
  <si>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</si>
  <si>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</si>
  <si>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</si>
  <si>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</si>
  <si>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</si>
  <si>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</si>
  <si>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</si>
  <si>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</si>
  <si>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</si>
  <si>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</si>
  <si>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</si>
  <si>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</si>
  <si>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Use correct loaders and enforce encoding='utf-8' and newline=' when applicable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</si>
  <si>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</si>
  <si>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</si>
  <si>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</si>
  <si>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</si>
  <si>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classes - NO unnecessary complexity</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</si>
  <si>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</si>
  <si>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</si>
  <si>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</si>
  <si>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</si>
  <si>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</si>
  <si>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</si>
  <si>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</si>
  <si>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</si>
  <si>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</si>
  <si>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</si>
  <si>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</si>
  <si>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</si>
  <si>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You are reviewing the final implementation of a new feature for a " &amp; IF(UPPER(H9)="PROJECT", "PROJECT: " &amp; I9 &amp; ". Topics integrated: " &amp; B9 &amp; ". Business Goal: " &amp; J9, "TOPIC: " &amp; I9 &amp; ". Goal: " &amp; J9) &amp; " | " &amp;</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</si>
  <si>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</si>
  <si>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</si>
  <si>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</si>
  <si>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</si>
  <si>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</si>
  <si>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</si>
  <si>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</si>
  <si>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</si>
  <si>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</si>
  <si>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</si>
  <si>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</si>
  <si>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</si>
  <si>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</si>
  <si>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</si>
  <si>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</si>
  <si>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</si>
  <si>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</si>
  <si>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</si>
  <si>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</si>
  <si>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</si>
  <si>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</si>
  <si>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</si>
  <si>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</si>
  <si>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</si>
  <si>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</si>
  <si>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</si>
  <si>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</si>
  <si>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</si>
  <si>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</si>
  <si>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</si>
  <si>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</si>
  <si>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</si>
  <si>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</si>
  <si>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</si>
  <si>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</si>
  <si>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</si>
  <si>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</si>
  <si>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</si>
  <si>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</si>
  <si>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Single logical flow (no unnecessary complexity) - CRITICAL PROHIBITION: Do NOT include 'if __name__ == '__main__':' blocks or 'pass' statements. Write scripts as flat, top-level execution flows.</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</si>
  <si>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</si>
  <si>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</si>
  <si>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</si>
  <si>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</si>
  <si>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</si>
  <si>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</si>
  <si>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</si>
  <si>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</si>
  <si>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</si>
  <si>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</si>
  <si>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</si>
  <si>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</si>
  <si>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</si>
  <si>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</si>
  <si>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</si>
  <si>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</si>
  <si>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</si>
  <si>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</si>
  <si>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</si>
  <si>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</si>
  <si>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</si>
  <si>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</si>
  <si>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</si>
  <si>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</si>
  <si>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</si>
  <si>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</si>
  <si>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</si>
  <si>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</si>
  <si>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</si>
  <si>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</si>
  <si>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</si>
  <si>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</si>
  <si>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</si>
  <si>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</si>
  <si>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</si>
  <si>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</si>
  <si>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</si>
  <si>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</si>
  <si>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</si>
  <si>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</si>
  <si>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</si>
  <si>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</si>
  <si>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</si>
  <si>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</si>
  <si>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</si>
  <si>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</si>
  <si>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</si>
  <si>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</si>
  <si>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</si>
  <si>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</si>
  <si>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</si>
  <si>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</si>
  <si>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</si>
  <si>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</si>
  <si>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</si>
  <si>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</si>
  <si>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</si>
  <si>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</si>
  <si>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</si>
  <si>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</si>
  <si>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</si>
  <si>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</si>
  <si>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</si>
  <si>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</si>
  <si>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</si>
  <si>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</si>
  <si>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</si>
  <si>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</si>
  <si>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</si>
  <si>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</si>
  <si>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</si>
  <si>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</si>
  <si>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</si>
  <si>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</si>
  <si>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</si>
  <si>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u</t>
  </si>
  <si>
    <t>Execute basic GET requests using httpx.get to retrieve web page data and evaluate the status_code to confirm successful connections</t>
  </si>
  <si>
    <t>Executing Basic GET Requests (requests.get, .status_code)</t>
  </si>
  <si>
    <t>Read and extract the payload from httpx responses using .text for string formatting and .content for raw byte extraction</t>
  </si>
  <si>
    <t>Reading Response Content (.text, .content)</t>
  </si>
  <si>
    <t>Parse structured JSON payloads from API responses by utilizing the .json() method in httpx to convert text data into native Python dictionaries</t>
  </si>
  <si>
    <t>Parsing JSON Responses (.json())</t>
  </si>
  <si>
    <t>Append dynamic query strings to endpoint URLs by passing a Python dictionary to the params argument in httpx requests</t>
  </si>
  <si>
    <t>Passing URL Query Parameters (params dictionary)</t>
  </si>
  <si>
    <t>Inspect HTTP response metadata by accessing the .headers, .url, and .encoding attributes of an httpx response object to understand server configurations</t>
  </si>
  <si>
    <t>Inspecting Response Metadata (.headers, .url, .encoding)</t>
  </si>
  <si>
    <t>Yes</t>
  </si>
  <si>
    <t>Build a simple API data fetcher using httpx that takes a public REST endpoint as input, processes basic GET requests to retrieve JSON data, and outputs formatted textual information to the user</t>
  </si>
  <si>
    <t>Project 1: Simple API Data Fetcher</t>
  </si>
  <si>
    <t>Load environment variables securely for httpx scripts by implementing python-dotenv functions like load_dotenv and os.getenv to protect sensitive API credentials</t>
  </si>
  <si>
    <t>Introduction to python-dotenv (load_dotenv, os.getenv)</t>
  </si>
  <si>
    <t>Customize HTTP request headers in httpx by passing a dictionary to the headers parameter to specify accepted content types or simulate specific browser user agents</t>
  </si>
  <si>
    <t>Customizing Request Headers (headers dictionary)</t>
  </si>
  <si>
    <t>Implement Basic Authentication in httpx requests by supplying a secure username and password tuple to the auth parameter to access protected endpoints</t>
  </si>
  <si>
    <t>Implementing Basic Authentication (auth tuple)</t>
  </si>
  <si>
    <t>Authenticate API requests using Bearer Tokens by manually injecting the authorization string into the custom headers dictionary within an httpx request payload</t>
  </si>
  <si>
    <t>Implementing Bearer Token Authentication (via custom headers)</t>
  </si>
  <si>
    <t>Handle HTTP error codes automatically by invoking the raise_for_status() method on an httpx response object to trigger Python exceptions for failed or rejected requests</t>
  </si>
  <si>
    <t>Handling HTTP Errors Automatically (raise_for_status())</t>
  </si>
  <si>
    <t>Build a secure API client that takes hidden API keys loaded via dotenv as input, processes secure httpx requests using customized headers and authentication protocols, and outputs verified data from protected endpoints</t>
  </si>
  <si>
    <t>Project 2: Secure API Client (Dotenv, Auth, Headers)</t>
  </si>
  <si>
    <t>Transmit form-encoded data to remote servers by executing POST requests with httpx.post and passing a formatted Python dictionary to the data parameter</t>
  </si>
  <si>
    <t>Sending Form-Encoded Data with POST (data parameter)</t>
  </si>
  <si>
    <t>Send structured JSON payloads to RESTful APIs by utilizing the json parameter in httpx.post requests to automatically serialize Python dictionaries and set correct headers</t>
  </si>
  <si>
    <t>Sending JSON Data with POST (json parameter)</t>
  </si>
  <si>
    <t>Manipulate server-side resources by executing httpx.put, httpx.patch, and httpx.delete HTTP methods to update, modify, or permanently remove API data records</t>
  </si>
  <si>
    <t>Modifying and Deleting Resources (requests.put, .patch, .delete)</t>
  </si>
  <si>
    <t>Debug outgoing HTTP traffic by inspecting the .request.headers and .request.content attributes of a completed httpx response to verify the exact payload transmitted to the server</t>
  </si>
  <si>
    <t>Inspecting the Prepared Request (response.request.headers, .body)</t>
  </si>
  <si>
    <t>Enforce strict network constraints by configuring the timeout parameter in httpx requests to prevent hanging connections and ensure predictable application execution times</t>
  </si>
  <si>
    <t>Enforcing Request Timeouts (timeout parameter)</t>
  </si>
  <si>
    <t>Implement robust error handling by wrapping httpx client calls in try-except blocks to gracefully catch and log specific network exceptions such as httpx.TimeoutException and httpx.RequestError</t>
  </si>
  <si>
    <t>Catching Network Exceptions (Timeout, ConnectionError, RequestException)</t>
  </si>
  <si>
    <t>Extract comprehensive datasets across multiple API pages by implementing while loops alongside httpx requests to systematically parse and follow pagination cursors or next-page link headers</t>
  </si>
  <si>
    <t>Handling API Pagination (While loops, next cursors/links)</t>
  </si>
  <si>
    <t>Build a complete CRUD manager application that takes user terminal commands as input, processes data modifications across paginated API endpoints using secure httpx methods with strict network timeouts, and outputs execution status confirmations for each operation</t>
  </si>
  <si>
    <t>Project 3: Complete CRUD Manager with Pagination &amp; Timeouts</t>
  </si>
  <si>
    <t>Control HTTP redirection behavior by toggling the follow_redirects parameter in httpx methods and logically tracing the routing sequence through the response.history list attribute</t>
  </si>
  <si>
    <t>Managing HTTP Redirects (allow_redirects, response.history)</t>
  </si>
  <si>
    <t>Download massive binary files efficiently by utilizing the httpx .iter_bytes() method to stream and write data to disk in manageable chunk sizes without exhausting system RAM</t>
  </si>
  <si>
    <t>Downloading Large/Binary Files in Chunks (iter_content)</t>
  </si>
  <si>
    <t>Upload individual files to remote servers by passing binary file objects created with open() to the files parameter within an httpx.post multipart form request</t>
  </si>
  <si>
    <t>Uploading Single Files (files parameter with open())</t>
  </si>
  <si>
    <t>Construct complex multipart/form-data requests in httpx by transmitting multiple binary file objects alongside supplementary string-based form data dictionaries simultaneously in a single POST operation</t>
  </si>
  <si>
    <t>Uploading Multiple Files and Form Data Simultaneously</t>
  </si>
  <si>
    <t>Build a robust bidirectional file transfer utility that takes local file paths and remote destination URLs as input, processes chunked byte streams for both network downloads and uploads utilizing httpx, and outputs real-time visual progress indicators to the user</t>
  </si>
  <si>
    <t>Project 4: Robust File Transfer Utility (Chunked downloads, uploads)</t>
  </si>
  <si>
    <t>Optimize HTTP performance and implement underlying connection pooling by initializing an httpx.Client() instance to persist TCP connections across multiple sequential network requests</t>
  </si>
  <si>
    <t>Initializing Connection Pooling and State (requests.Session())</t>
  </si>
  <si>
    <t>Configure client-level network defaults by assigning base URLs, default authentication schemas, and universal headers to an httpx.Client() object to standardize parameters across all outbound application requests</t>
  </si>
  <si>
    <t>Configuring Session-Level Defaults (Default headers, default auth)</t>
  </si>
  <si>
    <t>Manage persistent HTTP states by manipulating the cookies parameter, extracting response.cookies, and utilizing the httpx.Cookies class to dynamically handle and inject server-issued session identifiers</t>
  </si>
  <si>
    <t>Managing Cookies (cookies param, response.cookies, RequestsCookieJar)</t>
  </si>
  <si>
    <t>Obfuscate origin IP addresses and securely route network traffic by configuring the proxy or proxies parameter in httpx clients to forward outgoing requests through designated HTTP/HTTPS proxy servers</t>
  </si>
  <si>
    <t>Routing Traffic through Proxies (proxies dictionary)</t>
  </si>
  <si>
    <t>Manage secure socket layer constraints by adjusting the verify parameter in httpx to either enforce strict SSL certificate validation or explicitly bypass security checks for custom internal network certificates</t>
  </si>
  <si>
    <t>Managing SSL Certificate Verification (verify parameter)</t>
  </si>
  <si>
    <t>Build an advanced stateful API crawler that takes target domains and external proxy lists as input, processes repetitive requests through a persistent httpx.Client() featuring automatic proxy rotation and cookie management, and outputs structured scraped data to local storage</t>
  </si>
  <si>
    <t>Project 5: Stateful API Crawler (Sessions, persistence, proxy rotation)</t>
  </si>
  <si>
    <t>Consume continuous Server-Sent Events (SSE) and live text streams by utilizing the httpx.stream() context manager and continuously iterating over the active response using the .iter_lines() generator method</t>
  </si>
  <si>
    <t>Streaming Text Lines and SSE (stream=True, .iter_lines())</t>
  </si>
  <si>
    <t>Instrument advanced network monitoring by attaching custom Python callback functions to the event_hooks dictionary in httpx clients to automatically log, measure, or inspect HTTP responses asynchronously immediately upon receipt</t>
  </si>
  <si>
    <t>Attaching Callbacks to Responses (hooks={'response': callback_function})</t>
  </si>
  <si>
    <t>Craft and construct HTTP requests manually by instantiating raw httpx.Request objects and explicitly dispatching them using the client.send() method to achieve granular programmatic control over the entire network transmission lifecycle</t>
  </si>
  <si>
    <t>Manual Request Crafting (Request, Session.prepare_request, Session.send)</t>
  </si>
  <si>
    <t>Enhance application resilience by configuring procedural network retries utilizing httpx.HTTPTransport parameters to automatically re-attempt failed connections based on specific HTTP status codes or unexpected TCP connection drops</t>
  </si>
  <si>
    <t>Configuring Procedural Retries (urllib3.util.Retry, HTTPAdapter, mount)</t>
  </si>
  <si>
    <t>Access low-level network socket data by reading raw byte streams directly from an active httpx response stream to completely bypass standard library decoders and manipulate unaltered network payloads</t>
  </si>
  <si>
    <t>Accessing the Underlying Socket Response (response.raw, decode_content)</t>
  </si>
  <si>
    <t>Implement deterministic unit tests for network operations by utilizing mocking libraries like respx or pytest-httpx to intercept outgoing httpx requests and inject simulated JSON responses without hitting live endpoints</t>
  </si>
  <si>
    <t>Testing and Mocking Requests (Using the responses library)</t>
  </si>
  <si>
    <t>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t>
  </si>
  <si>
    <t>Project 6: Resilient Data Pipeline (Prepared requests, hooks, retries, mocking)</t>
  </si>
  <si>
    <t>HTTPX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</si>
</sst>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s>
  <fills count="33">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28">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7" xfId="0" applyFont="1" applyFill="1" applyBorder="1" applyAlignment="1">
      <alignment vertical="center" wrapText="1"/>
    </xf>
    <xf numFmtId="0" fontId="2" fillId="2" borderId="18" xfId="0" applyFont="1" applyFill="1" applyBorder="1" applyAlignment="1">
      <alignment vertical="center" wrapText="1"/>
    </xf>
    <xf numFmtId="0" fontId="0" fillId="4" borderId="1" xfId="0" applyFill="1" applyBorder="1"/>
    <xf numFmtId="0" fontId="14" fillId="8" borderId="19" xfId="0" applyFont="1" applyFill="1" applyBorder="1" applyAlignment="1">
      <alignment vertical="center"/>
    </xf>
    <xf numFmtId="0" fontId="14" fillId="9" borderId="20"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1" xfId="0" applyFont="1" applyFill="1" applyBorder="1" applyAlignment="1">
      <alignment horizontal="center" vertical="center"/>
    </xf>
    <xf numFmtId="0" fontId="0" fillId="12" borderId="21" xfId="0" applyFill="1" applyBorder="1" applyAlignment="1">
      <alignment horizontal="left"/>
    </xf>
    <xf numFmtId="0" fontId="15" fillId="13" borderId="1" xfId="0" applyFont="1" applyFill="1" applyBorder="1" applyAlignment="1">
      <alignment vertical="center"/>
    </xf>
    <xf numFmtId="0" fontId="15" fillId="13" borderId="21" xfId="0" applyFont="1" applyFill="1" applyBorder="1" applyAlignment="1">
      <alignment vertical="center"/>
    </xf>
    <xf numFmtId="0" fontId="15" fillId="14" borderId="22" xfId="0" applyFont="1" applyFill="1" applyBorder="1" applyAlignment="1">
      <alignment vertical="center"/>
    </xf>
    <xf numFmtId="0" fontId="15" fillId="13" borderId="23" xfId="0" applyFont="1" applyFill="1" applyBorder="1" applyAlignment="1">
      <alignment vertical="center"/>
    </xf>
    <xf numFmtId="0" fontId="0" fillId="0" borderId="21" xfId="0" applyBorder="1"/>
    <xf numFmtId="0" fontId="0" fillId="13" borderId="21" xfId="0" applyFill="1" applyBorder="1"/>
    <xf numFmtId="0" fontId="0" fillId="0" borderId="1" xfId="0" applyBorder="1"/>
    <xf numFmtId="0" fontId="5" fillId="4" borderId="1" xfId="0" applyFont="1" applyFill="1" applyBorder="1"/>
    <xf numFmtId="0" fontId="0" fillId="15" borderId="1" xfId="0" applyFill="1" applyBorder="1"/>
    <xf numFmtId="0" fontId="15" fillId="4" borderId="21" xfId="0" applyFont="1" applyFill="1" applyBorder="1" applyAlignment="1">
      <alignment horizontal="center" vertical="center"/>
    </xf>
    <xf numFmtId="0" fontId="0" fillId="16" borderId="21" xfId="0" applyFill="1" applyBorder="1" applyAlignment="1">
      <alignment horizontal="left"/>
    </xf>
    <xf numFmtId="0" fontId="15" fillId="0" borderId="1" xfId="0" applyFont="1" applyBorder="1" applyAlignment="1">
      <alignment vertical="center"/>
    </xf>
    <xf numFmtId="0" fontId="15" fillId="0" borderId="21" xfId="0" applyFont="1" applyBorder="1" applyAlignment="1">
      <alignment vertical="center"/>
    </xf>
    <xf numFmtId="0" fontId="15" fillId="17" borderId="22" xfId="0" applyFont="1" applyFill="1" applyBorder="1" applyAlignment="1">
      <alignment vertical="center"/>
    </xf>
    <xf numFmtId="0" fontId="15" fillId="0" borderId="23" xfId="0" applyFont="1" applyBorder="1" applyAlignment="1">
      <alignment vertical="center"/>
    </xf>
    <xf numFmtId="0" fontId="15" fillId="0" borderId="1" xfId="0" applyFont="1" applyBorder="1" applyAlignment="1">
      <alignment vertical="center" wrapText="1"/>
    </xf>
    <xf numFmtId="0" fontId="15" fillId="0" borderId="21" xfId="0" applyFont="1" applyBorder="1" applyAlignment="1">
      <alignment vertical="center" wrapText="1"/>
    </xf>
    <xf numFmtId="0" fontId="15" fillId="13" borderId="1" xfId="0" applyFont="1" applyFill="1" applyBorder="1" applyAlignment="1">
      <alignment vertical="center" wrapText="1"/>
    </xf>
    <xf numFmtId="0" fontId="15" fillId="13" borderId="21" xfId="0" applyFont="1" applyFill="1" applyBorder="1" applyAlignment="1">
      <alignment vertical="center" wrapText="1"/>
    </xf>
    <xf numFmtId="0" fontId="0" fillId="13" borderId="1" xfId="0" applyFill="1" applyBorder="1"/>
    <xf numFmtId="0" fontId="15" fillId="4" borderId="25" xfId="0" applyFont="1" applyFill="1" applyBorder="1" applyAlignment="1">
      <alignment horizontal="center" vertical="center"/>
    </xf>
    <xf numFmtId="0" fontId="0" fillId="0" borderId="25" xfId="0" applyBorder="1"/>
    <xf numFmtId="0" fontId="15" fillId="17" borderId="26" xfId="0" applyFont="1" applyFill="1" applyBorder="1" applyAlignment="1">
      <alignment vertical="center"/>
    </xf>
    <xf numFmtId="0" fontId="15" fillId="0" borderId="27" xfId="0" applyFont="1" applyBorder="1" applyAlignment="1">
      <alignment vertical="center"/>
    </xf>
    <xf numFmtId="0" fontId="0" fillId="18" borderId="0" xfId="0" applyFill="1"/>
    <xf numFmtId="0" fontId="0" fillId="0" borderId="0" xfId="0" applyAlignment="1">
      <alignment horizontal="left"/>
    </xf>
    <xf numFmtId="0" fontId="2" fillId="2" borderId="16" xfId="0" applyFont="1" applyFill="1" applyBorder="1" applyAlignment="1">
      <alignment vertical="center"/>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4"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2" xfId="0" applyFill="1" applyBorder="1"/>
    <xf numFmtId="0" fontId="2" fillId="2" borderId="28" xfId="0" applyFont="1" applyFill="1" applyBorder="1" applyAlignment="1">
      <alignment horizontal="left"/>
    </xf>
    <xf numFmtId="0" fontId="2" fillId="2" borderId="29" xfId="0" applyFont="1" applyFill="1" applyBorder="1" applyAlignment="1">
      <alignment horizontal="left"/>
    </xf>
    <xf numFmtId="0" fontId="15" fillId="32" borderId="21" xfId="0" applyFont="1" applyFill="1" applyBorder="1" applyAlignment="1">
      <alignment vertical="center"/>
    </xf>
    <xf numFmtId="0" fontId="15" fillId="32" borderId="24"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1" xfId="0" applyFont="1" applyBorder="1"/>
    <xf numFmtId="0" fontId="0" fillId="0" borderId="23" xfId="0" applyBorder="1"/>
    <xf numFmtId="0" fontId="0" fillId="0" borderId="30" xfId="0" applyBorder="1"/>
    <xf numFmtId="0" fontId="1" fillId="0" borderId="31" xfId="0" applyFont="1" applyBorder="1"/>
    <xf numFmtId="0" fontId="0" fillId="0" borderId="32" xfId="0" applyBorder="1"/>
    <xf numFmtId="0" fontId="0" fillId="0" borderId="31" xfId="0" applyBorder="1"/>
    <xf numFmtId="0" fontId="0" fillId="0" borderId="33" xfId="0" applyBorder="1"/>
    <xf numFmtId="0" fontId="0" fillId="0" borderId="34" xfId="0" applyBorder="1"/>
    <xf numFmtId="0" fontId="0" fillId="0" borderId="35"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6">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91</xdr:row>
      <xdr:rowOff>19050</xdr:rowOff>
    </xdr:to>
    <xdr:sp macro="" textlink="">
      <xdr:nvSpPr>
        <xdr:cNvPr id="2" name="TextBox 1">
          <a:extLst>
            <a:ext uri="{FF2B5EF4-FFF2-40B4-BE49-F238E27FC236}">
              <a16:creationId xmlns:a16="http://schemas.microsoft.com/office/drawing/2014/main" id="{89347AAE-F02A-4CF7-33CC-D917727E0566}"/>
            </a:ext>
          </a:extLst>
        </xdr:cNvPr>
        <xdr:cNvSpPr txBox="1"/>
      </xdr:nvSpPr>
      <xdr:spPr>
        <a:xfrm>
          <a:off x="13620750" y="666748"/>
          <a:ext cx="5762626" cy="17297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80</xdr:row>
      <xdr:rowOff>76200</xdr:rowOff>
    </xdr:to>
    <xdr:sp macro="" textlink="">
      <xdr:nvSpPr>
        <xdr:cNvPr id="3" name="TextBox 2">
          <a:extLst>
            <a:ext uri="{FF2B5EF4-FFF2-40B4-BE49-F238E27FC236}">
              <a16:creationId xmlns:a16="http://schemas.microsoft.com/office/drawing/2014/main" id="{09C8D178-2B4E-4299-B7A0-0F9254F1A55C}"/>
            </a:ext>
          </a:extLst>
        </xdr:cNvPr>
        <xdr:cNvSpPr txBox="1"/>
      </xdr:nvSpPr>
      <xdr:spPr>
        <a:xfrm>
          <a:off x="19669125" y="619125"/>
          <a:ext cx="7096125" cy="15230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 &amp; $I$2 &amp; " I2 Learning Now Name</a:t>
          </a:r>
        </a:p>
        <a:p>
          <a:r>
            <a:rPr lang="en-US" sz="1100"/>
            <a:t>" &amp; $I$3 &amp; " 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88</xdr:row>
      <xdr:rowOff>19050</xdr:rowOff>
    </xdr:to>
    <xdr:sp macro="" textlink="">
      <xdr:nvSpPr>
        <xdr:cNvPr id="2" name="TextBox 1">
          <a:extLst>
            <a:ext uri="{FF2B5EF4-FFF2-40B4-BE49-F238E27FC236}">
              <a16:creationId xmlns:a16="http://schemas.microsoft.com/office/drawing/2014/main" id="{C37E7C01-0475-45E4-9D25-98BF95AB7F42}"/>
            </a:ext>
          </a:extLst>
        </xdr:cNvPr>
        <xdr:cNvSpPr txBox="1"/>
      </xdr:nvSpPr>
      <xdr:spPr>
        <a:xfrm>
          <a:off x="13620750" y="666748"/>
          <a:ext cx="5762626" cy="17297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78</xdr:row>
      <xdr:rowOff>76200</xdr:rowOff>
    </xdr:to>
    <xdr:sp macro="" textlink="">
      <xdr:nvSpPr>
        <xdr:cNvPr id="3" name="TextBox 2">
          <a:extLst>
            <a:ext uri="{FF2B5EF4-FFF2-40B4-BE49-F238E27FC236}">
              <a16:creationId xmlns:a16="http://schemas.microsoft.com/office/drawing/2014/main" id="{7D9966AC-210A-4BE8-8481-C38CDD9DFCCE}"/>
            </a:ext>
          </a:extLst>
        </xdr:cNvPr>
        <xdr:cNvSpPr txBox="1"/>
      </xdr:nvSpPr>
      <xdr:spPr>
        <a:xfrm>
          <a:off x="19669125" y="619125"/>
          <a:ext cx="7096125" cy="15230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I2 Learning Now Name</a:t>
          </a:r>
        </a:p>
        <a:p>
          <a:r>
            <a:rPr lang="en-US" sz="1100"/>
            <a:t>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88</xdr:row>
      <xdr:rowOff>19050</xdr:rowOff>
    </xdr:to>
    <xdr:sp macro="" textlink="">
      <xdr:nvSpPr>
        <xdr:cNvPr id="2" name="TextBox 1">
          <a:extLst>
            <a:ext uri="{FF2B5EF4-FFF2-40B4-BE49-F238E27FC236}">
              <a16:creationId xmlns:a16="http://schemas.microsoft.com/office/drawing/2014/main" id="{65E9E2DC-F1B9-46DB-91F7-2A8C2B794FF4}"/>
            </a:ext>
          </a:extLst>
        </xdr:cNvPr>
        <xdr:cNvSpPr txBox="1"/>
      </xdr:nvSpPr>
      <xdr:spPr>
        <a:xfrm>
          <a:off x="13620750" y="666748"/>
          <a:ext cx="5762626" cy="16916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78</xdr:row>
      <xdr:rowOff>76200</xdr:rowOff>
    </xdr:to>
    <xdr:sp macro="" textlink="">
      <xdr:nvSpPr>
        <xdr:cNvPr id="3" name="TextBox 2">
          <a:extLst>
            <a:ext uri="{FF2B5EF4-FFF2-40B4-BE49-F238E27FC236}">
              <a16:creationId xmlns:a16="http://schemas.microsoft.com/office/drawing/2014/main" id="{209859B9-C6B8-4C4F-B3BF-A2C1EFAE93DE}"/>
            </a:ext>
          </a:extLst>
        </xdr:cNvPr>
        <xdr:cNvSpPr txBox="1"/>
      </xdr:nvSpPr>
      <xdr:spPr>
        <a:xfrm>
          <a:off x="19669125" y="619125"/>
          <a:ext cx="7096125" cy="1484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I2 Learning Now Name</a:t>
          </a:r>
        </a:p>
        <a:p>
          <a:r>
            <a:rPr lang="en-US" sz="1100"/>
            <a:t>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87</xdr:row>
      <xdr:rowOff>19050</xdr:rowOff>
    </xdr:to>
    <xdr:sp macro="" textlink="">
      <xdr:nvSpPr>
        <xdr:cNvPr id="2" name="TextBox 1">
          <a:extLst>
            <a:ext uri="{FF2B5EF4-FFF2-40B4-BE49-F238E27FC236}">
              <a16:creationId xmlns:a16="http://schemas.microsoft.com/office/drawing/2014/main" id="{4AD5BC97-9C2C-4EE7-A475-F8CF9155C241}"/>
            </a:ext>
          </a:extLst>
        </xdr:cNvPr>
        <xdr:cNvSpPr txBox="1"/>
      </xdr:nvSpPr>
      <xdr:spPr>
        <a:xfrm>
          <a:off x="13620750" y="666748"/>
          <a:ext cx="5762626" cy="16916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77</xdr:row>
      <xdr:rowOff>76200</xdr:rowOff>
    </xdr:to>
    <xdr:sp macro="" textlink="">
      <xdr:nvSpPr>
        <xdr:cNvPr id="3" name="TextBox 2">
          <a:extLst>
            <a:ext uri="{FF2B5EF4-FFF2-40B4-BE49-F238E27FC236}">
              <a16:creationId xmlns:a16="http://schemas.microsoft.com/office/drawing/2014/main" id="{4A17728F-E665-44B4-9EAF-84C5BB033DBA}"/>
            </a:ext>
          </a:extLst>
        </xdr:cNvPr>
        <xdr:cNvSpPr txBox="1"/>
      </xdr:nvSpPr>
      <xdr:spPr>
        <a:xfrm>
          <a:off x="19669125" y="619125"/>
          <a:ext cx="7096125" cy="1484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I2 Learning Now Name</a:t>
          </a:r>
        </a:p>
        <a:p>
          <a:r>
            <a:rPr lang="en-US" sz="1100"/>
            <a:t>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88</xdr:row>
      <xdr:rowOff>19050</xdr:rowOff>
    </xdr:to>
    <xdr:sp macro="" textlink="">
      <xdr:nvSpPr>
        <xdr:cNvPr id="2" name="TextBox 1">
          <a:extLst>
            <a:ext uri="{FF2B5EF4-FFF2-40B4-BE49-F238E27FC236}">
              <a16:creationId xmlns:a16="http://schemas.microsoft.com/office/drawing/2014/main" id="{302AD371-CACC-409D-A45D-E0EE836B886B}"/>
            </a:ext>
          </a:extLst>
        </xdr:cNvPr>
        <xdr:cNvSpPr txBox="1"/>
      </xdr:nvSpPr>
      <xdr:spPr>
        <a:xfrm>
          <a:off x="13839825" y="666748"/>
          <a:ext cx="5762626" cy="16916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78</xdr:row>
      <xdr:rowOff>76200</xdr:rowOff>
    </xdr:to>
    <xdr:sp macro="" textlink="">
      <xdr:nvSpPr>
        <xdr:cNvPr id="3" name="TextBox 2">
          <a:extLst>
            <a:ext uri="{FF2B5EF4-FFF2-40B4-BE49-F238E27FC236}">
              <a16:creationId xmlns:a16="http://schemas.microsoft.com/office/drawing/2014/main" id="{C0990D3E-2C8A-4CBB-BED3-5C5F88E80C63}"/>
            </a:ext>
          </a:extLst>
        </xdr:cNvPr>
        <xdr:cNvSpPr txBox="1"/>
      </xdr:nvSpPr>
      <xdr:spPr>
        <a:xfrm>
          <a:off x="19888200" y="619125"/>
          <a:ext cx="7096125" cy="1484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I2 Learning Now Name</a:t>
          </a:r>
        </a:p>
        <a:p>
          <a:r>
            <a:rPr lang="en-US" sz="1100"/>
            <a:t>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Normal="100" workbookViewId="0">
      <selection activeCell="B7" sqref="B7"/>
    </sheetView>
  </sheetViews>
  <sheetFormatPr defaultColWidth="11.42578125" defaultRowHeight="15"/>
  <cols>
    <col min="1" max="1" width="11.28515625" bestFit="1" customWidth="1"/>
    <col min="2" max="2" width="15.7109375" customWidth="1"/>
    <col min="3" max="3" width="5.7109375"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97"/>
      <c r="B1" s="1"/>
      <c r="C1" s="2"/>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$A9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Python | [TASK] Teach and explain concepts clearly with correct code examples | [TOPIC] Execute basic GET requests using httpx.get to retrieve web page data and evaluate the status_code to confirm successful connections | [LEVEL] Beginner | [COUNT] 3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Python | 📊 Level: Beginner | 🌐 Coding5s.com
**Concept:** Executing Basic GET Requests (requests.get, .status_code)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6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97" t="s">
        <v>234</v>
      </c>
      <c r="B2" s="1"/>
      <c r="C2" s="2"/>
      <c r="D2" s="16"/>
      <c r="E2" s="100" t="str">
        <f>IF(E1="Stage 1","k9:L200",IF(E1="Stage 2","N9:O200",IF(E1="Stage 3","Q9:R200",IF(E1="Stage 4","T9:U200",IF(E1="Stage 5","W9:X200","Stage Incorrecta")))))</f>
        <v>k9:L200</v>
      </c>
      <c r="F2" s="18" t="s">
        <v>8</v>
      </c>
      <c r="G2" s="19"/>
      <c r="H2" s="19"/>
      <c r="I2" s="16" t="s">
        <v>9</v>
      </c>
      <c r="J2" s="16"/>
      <c r="K2" s="123" t="s">
        <v>10</v>
      </c>
      <c r="L2" s="124"/>
      <c r="M2" s="125"/>
      <c r="N2" s="124" t="s">
        <v>11</v>
      </c>
      <c r="O2" s="124"/>
      <c r="P2" s="124"/>
      <c r="Q2" s="126" t="s">
        <v>12</v>
      </c>
      <c r="R2" s="124"/>
      <c r="S2" s="127"/>
      <c r="T2" s="124" t="s">
        <v>13</v>
      </c>
      <c r="U2" s="124"/>
      <c r="V2" s="124"/>
      <c r="W2" s="126" t="s">
        <v>14</v>
      </c>
      <c r="X2" s="124"/>
      <c r="Y2" s="127"/>
      <c r="Z2" s="1"/>
      <c r="AA2" s="1"/>
      <c r="AB2" s="1"/>
      <c r="AC2" s="1"/>
      <c r="AD2" s="1"/>
      <c r="AE2" s="15"/>
      <c r="AF2" s="14"/>
      <c r="AG2" s="14"/>
      <c r="AH2" s="15"/>
      <c r="AI2" s="15"/>
      <c r="AJ2" s="15"/>
      <c r="AK2" s="15"/>
      <c r="AL2" s="15"/>
    </row>
    <row r="3" spans="1:39" ht="26.25">
      <c r="A3" s="97" t="str">
        <f>""</f>
        <v/>
      </c>
      <c r="B3" s="1"/>
      <c r="C3" s="2" t="s">
        <v>15</v>
      </c>
      <c r="D3" s="2"/>
      <c r="E3" s="101">
        <f>COUNTA(E9:E200)-E4</f>
        <v>13</v>
      </c>
      <c r="F3" s="98" t="s">
        <v>290</v>
      </c>
      <c r="G3" s="2"/>
      <c r="H3" s="2"/>
      <c r="I3" s="16" t="s">
        <v>734</v>
      </c>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97"/>
      <c r="B4" s="1"/>
      <c r="C4" s="2" t="s">
        <v>16</v>
      </c>
      <c r="D4" s="2"/>
      <c r="E4" s="102">
        <f>COUNTIF($E$9:$E$200,"No")</f>
        <v>25</v>
      </c>
      <c r="F4" s="99"/>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97"/>
      <c r="B5" s="32" t="s">
        <v>17</v>
      </c>
      <c r="C5" s="32" t="s">
        <v>18</v>
      </c>
      <c r="D5" s="2"/>
      <c r="E5" s="32" t="s">
        <v>553</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97"/>
      <c r="B6" s="34" t="s">
        <v>56</v>
      </c>
      <c r="C6" s="17" t="str">
        <f>VLOOKUP(B6,AL:AM,2,0)</f>
        <v>en</v>
      </c>
      <c r="D6" s="2"/>
      <c r="E6" s="35" t="str" cm="1">
        <f t="array" ref="E6">"AL9:"&amp;ADDRESS(_xlfn.AGGREGATE(14, 6, ROW(AL:AL)*(AL:AL&lt;&gt;""), 1), COLUMN(AL:AL))</f>
        <v>AL9:$AL$48</v>
      </c>
      <c r="F6" s="27"/>
      <c r="G6" s="2"/>
      <c r="H6" s="28"/>
      <c r="I6" s="29"/>
      <c r="J6" s="29"/>
      <c r="K6" s="30"/>
      <c r="L6" s="31"/>
      <c r="M6" s="23"/>
      <c r="N6" s="31"/>
      <c r="O6" s="31"/>
      <c r="P6" s="22"/>
      <c r="Q6" s="21"/>
      <c r="R6" s="2"/>
      <c r="S6" s="25"/>
      <c r="T6" s="22"/>
      <c r="U6" s="22"/>
      <c r="V6" s="22"/>
      <c r="W6" s="26"/>
      <c r="X6" s="22"/>
      <c r="Y6" s="25"/>
      <c r="Z6" s="1"/>
      <c r="AA6" s="1"/>
      <c r="AB6" s="1"/>
      <c r="AC6" s="1"/>
      <c r="AD6" s="1"/>
      <c r="AE6" s="106" t="s">
        <v>20</v>
      </c>
      <c r="AF6" s="15"/>
      <c r="AG6" s="15"/>
      <c r="AH6" s="15"/>
      <c r="AI6" s="15"/>
      <c r="AJ6" s="15"/>
      <c r="AK6" s="15"/>
      <c r="AL6" s="15"/>
    </row>
    <row r="7" spans="1:39">
      <c r="A7" s="97"/>
      <c r="B7" s="1"/>
      <c r="C7" s="2"/>
      <c r="D7" s="2"/>
      <c r="E7" s="20"/>
      <c r="F7" s="36"/>
      <c r="G7" s="36"/>
      <c r="H7" s="37"/>
      <c r="I7" s="28"/>
      <c r="J7" s="28"/>
      <c r="K7" s="74"/>
      <c r="L7" s="31"/>
      <c r="M7" s="38"/>
      <c r="N7" s="31"/>
      <c r="O7" s="31" t="s">
        <v>656</v>
      </c>
      <c r="P7" s="22"/>
      <c r="Q7" s="31"/>
      <c r="R7" s="31" t="s">
        <v>656</v>
      </c>
      <c r="S7" s="39"/>
      <c r="T7" s="31"/>
      <c r="U7" s="31"/>
      <c r="V7" s="22"/>
      <c r="W7" s="31" t="s">
        <v>293</v>
      </c>
      <c r="X7" s="31" t="s">
        <v>293</v>
      </c>
      <c r="Y7" s="39"/>
      <c r="Z7" s="2"/>
      <c r="AA7" s="2"/>
      <c r="AB7" s="2"/>
      <c r="AC7" s="2"/>
      <c r="AD7" s="2"/>
      <c r="AE7" s="35" t="str">
        <f>_xlfn.CONCAT(AH9:AH200)</f>
        <v/>
      </c>
      <c r="AF7" s="15"/>
      <c r="AG7" s="15"/>
      <c r="AH7" s="15"/>
      <c r="AI7" s="15"/>
      <c r="AJ7" s="15"/>
      <c r="AK7" s="122" t="s">
        <v>558</v>
      </c>
      <c r="AL7" s="122"/>
      <c r="AM7" s="122"/>
    </row>
    <row r="8" spans="1:39">
      <c r="A8" s="41" t="s">
        <v>21</v>
      </c>
      <c r="B8" s="42" t="s">
        <v>22</v>
      </c>
      <c r="C8" s="43">
        <v>0</v>
      </c>
      <c r="D8" s="43" t="s">
        <v>554</v>
      </c>
      <c r="E8" s="44" t="s">
        <v>23</v>
      </c>
      <c r="F8" s="43" t="s">
        <v>24</v>
      </c>
      <c r="G8" s="42" t="s">
        <v>25</v>
      </c>
      <c r="H8" s="42" t="s">
        <v>26</v>
      </c>
      <c r="I8" s="42" t="s">
        <v>27</v>
      </c>
      <c r="J8" s="42" t="s">
        <v>28</v>
      </c>
      <c r="K8" s="42" t="s">
        <v>29</v>
      </c>
      <c r="L8" s="42" t="s">
        <v>30</v>
      </c>
      <c r="M8" s="42" t="s">
        <v>31</v>
      </c>
      <c r="N8" s="42" t="s">
        <v>32</v>
      </c>
      <c r="O8" s="42" t="s">
        <v>30</v>
      </c>
      <c r="P8" s="42" t="s">
        <v>33</v>
      </c>
      <c r="Q8" s="42" t="s">
        <v>34</v>
      </c>
      <c r="R8" s="42" t="s">
        <v>30</v>
      </c>
      <c r="S8" s="42" t="s">
        <v>35</v>
      </c>
      <c r="T8" s="42" t="s">
        <v>36</v>
      </c>
      <c r="U8" s="42" t="s">
        <v>30</v>
      </c>
      <c r="V8" s="42" t="s">
        <v>37</v>
      </c>
      <c r="W8" s="42" t="s">
        <v>38</v>
      </c>
      <c r="X8" s="42" t="s">
        <v>30</v>
      </c>
      <c r="Y8" s="42" t="s">
        <v>39</v>
      </c>
      <c r="Z8" s="42" t="s">
        <v>40</v>
      </c>
      <c r="AA8" s="42" t="s">
        <v>41</v>
      </c>
      <c r="AB8" s="42" t="s">
        <v>42</v>
      </c>
      <c r="AC8" s="42" t="s">
        <v>43</v>
      </c>
      <c r="AD8" s="42" t="s">
        <v>44</v>
      </c>
      <c r="AE8" s="42" t="s">
        <v>555</v>
      </c>
      <c r="AF8" s="42" t="s">
        <v>556</v>
      </c>
      <c r="AG8" s="42" t="s">
        <v>557</v>
      </c>
      <c r="AH8" s="42" t="s">
        <v>45</v>
      </c>
      <c r="AI8" s="42" t="s">
        <v>46</v>
      </c>
      <c r="AJ8" s="42" t="s">
        <v>560</v>
      </c>
      <c r="AK8" s="42" t="s">
        <v>47</v>
      </c>
      <c r="AL8" s="42" t="s">
        <v>48</v>
      </c>
      <c r="AM8" s="42" t="s">
        <v>18</v>
      </c>
    </row>
    <row r="9" spans="1:39">
      <c r="A9" s="96">
        <v>6</v>
      </c>
      <c r="B9" s="45" t="str" cm="1">
        <f t="array" ref="B9">IF(H9="PROJECT", CHAR(10) &amp; "- " &amp; _xlfn.TEXTJOIN(CHAR(10) &amp; "- ", TRUE, _xlfn._xlws.FILTER($I$9:$I$1000, ($C$9:$C$1000=C9) * ($H$9:$H$1000="Topic"))), "")</f>
        <v/>
      </c>
      <c r="C9" s="45">
        <f t="shared" ref="C9:C72" si="0">IF(AND(H9="Topic",H8="PROJECT"),C8+1,IF(H9="PROJECT",C8,IF(AND(H9="Topic",H8="Topic"),C8,C8+1)))</f>
        <v>1</v>
      </c>
      <c r="D9" s="46">
        <v>3</v>
      </c>
      <c r="E9" s="47" t="s">
        <v>49</v>
      </c>
      <c r="F9" s="48">
        <v>1</v>
      </c>
      <c r="G9" s="49" t="s">
        <v>50</v>
      </c>
      <c r="H9" s="49" t="s">
        <v>51</v>
      </c>
      <c r="I9" s="50" t="s">
        <v>657</v>
      </c>
      <c r="J9" s="51" t="s">
        <v>658</v>
      </c>
      <c r="K9" s="103" t="str">
        <f>IF(H9="Topic",
"[ROLE] Friendly tutor specializing in " &amp; $I$2 &amp; " | " &amp;
"[TOPIC] " &amp; I9 &amp; " | " &amp;
"[LEVEL] " &amp; G9 &amp; " | " &amp;
"[COUNT] " &amp; D9 &amp; " examples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$A9 &amp; " lines of EXECUTABLE code (STRICT: Do NOT count comments or blank lines). - NEVER exceed this limit. | " &amp;
"[CODE CONSTRAINTS] Single logical flow (no unnecessary complexity) - CRITICAL PROHIBITION: Do NOT include 'if __name__ == '__main__':' blocks or 'pass' statements. Write scripts as flat, top-level execution flows. | " &amp;
"[SYNTAX CONFIGURATION RULE] This: " &amp; IF(F9&gt;=10, "You MUST format output strings elegantly using f-strings natively.", "CRITICAL PROHIBITION: Do NOT use f-strings (f""..."") or any advanced text formatting methods yet. Use basic print() with multiple arguments separated by commas for text labels and variables.")&amp;" | " &amp;
"[FUNCTION RULE] STRICT ARCHITECTURE: " &amp; IF(G9="Beginner","Do NOT use functions unless absolutely required by the concept. Use flat, linear scripts. ",IF(G9="Intermediate","MUST use modular functions. Encapsulate logic in def blocks. ","MUST use modular functions. ABSOLUTELY PROHIBITED: Flat linear scripts. All logic must be contained within callable functions with clear entry points.")) &amp; " | " &amp;
"[FILE HANDLING RULE] Use correct loaders and enforce encoding='utf-8' and newline='' when applicable | " &amp;
"[SUPPORT FILES RULE] If env/config is used, include: 1. Instructional sentence 2. File content in markdown code block 3. BEFORE the main code | " &amp;
"[OUTPUT FORMAT RULE] This: " &amp; IF(F9&gt;=10, "Monetary values formatted with '$', commas, 2 decimals using f-strings.", "Print raw numeric outputs directly without forcing custom monetary formatting structures yet.")&amp;" | " &amp;
"[BOOLEAN HANDLING RULE] Normalize boolean values before comparison | " &amp;
"[DATA TYPE RULE] Explicit casting required before calculations | " &amp;
"[DATA ROBUSTNESS RULE] Handle missing, malformed, or inconsistent data safely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Python | [TOPIC] Execute basic GET requests using httpx.get to retrieve web page data and evaluate the status_code to confirm successful connections | [LEVEL] Beginner | [COUNT] 3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 | Stage 1 📖 Practice | Python - HTTPX | 📊 Level: Beginner | 🌐 Coding5s.com
**Concept:** Executing Basic GET Requests (requests.get, .status_code)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5"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B9 &amp; ". Project objective: " &amp; J9, "learning: " &amp; I9 &amp; ". Topic details: " &amp; J9)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"[ARCHITECTURAL CONSTRAINTS] "&amp; IF(G9="Beginner","Do NOT use functions unless absolutely required by the concept. Use flat, linear scripts. NO classes. ", IF(G9="Intermediate","MUST use modular functions ONLY IF the student attempted them or the exercise explicitly demands it. Do NOT over-refactor flat scripts just to make them modular. NO classes. ","MUST use modular functions appropriately for architecture and clarity. "))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basic GET requests using httpx.get to retrieve web page data and evaluate the status_code to confirm successful connections. Topic details: Executing Basic GET Requests (requests.get, .status_code)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 HTTPX | 📊 Level: Beginner
**Topic:** Execute basic GET requests using httpx.get to retrieve web page data and evaluate the status_code to confirm successful connections
---
 | [FOOTER RULE - STRICT] End your response with: '--- ⚡ *Coding5s Mentor System — Eliminating Epistemic Debt*' | </v>
      </c>
      <c r="M9" s="52">
        <v>0</v>
      </c>
      <c r="N9" s="104" t="str">
        <f>IF(H9="Topic",
"[ROLE] Careless " &amp; $I$2 &amp; " Developer | " &amp;
"[TASK] Generate debugging challenges in " &amp; $I$2 &amp; " | | " &amp;
"[TOPIC] " &amp; I9 &amp; " | | " &amp;
"[LEVEL] " &amp; G9 &amp; " | | " &amp;
"[COUNT] " &amp; D9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"[FILE HANDLING RULE] Use correct loaders and enforce encoding='utf-8' and newline='' when applicable | " &amp;
"[DATA TYPE RULE] Explicit casting required before comparisons or calculations | " &amp;
"[ENV USAGE RULE] Environment variables may be used but bugs MUST exist ONLY in code logic, NEVER in config files | " &amp;
"[CODE CONSTRAINTS] Each challenge MUST include: - Internal data OR dataset usage (based on DATA RULE) - At least 1 loop (when applicable) - At least 1 print statement - " &amp; IF(G9="Beginner", "5–15", IF(G9="Intermediate", "10–25", "15–35")) &amp; " lines of EXECUTABLE code per example (STRICT: Do NOT count blank lines towards this limit) " &amp; IF(G9&lt;&gt;"Advanced", "- NO classes ", "") &amp; "- EXACTLY 1 function - EXACTLY 1 function call - NO global executable code EXCEPT the single function call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Python Developer | [TASK] Generate debugging challenges in Python | | [TOPIC] Execute basic GET requests using httpx.get to retrieve web page data and evaluate the status_code to confirm successful connections | | [LEVEL] Beginner | | [COUNT] 3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 | Stage 2 🐛 Debug | Python - HTTPX | 📊 Level: Beginner | 🌐 Coding5s.com
Concept: Executing Basic GET Requests (requests.get, .status_code)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5"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B9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basic GET requests using httpx.get to retrieve web page data and evaluate the status_code to confirm successful connections. Topic details: Executing Basic GET Requests (requests.get, .status_code)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 HTTPX | 📊 Level: Beginner
**Topic:** Execute basic GET requests using httpx.get to retrieve web page data and evaluate the status_code to confirm successful connections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4" t="str">
        <f>IF(H9="Topic",
"[ROLE] Tech Lead | " &amp;
"[TASK] Assign incomplete " &amp; $I$2 &amp; " script challenges | " &amp;
"[TOPIC] " &amp; I9 &amp; " | " &amp;
"[LEVEL] " &amp; G9 &amp; " | " &amp;
"[COUNT] " &amp; D9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
"[FILE PROCESSING RULE] Use standard native libraries for " &amp; $I$2 &amp; " to parse the file type correctly. Adapt code to data structure (tabular, key-value, etc.). Dataset exists locally with original filename. | " &amp;
"[CODE CONSTRAINTS] MUST be between " &amp; IF(G9="Beginner", "5–15", IF(G9="Intermediate", "10–25", "15–35")) &amp; " lines of EXECUTABLE code (STRICT: Do NOT count comments or TODOs) - Length MUST vary across challenges - EXACTLY 1 function - EXACTLY 1 function call - NO classes - NO multiple functions - NO global code EXCEPT the single function call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Python script challenges | [TOPIC] Execute basic GET requests using httpx.get to retrieve web page data and evaluate the status_code to confirm successful connections | [LEVEL] Beginner | [COUNT] 3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 | Stage 3 🧩 Complete | Python - HTTPX | 📊 Level: Beginner | 🌐 Coding5s.com
**Concept:** Executing Basic GET Requests (requests.get, .status_code)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basic GET requests using httpx.get to retrieve web page data and evaluate the status_code to confirm successful connections.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5"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B9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basic GET requests using httpx.get to retrieve web page data and evaluate the status_code to confirm successful connections. Topic details: Executing Basic GET Requests (requests.get, .status_code)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 HTTPX | 📊 Level: Beginner
**Topic:** Execute basic GET requests using httpx.get to retrieve web page data and evaluate the status_code to confirm successful connections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4" t="str">
        <f>IF(H9="Topic",
"[ROLE] Tech Lead | " &amp;
"[TASK] Provide intentionally messy but functional code for learning debugging and improvement | " &amp;
"[TOPIC] " &amp; I9 &amp; " | " &amp;
"[LEVEL] " &amp; G9 &amp; " | " &amp;
"[COUNT] " &amp; D9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"[FUNCTION RULE] Rule: " &amp; IF(G9="Beginner", "Do NOT use functions unless absolutely required by the concept. Use linear scripts. ", IF(G9="Intermediate", "Functions are optional. Use them only if they improve clarity. Avoid over-engineering. ", "Use functions appropriately but code can still be messy. " ))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Execute basic GET requests using httpx.get to retrieve web page data and evaluate the status_code to confirm successful connections | [LEVEL] Beginner | [COUNT] 3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 HTTPX | 📊 Level: Beginner | 🌐 Coding5s.com
**Concept:** Executing Basic GET Requests (requests.get, .status_code)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5"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B9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basic GET requests using httpx.get to retrieve web page data and evaluate the status_code to confirm successful connections. Topic details: Executing Basic GET Requests (requests.get, .status_code)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 HTTPX | 📊 Level: Beginner
**Topic:** Execute basic GET requests using httpx.get to retrieve web page data and evaluate the status_code to confirm successful connections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8" t="str">
        <f>IF(H9="Topic",
"[ROLE] Tech Product Manager assigning a " &amp; $I$2 &amp; " Jira Ticket | " &amp;
"[TASK] Provide a guided implementation exercise with full solution for learning purposes | " &amp;
"[TOPIC] " &amp; I9 &amp; " | " &amp;
"[LEVEL] " &amp; G9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_xlfn._LONGTEXT("[CRITICAL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Rule: " &amp; IF(G9="Beginner", "Use simple scripts or minimal functions. ", IF(G9="Intermediate", "Use functions where appropriate. ", "Use modular functions with clear structure. ")) &amp; " | " &amp;
"[CODE QUALITY RULE] Code MUST be clean, readable, and production-like | " &amp;
"[FILE HANDLING RULE] Use correct loaders and enforce encoding='utf-8' and newline=' when applicable | " &amp;
"[DATA TYPE RULE] Explicit casting required before calculations | " &amp;
"[DATA ROBUSTNESS RULE] Handle missing or malformed data safely | " &amp;
"[BOOLEAN HANDLING RULE] Normalize boolean values before comparison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Python Jira Ticket | [TASK] Provide a guided implementation exercise with full solution for learning purposes | [TOPIC] Execute basic GET requests using httpx.get to retrieve web page data and evaluate the status_code to confirm successful connections | [LEVEL] Beginner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 HTTPX | 📊 Level: Beginner | 🌐 Coding5s.com
**Concept:** Executing Basic GET Requests (requests.get, .status_code)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5"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B9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basic GET requests using httpx.get to retrieve web page data and evaluate the status_code to confirm successful connections. Goal: Executing Basic GET Requests (requests.get, .status_code)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 HTTPX | 📊 Level: Beginner
**Topic:** Execute basic GET requests using httpx.get to retrieve web page data and evaluate the status_code to confirm successful connections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B9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"[CODE CONSTRAINTS] MUST be between " &amp; IF(G9="Beginner", "25–40", IF(G9="Intermediate", "30–60", "40–100")) &amp; " lines (STRICT) - Multi-step flow " &amp; IF(G9&lt;&gt;"Advanced", "- NO classes ", "") &amp; " | " &amp;
"[FUNCTION RULE] " &amp; IF(G9="Beginner", "Avoid functions unless required. Use flat, linear scripts. ", IF(G9="Intermediate", "MUST use modular functions with a main() entry point. ", "MUST use well-structured modular functions with a main() entry point. " )) &amp; " | " &amp;
_xlfn._LONGTEXT("[ARCHITECTURE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
"[DATA ROBUSTNESS RULE] Handle real-world data safely | " &amp;
"[FILE HANDLING RULE] Use correct loaders and enforce encoding='utf-8' and newline='' when applicable | " &amp;
"[SUPPORT FILES RULE] IF an external configuration or data file is needed, include: 1. Short instructional sentence 2. File content in markdown code block 3. Place it strictly BEFORE the main code.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B9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"[ENV USAGE RULE] Bugs ONLY in code logic, not config files | " &amp;
"[SUPPORT FILES RULE] IF an external configuration or data file is needed, include: 1. Short instructional sentence 2. File content in markdown code block 3. Place it strictly BEFORE the main code. | " &amp;
_xlfn._LONGTEXT("[BUG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
"[NO SOLUTION RULE - STRICT] You are generating an EXAM. You MUST NOT provide the fixed code, bug diagnosis, hints, explanations, or takeaways. Output ONLY the broken code. Do NOT solve your own challenges. Let the student find the bugs.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B9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"[CODE CONSTRAINTS] MUST be between " &amp; IF(G9="Beginner", "25–40", IF(G9="Intermediate", "30–60", "40–100")) &amp; " lines of EXECUTABLE code (STRICT: Do NOT count comments or TODOs) - Multi-step flow - Max 2 functions - NO OOP / classes | " &amp;
"[FILE PROCESSING RULE] Use standard native libraries for " &amp; $I$2 &amp; " to parse the file type correctly. Adapt code to data structure. Dataset exists locally with original filename.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B9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"[FUNCTION RULE] Rule: " &amp; IF(G9="Beginner", "Avoid functions unless required. ", IF(G9="Intermediate", "Functions optional. ", "Use 2–4 functions but code can still be messy. " ))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B9 &amp; " | " &amp;
"[LEVEL] " &amp; G9 &amp; " | " &amp;
"[PERSONA RULE] Act as a professional Tech Product Manager defining a project ticket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classes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52</v>
      </c>
      <c r="AF9" s="55" t="s">
        <v>53</v>
      </c>
      <c r="AG9" s="55" t="s">
        <v>54</v>
      </c>
      <c r="AH9" s="56" t="str">
        <f>IF(AE9=$B$6,AG9,"")</f>
        <v/>
      </c>
      <c r="AI9" s="54" t="s">
        <v>55</v>
      </c>
      <c r="AJ9" s="54"/>
      <c r="AK9" s="54">
        <v>1</v>
      </c>
      <c r="AL9" s="54" t="s">
        <v>56</v>
      </c>
      <c r="AM9" s="54" t="s">
        <v>57</v>
      </c>
    </row>
    <row r="10" spans="1:39">
      <c r="A10" s="96">
        <v>6</v>
      </c>
      <c r="B10" s="45" t="str" cm="1">
        <f t="array" ref="B10">IF(H10="PROJECT", CHAR(10) &amp; "- " &amp; _xlfn.TEXTJOIN(CHAR(10) &amp; "- ", TRUE, _xlfn._xlws.FILTER($I$9:$I$1000, ($C$9:$C$1000=C10) * ($H$9:$H$1000="Topic"))), "")</f>
        <v/>
      </c>
      <c r="C10" s="45">
        <f t="shared" si="0"/>
        <v>1</v>
      </c>
      <c r="D10" s="57">
        <v>3</v>
      </c>
      <c r="E10" s="58" t="s">
        <v>49</v>
      </c>
      <c r="F10" s="59">
        <v>2</v>
      </c>
      <c r="G10" s="60" t="s">
        <v>50</v>
      </c>
      <c r="H10" s="60" t="s">
        <v>51</v>
      </c>
      <c r="I10" s="61" t="s">
        <v>659</v>
      </c>
      <c r="J10" s="62" t="s">
        <v>660</v>
      </c>
      <c r="K10" s="103" t="str">
        <f t="shared" ref="K10:K73" si="1">IF(H10="Topic",
"[ROLE] Friendly tutor specializing in " &amp; $I$2 &amp; " | " &amp;
"[TOPIC] " &amp; I10 &amp; " | " &amp;
"[LEVEL] " &amp; G10 &amp; " | " &amp;
"[COUNT] " &amp; D10 &amp; " examples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$A10 &amp; " lines of EXECUTABLE code (STRICT: Do NOT count comments or blank lines). - NEVER exceed this limit. | " &amp;
"[CODE CONSTRAINTS] Single logical flow (no unnecessary complexity) - CRITICAL PROHIBITION: Do NOT include 'if __name__ == '__main__':' blocks or 'pass' statements. Write scripts as flat, top-level execution flows. | " &amp;
"[SYNTAX CONFIGURATION RULE] This: " &amp; IF(F10&gt;=10, "You MUST format output strings elegantly using f-strings natively.", "CRITICAL PROHIBITION: Do NOT use f-strings (f""..."") or any advanced text formatting methods yet. Use basic print() with multiple arguments separated by commas for text labels and variables.")&amp;" | " &amp;
"[FUNCTION RULE] STRICT ARCHITECTURE: " &amp; IF(G10="Beginner","Do NOT use functions unless absolutely required by the concept. Use flat, linear scripts. ",IF(G10="Intermediate","MUST use modular functions. Encapsulate logic in def blocks. ","MUST use modular functions. ABSOLUTELY PROHIBITED: Flat linear scripts. All logic must be contained within callable functions with clear entry points.")) &amp; " | " &amp;
"[FILE HANDLING RULE] Use correct loaders and enforce encoding='utf-8' and newline='' when applicable | " &amp;
"[SUPPORT FILES RULE] If env/config is used, include: 1. Instructional sentence 2. File content in markdown code block 3. BEFORE the main code | " &amp;
"[OUTPUT FORMAT RULE] This: " &amp; IF(F10&gt;=10, "Monetary values formatted with '$', commas, 2 decimals using f-strings.", "Print raw numeric outputs directly without forcing custom monetary formatting structures yet.")&amp;" | " &amp;
"[BOOLEAN HANDLING RULE] Normalize boolean values before comparison | " &amp;
"[DATA TYPE RULE] Explicit casting required before calculations | " &amp;
"[DATA ROBUSTNESS RULE] Handle missing, malformed, or inconsistent data safely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D10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Python | [TOPIC] Read and extract the payload from httpx responses using .text for string formatting and .content for raw byte extraction | [LEVEL] Beginner | [COUNT] 3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 | Stage 1 📖 Practice | Python - HTTPX | 📊 Level: Beginner | 🌐 Coding5s.com
**Concept:** Reading Response Content (.text, .content)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5" t="str">
        <f t="shared" ref="L10:L73" si="2">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B10 &amp; ". Project objective: " &amp; J10, "learning: " &amp; I10 &amp; ". Topic details: " &amp; J10)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"[ARCHITECTURAL CONSTRAINTS] "&amp; IF(G10="Beginner","Do NOT use functions unless absolutely required by the concept. Use flat, linear scripts. NO classes. ", IF(G10="Intermediate","MUST use modular functions ONLY IF the student attempted them or the exercise explicitly demands it. Do NOT over-refactor flat scripts just to make them modular. NO classes. ","MUST use modular functions appropriately for architecture and clarity. "))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Read and extract the payload from httpx responses using .text for string formatting and .content for raw byte extraction. Topic details: Reading Response Content (.text, .content)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 HTTPX | 📊 Level: Beginner
**Topic:** Read and extract the payload from httpx responses using .text for string formatting and .content for raw byte extraction
---
 | [FOOTER RULE - STRICT] End your response with: '--- ⚡ *Coding5s Mentor System — Eliminating Epistemic Debt*' | </v>
      </c>
      <c r="M10" s="52">
        <v>0</v>
      </c>
      <c r="N10" s="104" t="str">
        <f t="shared" ref="N10:N73" si="3">IF(H10="Topic",
"[ROLE] Careless " &amp; $I$2 &amp; " Developer | " &amp;
"[TASK] Generate debugging challenges in " &amp; $I$2 &amp; " | | " &amp;
"[TOPIC] " &amp; I10 &amp; " | | " &amp;
"[LEVEL] " &amp; G10 &amp; " | | " &amp;
"[COUNT] " &amp; D10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"[FILE HANDLING RULE] Use correct loaders and enforce encoding='utf-8' and newline='' when applicable | " &amp;
"[DATA TYPE RULE] Explicit casting required before comparisons or calculations | " &amp;
"[ENV USAGE RULE] Environment variables may be used but bugs MUST exist ONLY in code logic, NEVER in config files | " &amp;
"[CODE CONSTRAINTS] Each challenge MUST include: - Internal data OR dataset usage (based on DATA RULE) - At least 1 loop (when applicable) - At least 1 print statement - " &amp; IF(G10="Beginner", "5–15", IF(G10="Intermediate", "10–25", "15–35")) &amp; " lines of EXECUTABLE code per example (STRICT: Do NOT count blank lines towards this limit) " &amp; IF(G10&lt;&gt;"Advanced", "- NO classes ", "") &amp; "- EXACTLY 1 function - EXACTLY 1 function call - NO global executable code EXCEPT the single function call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Python Developer | [TASK] Generate debugging challenges in Python | | [TOPIC] Read and extract the payload from httpx responses using .text for string formatting and .content for raw byte extraction | | [LEVEL] Beginner | | [COUNT] 3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 | Stage 2 🐛 Debug | Python - HTTPX | 📊 Level: Beginner | 🌐 Coding5s.com
Concept: Reading Response Content (.text, .content)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5" t="str">
        <f t="shared" ref="O10:O73" si="4">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B10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Read and extract the payload from httpx responses using .text for string formatting and .content for raw byte extraction. Topic details: Reading Response Content (.text, .content)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 HTTPX | 📊 Level: Beginner
**Topic:** Read and extract the payload from httpx responses using .text for string formatting and .content for raw byte extraction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4" t="str">
        <f t="shared" ref="Q10:Q73" si="5">IF(H10="Topic",
"[ROLE] Tech Lead | " &amp;
"[TASK] Assign incomplete " &amp; $I$2 &amp; " script challenges | " &amp;
"[TOPIC] " &amp; I10 &amp; " | " &amp;
"[LEVEL] " &amp; G10 &amp; " | " &amp;
"[COUNT] " &amp; D10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
"[FILE PROCESSING RULE] Use standard native libraries for " &amp; $I$2 &amp; " to parse the file type correctly. Adapt code to data structure (tabular, key-value, etc.). Dataset exists locally with original filename. | " &amp;
"[CODE CONSTRAINTS] MUST be between " &amp; IF(G10="Beginner", "5–15", IF(G10="Intermediate", "10–25", "15–35")) &amp; " lines of EXECUTABLE code (STRICT: Do NOT count comments or TODOs) - Length MUST vary across challenges - EXACTLY 1 function - EXACTLY 1 function call - NO classes - NO multiple functions - NO global code EXCEPT the single function call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Python script challenges | [TOPIC] Read and extract the payload from httpx responses using .text for string formatting and .content for raw byte extraction | [LEVEL] Beginner | [COUNT] 3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 | Stage 3 🧩 Complete | Python - HTTPX | 📊 Level: Beginner | 🌐 Coding5s.com
**Concept:** Reading Response Content (.text, .content)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Read and extract the payload from httpx responses using .text for string formatting and .content for raw byte extraction.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5" t="str">
        <f t="shared" ref="R10:R73" si="6">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B10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Read and extract the payload from httpx responses using .text for string formatting and .content for raw byte extraction. Topic details: Reading Response Content (.text, .content)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 HTTPX | 📊 Level: Beginner
**Topic:** Read and extract the payload from httpx responses using .text for string formatting and .content for raw byte extraction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4" t="str">
        <f t="shared" ref="T10:T73" si="7">IF(H10="Topic",
"[ROLE] Tech Lead | " &amp;
"[TASK] Provide intentionally messy but functional code for learning debugging and improvement | " &amp;
"[TOPIC] " &amp; I10 &amp; " | " &amp;
"[LEVEL] " &amp; G10 &amp; " | " &amp;
"[COUNT] " &amp; D10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"[FUNCTION RULE] Rule: " &amp; IF(G10="Beginner", "Do NOT use functions unless absolutely required by the concept. Use linear scripts. ", IF(G10="Intermediate", "Functions are optional. Use them only if they improve clarity. Avoid over-engineering. ", "Use functions appropriately but code can still be messy. " ))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Read and extract the payload from httpx responses using .text for string formatting and .content for raw byte extraction | [LEVEL] Beginner | [COUNT] 3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 HTTPX | 📊 Level: Beginner | 🌐 Coding5s.com
**Concept:** Reading Response Content (.text, .content)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5" t="str">
        <f t="shared" ref="U10:U73" si="8">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B10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Read and extract the payload from httpx responses using .text for string formatting and .content for raw byte extraction. Topic details: Reading Response Content (.text, .content)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 HTTPX | 📊 Level: Beginner
**Topic:** Read and extract the payload from httpx responses using .text for string formatting and .content for raw byte extraction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8" t="str">
        <f t="shared" ref="W10:W73" si="9">IF(H10="Topic",
"[ROLE] Tech Product Manager assigning a " &amp; $I$2 &amp; " Jira Ticket | " &amp;
"[TASK] Provide a guided implementation exercise with full solution for learning purposes | " &amp;
"[TOPIC] " &amp; I10 &amp; " | " &amp;
"[LEVEL] " &amp; G10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_xlfn._LONGTEXT("[CRITICAL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Rule: " &amp; IF(G10="Beginner", "Use simple scripts or minimal functions. ", IF(G10="Intermediate", "Use functions where appropriate. ", "Use modular functions with clear structure. ")) &amp; " | " &amp;
"[CODE QUALITY RULE] Code MUST be clean, readable, and production-like | " &amp;
"[FILE HANDLING RULE] Use correct loaders and enforce encoding='utf-8' and newline=' when applicable | " &amp;
"[DATA TYPE RULE] Explicit casting required before calculations | " &amp;
"[DATA ROBUSTNESS RULE] Handle missing or malformed data safely | " &amp;
"[BOOLEAN HANDLING RULE] Normalize boolean values before comparison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Python Jira Ticket | [TASK] Provide a guided implementation exercise with full solution for learning purposes | [TOPIC] Read and extract the payload from httpx responses using .text for string formatting and .content for raw byte extraction | [LEVEL] Beginner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 HTTPX | 📊 Level: Beginner | 🌐 Coding5s.com
**Concept:** Reading Response Content (.text, .content)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5" t="str">
        <f t="shared" ref="X10:X73" si="10">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B10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Read and extract the payload from httpx responses using .text for string formatting and .content for raw byte extraction. Goal: Reading Response Content (.text, .content)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 HTTPX | 📊 Level: Beginner
**Topic:** Read and extract the payload from httpx responses using .text for string formatting and .content for raw byte extraction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1">IF(H10&lt;&gt;"PROJECT","",
"[TASK] Teach through a practical " &amp; $I$2 &amp; " - " &amp; $I$3 &amp; " project following the micro-learning methodology, acting as a supportive tutor, creating a project about  " &amp; I10 &amp; " | " &amp;
"[TOPICS USED] " &amp; B10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"[CODE CONSTRAINTS] MUST be between " &amp; IF(G10="Beginner", "25–40", IF(G10="Intermediate", "30–60", "40–100")) &amp; " lines (STRICT) - Multi-step flow " &amp; IF(G10&lt;&gt;"Advanced", "- NO classes ", "") &amp; " | " &amp;
"[FUNCTION RULE] " &amp; IF(G10="Beginner", "Avoid functions unless required. Use flat, linear scripts. ", IF(G10="Intermediate", "MUST use modular functions with a main() entry point. ", "MUST use well-structured modular functions with a main() entry point. " )) &amp; " | " &amp;
_xlfn._LONGTEXT("[ARCHITECTURE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
"[DATA ROBUSTNESS RULE] Handle real-world data safely | " &amp;
"[FILE HANDLING RULE] Use correct loaders and enforce encoding='utf-8' and newline='' when applicable | " &amp;
"[SUPPORT FILES RULE] IF an external configuration or data file is needed, include: 1. Short instructional sentence 2. File content in markdown code block 3. Place it strictly BEFORE the main code.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2">IF(H10&lt;&gt;"PROJECT","",
"[ROLE] Careless " &amp; $I$2 &amp; " Developer | " &amp;
"[TASK] Generate debugging project in " &amp; $I$2 &amp; " | " &amp;
"[PROJECT] " &amp; I10 &amp; " | " &amp;
"[TOPICS USED] " &amp; B10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"[ENV USAGE RULE] Bugs ONLY in code logic, not config files | " &amp;
"[SUPPORT FILES RULE] IF an external configuration or data file is needed, include: 1. Short instructional sentence 2. File content in markdown code block 3. Place it strictly BEFORE the main code. | " &amp;
_xlfn._LONGTEXT("[BUG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
"[NO SOLUTION RULE - STRICT] You are generating an EXAM. You MUST NOT provide the fixed code, bug diagnosis, hints, explanations, or takeaways. Output ONLY the broken code. Do NOT solve your own challenges. Let the student find the bugs.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3">IF(H10&lt;&gt;"PROJECT","",
"[ROLE] Tech Lead | " &amp;
"[TASK] Assign incomplete project script | " &amp;
"[PROJECT] " &amp; I10 &amp; " | " &amp;
"[TOPICS USED] " &amp; B10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"[CODE CONSTRAINTS] MUST be between " &amp; IF(G10="Beginner", "25–40", IF(G10="Intermediate", "30–60", "40–100")) &amp; " lines of EXECUTABLE code (STRICT: Do NOT count comments or TODOs) - Multi-step flow - Max 2 functions - NO OOP / classes | " &amp;
"[FILE PROCESSING RULE] Use standard native libraries for " &amp; $I$2 &amp; " to parse the file type correctly. Adapt code to data structure. Dataset exists locally with original filename.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4">IF(H10&lt;&gt;"PROJECT","",
"[ROLE] Tech Lead | " &amp;
"[TASK] Provide a messy but functional project for refactoring | " &amp;
"[PROJECT] " &amp; I10 &amp; " | " &amp;
"[TOPICS USED] " &amp; B10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"[FUNCTION RULE] Rule: " &amp; IF(G10="Beginner", "Avoid functions unless required. ", IF(G10="Intermediate", "Functions optional. ", "Use 2–4 functions but code can still be messy. " ))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5">IF(H10&lt;&gt;"PROJECT","",
"[ROLE] Tech Product Manager assigning a " &amp; $I$2 &amp; " Jira Ticket | " &amp;
"[TASK] Provide a guided project implementation with full solution | " &amp;
"[PROJECT] " &amp; I10 &amp; " | " &amp;
"[TOPICS USED] " &amp; B10 &amp; " | " &amp;
"[LEVEL] " &amp; G10 &amp; " | " &amp;
"[PERSONA RULE] Act as a professional Tech Product Manager defining a project ticket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classes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58</v>
      </c>
      <c r="AF10" s="55" t="s">
        <v>59</v>
      </c>
      <c r="AG10" s="55" t="s">
        <v>60</v>
      </c>
      <c r="AH10" s="56" t="str">
        <f>IF(AE10=$B$6,AG10,"")</f>
        <v/>
      </c>
      <c r="AI10" s="54" t="s">
        <v>61</v>
      </c>
      <c r="AJ10" s="54"/>
      <c r="AK10" s="54">
        <v>2</v>
      </c>
      <c r="AL10" s="54" t="s">
        <v>19</v>
      </c>
      <c r="AM10" s="54" t="s">
        <v>62</v>
      </c>
    </row>
    <row r="11" spans="1:39">
      <c r="A11" s="96">
        <v>6</v>
      </c>
      <c r="B11" s="45" t="str" cm="1">
        <f t="array" ref="B11">IF(H11="PROJECT", CHAR(10) &amp; "- " &amp; _xlfn.TEXTJOIN(CHAR(10) &amp; "- ", TRUE, _xlfn._xlws.FILTER($I$9:$I$1000, ($C$9:$C$1000=C11) * ($H$9:$H$1000="Topic"))), "")</f>
        <v/>
      </c>
      <c r="C11" s="45">
        <f t="shared" si="0"/>
        <v>1</v>
      </c>
      <c r="D11" s="46">
        <v>3</v>
      </c>
      <c r="E11" s="58" t="s">
        <v>49</v>
      </c>
      <c r="F11" s="48">
        <v>3</v>
      </c>
      <c r="G11" s="49" t="s">
        <v>50</v>
      </c>
      <c r="H11" s="49" t="s">
        <v>51</v>
      </c>
      <c r="I11" s="50" t="s">
        <v>661</v>
      </c>
      <c r="J11" s="51" t="s">
        <v>662</v>
      </c>
      <c r="K11" s="103" t="str">
        <f t="shared" si="1"/>
        <v xml:space="preserve">[ROLE] Friendly tutor specializing in Python | [TOPIC] Parse structured JSON payloads from API responses by utilizing the .json() method in httpx to convert text data into native Python dictionaries | [LEVEL] Beginner | [COUNT] 3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 | Stage 1 📖 Practice | Python - HTTPX | 📊 Level: Beginner | 🌐 Coding5s.com
**Concept:** Parsing JSON Responses (.json())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structured JSON payloads from API responses by utilizing the .json() method in httpx to convert text data into native Python dictionaries. Topic details: Parsing JSON Responses (.json())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 HTTPX | 📊 Level: Beginner
**Topic:** Parse structured JSON payloads from API responses by utilizing the .json() method in httpx to convert text data into native Python dictionaries
---
 | [FOOTER RULE - STRICT] End your response with: '--- ⚡ *Coding5s Mentor System — Eliminating Epistemic Debt*' | </v>
      </c>
      <c r="M11" s="52">
        <v>0</v>
      </c>
      <c r="N11" s="104" t="str">
        <f t="shared" si="3"/>
        <v>[ROLE] Careless Python Developer | [TASK] Generate debugging challenges in Python | | [TOPIC] Parse structured JSON payloads from API responses by utilizing the .json() method in httpx to convert text data into native Python dictionaries | | [LEVEL] Beginner | | [COUNT] 3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 | Stage 2 🐛 Debug | Python - HTTPX | 📊 Level: Beginner | 🌐 Coding5s.com
Concept: Parsing JSON Responses (.json())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structured JSON payloads from API responses by utilizing the .json() method in httpx to convert text data into native Python dictionaries. Topic details: Parsing JSON Responses (.json())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 HTTPX | 📊 Level: Beginner
**Topic:** Parse structured JSON payloads from API responses by utilizing the .json() method in httpx to convert text data into native Python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4" t="str">
        <f t="shared" si="5"/>
        <v>[ROLE] Tech Lead | [TASK] Assign incomplete Python script challenges | [TOPIC] Parse structured JSON payloads from API responses by utilizing the .json() method in httpx to convert text data into native Python dictionaries | [LEVEL] Beginner | [COUNT] 3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 | Stage 3 🧩 Complete | Python - HTTPX | 📊 Level: Beginner | 🌐 Coding5s.com
**Concept:** Parsing JSON Responses (.json())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structured JSON payloads from API responses by utilizing the .json() method in httpx to convert text data into native Python dictionaries.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structured JSON payloads from API responses by utilizing the .json() method in httpx to convert text data into native Python dictionaries. Topic details: Parsing JSON Responses (.json())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 HTTPX | 📊 Level: Beginner
**Topic:** Parse structured JSON payloads from API responses by utilizing the .json() method in httpx to convert text data into native Python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4" t="str">
        <f t="shared" si="7"/>
        <v>[ROLE] Tech Lead | [TASK] Provide intentionally messy but functional code for learning debugging and improvement | [TOPIC] Parse structured JSON payloads from API responses by utilizing the .json() method in httpx to convert text data into native Python dictionaries | [LEVEL] Beginner | [COUNT] 3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 HTTPX | 📊 Level: Beginner | 🌐 Coding5s.com
**Concept:** Parsing JSON Responses (.json())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Parse structured JSON payloads from API responses by utilizing the .json() method in httpx to convert text data into native Python dictionaries. Topic details: Parsing JSON Responses (.json())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 HTTPX | 📊 Level: Beginner
**Topic:** Parse structured JSON payloads from API responses by utilizing the .json() method in httpx to convert text data into native Python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8" t="str">
        <f t="shared" si="9"/>
        <v>[ROLE] Tech Product Manager assigning a Python Jira Ticket | [TASK] Provide a guided implementation exercise with full solution for learning purposes | [TOPIC] Parse structured JSON payloads from API responses by utilizing the .json() method in httpx to convert text data into native Python dictionaries | [LEVEL] Beginner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 HTTPX | 📊 Level: Beginner | 🌐 Coding5s.com
**Concept:** Parsing JSON Responses (.json())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structured JSON payloads from API responses by utilizing the .json() method in httpx to convert text data into native Python dictionaries. Goal: Parsing JSON Responses (.json())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 HTTPX | 📊 Level: Beginner
**Topic:** Parse structured JSON payloads from API responses by utilizing the .json() method in httpx to convert text data into native Python dictionaries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1"/>
        <v/>
      </c>
      <c r="AA11" s="56" t="str">
        <f t="shared" si="12"/>
        <v/>
      </c>
      <c r="AB11" s="56" t="str">
        <f t="shared" si="13"/>
        <v/>
      </c>
      <c r="AC11" s="56" t="str">
        <f t="shared" si="14"/>
        <v/>
      </c>
      <c r="AD11" s="56" t="str">
        <f t="shared" si="15"/>
        <v/>
      </c>
      <c r="AE11" s="55" t="s">
        <v>63</v>
      </c>
      <c r="AF11" s="55" t="s">
        <v>64</v>
      </c>
      <c r="AG11" s="55" t="s">
        <v>65</v>
      </c>
      <c r="AH11" s="56" t="str">
        <f>IF(AE11=$B$6,AG11,"")</f>
        <v/>
      </c>
      <c r="AI11" s="54" t="s">
        <v>66</v>
      </c>
      <c r="AJ11" s="54"/>
      <c r="AK11" s="54">
        <v>3</v>
      </c>
      <c r="AL11" s="54" t="s">
        <v>67</v>
      </c>
      <c r="AM11" s="54" t="s">
        <v>68</v>
      </c>
    </row>
    <row r="12" spans="1:39">
      <c r="A12" s="96">
        <v>8</v>
      </c>
      <c r="B12" s="45" t="str" cm="1">
        <f t="array" ref="B12">IF(H12="PROJECT", CHAR(10) &amp; "- " &amp; _xlfn.TEXTJOIN(CHAR(10) &amp; "- ", TRUE, _xlfn._xlws.FILTER($I$9:$I$1000, ($C$9:$C$1000=C12) * ($H$9:$H$1000="Topic"))), "")</f>
        <v/>
      </c>
      <c r="C12" s="45">
        <f t="shared" si="0"/>
        <v>1</v>
      </c>
      <c r="D12" s="57">
        <v>4</v>
      </c>
      <c r="E12" s="58" t="s">
        <v>49</v>
      </c>
      <c r="F12" s="59">
        <v>4</v>
      </c>
      <c r="G12" s="60" t="s">
        <v>50</v>
      </c>
      <c r="H12" s="60" t="s">
        <v>51</v>
      </c>
      <c r="I12" s="61" t="s">
        <v>663</v>
      </c>
      <c r="J12" s="62" t="s">
        <v>664</v>
      </c>
      <c r="K12" s="103" t="str">
        <f t="shared" si="1"/>
        <v xml:space="preserve">[ROLE] Friendly tutor specializing in Python | [TOPIC] Append dynamic query strings to endpoint URLs by passing a Python dictionary to the params argument in httpx requests | [LEVEL] Beginner | [COUNT] 4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 | Stage 1 📖 Practice | Python - HTTPX | 📊 Level: Beginner | 🌐 Coding5s.com
**Concept:** Passing URL Query Parameters (params dictionary)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Append dynamic query strings to endpoint URLs by passing a Python dictionary to the params argument in httpx requests. Topic details: Passing URL Query Parameters (params dictionary)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 HTTPX | 📊 Level: Beginner
**Topic:** Append dynamic query strings to endpoint URLs by passing a Python dictionary to the params argument in httpx requests
---
 | [FOOTER RULE - STRICT] End your response with: '--- ⚡ *Coding5s Mentor System — Eliminating Epistemic Debt*' | </v>
      </c>
      <c r="M12" s="52">
        <v>0</v>
      </c>
      <c r="N12" s="104" t="str">
        <f t="shared" si="3"/>
        <v>[ROLE] Careless Python Developer | [TASK] Generate debugging challenges in Python | | [TOPIC] Append dynamic query strings to endpoint URLs by passing a Python dictionary to the params argument in httpx requests | | [LEVEL] Beginner |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 | Stage 2 🐛 Debug | Python - HTTPX | 📊 Level: Beginner | 🌐 Coding5s.com
Concept: Passing URL Query Parameters (params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Append dynamic query strings to endpoint URLs by passing a Python dictionary to the params argument in httpx requests. Topic details: Passing URL Query Parameters (params dictionary)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 HTTPX | 📊 Level: Beginner
**Topic:** Append dynamic query strings to endpoint URLs by passing a Python dictionary to the params argument in httpx requests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4" t="str">
        <f t="shared" si="5"/>
        <v>[ROLE] Tech Lead | [TASK] Assign incomplete Python script challenges | [TOPIC] Append dynamic query strings to endpoint URLs by passing a Python dictionary to the params argument in httpx requests | [LEVEL] Beginner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 | Stage 3 🧩 Complete | Python - HTTPX | 📊 Level: Beginner | 🌐 Coding5s.com
**Concept:** Passing URL Query Parameters (params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Append dynamic query strings to endpoint URLs by passing a Python dictionary to the params argument in httpx requests.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Append dynamic query strings to endpoint URLs by passing a Python dictionary to the params argument in httpx requests. Topic details: Passing URL Query Parameters (params dictionary)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 HTTPX | 📊 Level: Beginner
**Topic:** Append dynamic query strings to endpoint URLs by passing a Python dictionary to the params argument in httpx requests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4" t="str">
        <f t="shared" si="7"/>
        <v>[ROLE] Tech Lead | [TASK] Provide intentionally messy but functional code for learning debugging and improvement | [TOPIC] Append dynamic query strings to endpoint URLs by passing a Python dictionary to the params argument in httpx requests | [LEVEL] Beginner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 HTTPX | 📊 Level: Beginner | 🌐 Coding5s.com
**Concept:** Passing URL Query Parameters (params dictionary)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Append dynamic query strings to endpoint URLs by passing a Python dictionary to the params argument in httpx requests. Topic details: Passing URL Query Parameters (params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 HTTPX | 📊 Level: Beginner
**Topic:** Append dynamic query strings to endpoint URLs by passing a Python dictionary to the params argument in httpx requests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8" t="str">
        <f t="shared" si="9"/>
        <v>[ROLE] Tech Product Manager assigning a Python Jira Ticket | [TASK] Provide a guided implementation exercise with full solution for learning purposes | [TOPIC] Append dynamic query strings to endpoint URLs by passing a Python dictionary to the params argument in httpx requests | [LEVEL] Beginner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 HTTPX | 📊 Level: Beginner | 🌐 Coding5s.com
**Concept:** Passing URL Query Parameters (params dictionary)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Append dynamic query strings to endpoint URLs by passing a Python dictionary to the params argument in httpx requests. Goal: Passing URL Query Parameters (params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 HTTPX | 📊 Level: Beginner
**Topic:** Append dynamic query strings to endpoint URLs by passing a Python dictionary to the params argument in httpx requests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1"/>
        <v/>
      </c>
      <c r="AA12" s="56" t="str">
        <f t="shared" si="12"/>
        <v/>
      </c>
      <c r="AB12" s="56" t="str">
        <f t="shared" si="13"/>
        <v/>
      </c>
      <c r="AC12" s="56" t="str">
        <f t="shared" si="14"/>
        <v/>
      </c>
      <c r="AD12" s="56" t="str">
        <f t="shared" si="15"/>
        <v/>
      </c>
      <c r="AE12" s="55" t="s">
        <v>69</v>
      </c>
      <c r="AF12" s="55" t="s">
        <v>70</v>
      </c>
      <c r="AG12" s="55" t="s">
        <v>71</v>
      </c>
      <c r="AH12" s="56" t="str">
        <f>IF(AE12=$B$6,AG12,"")</f>
        <v/>
      </c>
      <c r="AI12" s="54" t="s">
        <v>72</v>
      </c>
      <c r="AJ12" s="54"/>
      <c r="AK12" s="54">
        <v>4</v>
      </c>
      <c r="AL12" s="54" t="s">
        <v>73</v>
      </c>
      <c r="AM12" s="54" t="s">
        <v>74</v>
      </c>
    </row>
    <row r="13" spans="1:39">
      <c r="A13" s="96">
        <v>8</v>
      </c>
      <c r="B13" s="45" t="str" cm="1">
        <f t="array" ref="B13">IF(H13="PROJECT", CHAR(10) &amp; "- " &amp; _xlfn.TEXTJOIN(CHAR(10) &amp; "- ", TRUE, _xlfn._xlws.FILTER($I$9:$I$1000, ($C$9:$C$1000=C13) * ($H$9:$H$1000="Topic"))), "")</f>
        <v/>
      </c>
      <c r="C13" s="45">
        <f t="shared" si="0"/>
        <v>1</v>
      </c>
      <c r="D13" s="46">
        <v>3</v>
      </c>
      <c r="E13" s="58" t="s">
        <v>49</v>
      </c>
      <c r="F13" s="48">
        <v>5</v>
      </c>
      <c r="G13" s="49" t="s">
        <v>50</v>
      </c>
      <c r="H13" s="49" t="s">
        <v>51</v>
      </c>
      <c r="I13" s="50" t="s">
        <v>665</v>
      </c>
      <c r="J13" s="51" t="s">
        <v>666</v>
      </c>
      <c r="K13" s="103" t="str">
        <f t="shared" si="1"/>
        <v xml:space="preserve">[ROLE] Friendly tutor specializing in Python | [TOPIC] Inspect HTTP response metadata by accessing the .headers, .url, and .encoding attributes of an httpx response object to understand server configurations | [LEVEL] Beginner | [COUNT] 3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 | Stage 1 📖 Practice | Python - HTTPX | 📊 Level: Beginner | 🌐 Coding5s.com
**Concept:** Inspecting Response Metadata (.headers, .url, .encoding)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HTTP response metadata by accessing the .headers, .url, and .encoding attributes of an httpx response object to understand server configurations. Topic details: Inspecting Response Metadata (.headers, .url, .encoding)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 HTTPX | 📊 Level: Beginner
**Topic:** Inspect HTTP response metadata by accessing the .headers, .url, and .encoding attributes of an httpx response object to understand server configurations
---
 | [FOOTER RULE - STRICT] End your response with: '--- ⚡ *Coding5s Mentor System — Eliminating Epistemic Debt*' | </v>
      </c>
      <c r="M13" s="52">
        <v>0</v>
      </c>
      <c r="N13" s="104" t="str">
        <f t="shared" si="3"/>
        <v>[ROLE] Careless Python Developer | [TASK] Generate debugging challenges in Python | | [TOPIC] Inspect HTTP response metadata by accessing the .headers, .url, and .encoding attributes of an httpx response object to understand server configurations | | [LEVEL] Beginner | | [COUNT] 3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 | Stage 2 🐛 Debug | Python - HTTPX | 📊 Level: Beginner | 🌐 Coding5s.com
Concept: Inspecting Response Metadata (.headers, .url, .encoding)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HTTP response metadata by accessing the .headers, .url, and .encoding attributes of an httpx response object to understand server configurations. Topic details: Inspecting Response Metadata (.headers, .url, .encoding)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 HTTPX | 📊 Level: Beginner
**Topic:** Inspect HTTP response metadata by accessing the .headers, .url, and .encoding attributes of an httpx response object to understand server configurations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4" t="str">
        <f t="shared" si="5"/>
        <v>[ROLE] Tech Lead | [TASK] Assign incomplete Python script challenges | [TOPIC] Inspect HTTP response metadata by accessing the .headers, .url, and .encoding attributes of an httpx response object to understand server configurations | [LEVEL] Beginner | [COUNT] 3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 | Stage 3 🧩 Complete | Python - HTTPX | 📊 Level: Beginner | 🌐 Coding5s.com
**Concept:** Inspecting Response Metadata (.headers, .url, .encoding)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HTTP response metadata by accessing the .headers, .url, and .encoding attributes of an httpx response object to understand server configurations.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HTTP response metadata by accessing the .headers, .url, and .encoding attributes of an httpx response object to understand server configurations. Topic details: Inspecting Response Metadata (.headers, .url, .encoding)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 HTTPX | 📊 Level: Beginner
**Topic:** Inspect HTTP response metadata by accessing the .headers, .url, and .encoding attributes of an httpx response object to understand server configurations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4" t="str">
        <f t="shared" si="7"/>
        <v>[ROLE] Tech Lead | [TASK] Provide intentionally messy but functional code for learning debugging and improvement | [TOPIC] Inspect HTTP response metadata by accessing the .headers, .url, and .encoding attributes of an httpx response object to understand server configurations | [LEVEL] Beginner | [COUNT] 3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 HTTPX | 📊 Level: Beginner | 🌐 Coding5s.com
**Concept:** Inspecting Response Metadata (.headers, .url, .encoding)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Inspect HTTP response metadata by accessing the .headers, .url, and .encoding attributes of an httpx response object to understand server configurations. Topic details: Inspecting Response Metadata (.headers, .url, .encoding)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 HTTPX | 📊 Level: Beginner
**Topic:** Inspect HTTP response metadata by accessing the .headers, .url, and .encoding attributes of an httpx response object to understand server configurations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8" t="str">
        <f t="shared" si="9"/>
        <v>[ROLE] Tech Product Manager assigning a Python Jira Ticket | [TASK] Provide a guided implementation exercise with full solution for learning purposes | [TOPIC] Inspect HTTP response metadata by accessing the .headers, .url, and .encoding attributes of an httpx response object to understand server configurations | [LEVEL] Beginner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 HTTPX | 📊 Level: Beginner | 🌐 Coding5s.com
**Concept:** Inspecting Response Metadata (.headers, .url, .encoding)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HTTP response metadata by accessing the .headers, .url, and .encoding attributes of an httpx response object to understand server configurations. Goal: Inspecting Response Metadata (.headers, .url, .encoding)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 HTTPX | 📊 Level: Beginner
**Topic:** Inspect HTTP response metadata by accessing the .headers, .url, and .encoding attributes of an httpx response object to understand server configurations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1"/>
        <v/>
      </c>
      <c r="AA13" s="56" t="str">
        <f t="shared" si="12"/>
        <v/>
      </c>
      <c r="AB13" s="56" t="str">
        <f t="shared" si="13"/>
        <v/>
      </c>
      <c r="AC13" s="56" t="str">
        <f t="shared" si="14"/>
        <v/>
      </c>
      <c r="AD13" s="56" t="str">
        <f t="shared" si="15"/>
        <v/>
      </c>
      <c r="AE13" s="40" t="s">
        <v>75</v>
      </c>
      <c r="AF13" s="40" t="s">
        <v>76</v>
      </c>
      <c r="AG13" s="40" t="s">
        <v>77</v>
      </c>
      <c r="AH13" s="56" t="str">
        <f t="shared" ref="AH13:AH76" si="16">IF(AE13=$B$6,AG13,"")</f>
        <v/>
      </c>
      <c r="AI13" s="54"/>
      <c r="AJ13" s="54"/>
      <c r="AK13" s="54">
        <v>5</v>
      </c>
      <c r="AL13" s="54" t="s">
        <v>78</v>
      </c>
      <c r="AM13" s="54" t="s">
        <v>79</v>
      </c>
    </row>
    <row r="14" spans="1:39">
      <c r="A14" s="96" t="s">
        <v>80</v>
      </c>
      <c r="B14" s="45" t="str" cm="1">
        <f t="array" ref="B14">IF(H14="PROJECT", CHAR(10) &amp; "- " &amp; _xlfn.TEXTJOIN(CHAR(10) &amp; "- ", TRUE, _xlfn._xlws.FILTER($I$9:$I$1000, ($C$9:$C$1000=C14) * ($H$9:$H$1000="Topic"))), "")</f>
        <v xml:space="preserve">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v>
      </c>
      <c r="C14" s="45">
        <f t="shared" si="0"/>
        <v>1</v>
      </c>
      <c r="D14" s="57">
        <v>0</v>
      </c>
      <c r="E14" s="58" t="s">
        <v>667</v>
      </c>
      <c r="F14" s="59">
        <v>6</v>
      </c>
      <c r="G14" s="60" t="s">
        <v>50</v>
      </c>
      <c r="H14" s="60" t="s">
        <v>81</v>
      </c>
      <c r="I14" s="61" t="s">
        <v>668</v>
      </c>
      <c r="J14" s="62" t="s">
        <v>669</v>
      </c>
      <c r="K14" s="103" t="str">
        <f t="shared" si="1"/>
        <v>[TASK] Teach through a practical Python - HTTPX project following the micro-learning methodology, acting as a supportive tutor, creating a project about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 | Stage 1 | Python - HTTPX | 📊 Level: Beginner | 🌐 Coding5s.com
**Project:** Project 1: Simple API Data Fetcher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4"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simple API data fetcher using httpx that takes a public REST endpoint as input, processes basic GET requests to retrieve JSON data, and outputs formatted textual information to the user. Topics applied in this project: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Project objective: Project 1: Simple API Data Fetcher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 | Practice | Python - HTTPX | 📊 Level: Beginner
**Project:** Build a simple API data fetcher using httpx that takes a public REST endpoint as input, processes basic GET requests to retrieve JSON data, and outputs formatted textual information to the user
---
 | [FOOTER RULE - STRICT] End your response with: '--- ⚡ *Coding5s Mentor System — Eliminating Epistemic Debt*' | </v>
      </c>
      <c r="M14" s="52">
        <v>0</v>
      </c>
      <c r="N14" s="104" t="str">
        <f t="shared" si="3"/>
        <v>[ROLE] Careless Python Developer | [TASK] Generate debugging project in Python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[OUTPUT] Only header, dataset summary or statement (if any), email intro, objective, expected output, broken code, and footer | [HEADER RULE - STRICT] You MUST start your entire response EXACTLY with this markdown block (do not print anything before it):
### 🚀 Project #6 | Stage 2 | Python - HTTPX | 📊 Level: Beginner | 🌐 Coding5s.com
Project: Project 1: Simple API Data Fetcher
---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Mam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simple API data fetcher using httpx that takes a public REST endpoint as input, processes basic GET requests to retrieve JSON data, and outputs formatted textual information to the user. Topics involved: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Project objective: Project 1: Simple API Data Fetcher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 | Debug | Python - HTTPX | 📊 Level: Beginner
**Project:** Build a simple API data fetcher using httpx that takes a public REST endpoint as input, processes basic GET requests to retrieve JSON data, and outputs formatted textual information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4" t="str">
        <f t="shared" si="5"/>
        <v>[ROLE] Tech Lead | [TASK] Assign incomplete project script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 | Stage 3 | Python - HTTPX | 📊 Level: Beginner | 🌐 Coding5s.com
**Project:** Project 1: Simple API Data Fetcher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simple API data fetcher using httpx that takes a public REST endpoint as input, processes basic GET requests to retrieve JSON data, and outputs formatted textual information to the user. Topics involved: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Project objective: Project 1: Simple API Data Fetcher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 | Complete | Python - HTTPX | 📊 Level: Beginner
**Project:** Build a simple API data fetcher using httpx that takes a public REST endpoint as input, processes basic GET requests to retrieve JSON data, and outputs formatted textual information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4" t="str">
        <f t="shared" si="7"/>
        <v>[ROLE] Tech Lead | [TASK] Provide a messy but functional project for refactoring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[PERSONA RULE] Act as a Tech Lead. A junior wrote this working but messy code. Tone: professional but exhausted | [HEADER RULE - STRICT] You MUST start your entire response EXACTLY with this markdown block (do not print anything before it):
### 🚀 Project #6 | Stage 4 | Python - HTTPX | 📊 Level: Beginner | 🌐 Coding5s.com
**Project:** Project 1: Simple API Data Fetcher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simple API data fetcher using httpx that takes a public REST endpoint as input, processes basic GET requests to retrieve JSON data, and outputs formatted textual information to the user. Topics involved: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Project objective: Project 1: Simple API Data Fetcher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 | Refactor | Python - HTTPX | 📊 Level: Beginner
**Project:** Build a simple API data fetcher using httpx that takes a public REST endpoint as input, processes basic GET requests to retrieve JSON data, and outputs formatted textual information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8" t="str">
        <f t="shared" si="9"/>
        <v>[ROLE] Tech Product Manager assigning a Python Jira Ticket | [TASK] Provide a guided project implementation with full solution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[PERSONA RULE] Act as a professional Tech Product Manager defining a project ticket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#6 | Stage 5 | Python - HTTPX | 📊 Level: Beginner | 🌐 Coding5s.com
**Project:** Project 1: Simple API Data Fetcher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simple API data fetcher using httpx that takes a public REST endpoint as input, processes basic GET requests to retrieve JSON data, and outputs formatted textual information to the user. Topics integrated: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Business Goal: Project 1: Simple API Data Fetcher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 | Extend | Python - HTTPX | 📊 Level: Beginner
**Project:** Build a simple API data fetcher using httpx that takes a public REST endpoint as input, processes basic GET requests to retrieve JSON data, and outputs formatted textual information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1"/>
        <v>[TASK] Teach through a practical Python - HTTPX project following the micro-learning methodology, acting as a supportive tutor, creating a project about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 | Stage 1 | Python - HTTPX | 📊 Level: Beginner | 🌐 Coding5s.com
**Project:** Project 1: Simple API Data Fetcher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4" s="56" t="str">
        <f t="shared" si="12"/>
        <v>[ROLE] Careless Python Developer | [TASK] Generate debugging project in Python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[OUTPUT] Only header, dataset summary or statement (if any), email intro, objective, expected output, broken code, and footer | [HEADER RULE - STRICT] You MUST start your entire response EXACTLY with this markdown block (do not print anything before it):
### 🚀 Project #6 | Stage 2 | Python - HTTPX | 📊 Level: Beginner | 🌐 Coding5s.com
Project: Project 1: Simple API Data Fetcher
---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Mam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4" s="56" t="str">
        <f t="shared" si="13"/>
        <v>[ROLE] Tech Lead | [TASK] Assign incomplete project script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 | Stage 3 | Python - HTTPX | 📊 Level: Beginner | 🌐 Coding5s.com
**Project:** Project 1: Simple API Data Fetcher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4" s="56" t="str">
        <f t="shared" si="14"/>
        <v>[ROLE] Tech Lead | [TASK] Provide a messy but functional project for refactoring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[PERSONA RULE] Act as a Tech Lead. A junior wrote this working but messy code. Tone: professional but exhausted | [HEADER RULE - STRICT] You MUST start your entire response EXACTLY with this markdown block (do not print anything before it):
### 🚀 Project #6 | Stage 4 | Python - HTTPX | 📊 Level: Beginner | 🌐 Coding5s.com
**Project:** Project 1: Simple API Data Fetcher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4" s="56" t="str">
        <f t="shared" si="15"/>
        <v>[ROLE] Tech Product Manager assigning a Python Jira Ticket | [TASK] Provide a guided project implementation with full solution | [PROJECT] Build a simple API data fetcher using httpx that takes a public REST endpoint as input, processes basic GET requests to retrieve JSON data, and outputs formatted textual information to the user | [TOPICS USED] 
- Execute basic GET requests using httpx.get to retrieve web page data and evaluate the status_code to confirm successful connections
- Read and extract the payload from httpx responses using .text for string formatting and .content for raw byte extraction
- Parse structured JSON payloads from API responses by utilizing the .json() method in httpx to convert text data into native Python dictionaries
- Append dynamic query strings to endpoint URLs by passing a Python dictionary to the params argument in httpx requests
- Inspect HTTP response metadata by accessing the .headers, .url, and .encoding attributes of an httpx response object to understand server configurations | [LEVEL] Beginner | [PERSONA RULE] Act as a professional Tech Product Manager defining a project ticket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#6 | Stage 5 | Python - HTTPX | 📊 Level: Beginner | 🌐 Coding5s.com
**Project:** Project 1: Simple API Data Fetcher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4" s="40" t="s">
        <v>82</v>
      </c>
      <c r="AF14" s="40" t="s">
        <v>83</v>
      </c>
      <c r="AG14" s="40" t="s">
        <v>84</v>
      </c>
      <c r="AH14" s="56" t="str">
        <f t="shared" si="16"/>
        <v/>
      </c>
      <c r="AI14" s="54"/>
      <c r="AJ14" s="54"/>
      <c r="AK14" s="54">
        <v>6</v>
      </c>
      <c r="AL14" s="54" t="s">
        <v>85</v>
      </c>
      <c r="AM14" s="54" t="s">
        <v>86</v>
      </c>
    </row>
    <row r="15" spans="1:39">
      <c r="A15" s="96">
        <v>8</v>
      </c>
      <c r="B15" s="45" t="str" cm="1">
        <f t="array" ref="B15">IF(H15="PROJECT", CHAR(10) &amp; "- " &amp; _xlfn.TEXTJOIN(CHAR(10) &amp; "- ", TRUE, _xlfn._xlws.FILTER($I$9:$I$1000, ($C$9:$C$1000=C15) * ($H$9:$H$1000="Topic"))), "")</f>
        <v/>
      </c>
      <c r="C15" s="45">
        <f t="shared" si="0"/>
        <v>2</v>
      </c>
      <c r="D15" s="46">
        <v>3</v>
      </c>
      <c r="E15" s="58" t="s">
        <v>49</v>
      </c>
      <c r="F15" s="48">
        <v>7</v>
      </c>
      <c r="G15" s="49" t="s">
        <v>50</v>
      </c>
      <c r="H15" s="49" t="s">
        <v>51</v>
      </c>
      <c r="I15" s="50" t="s">
        <v>670</v>
      </c>
      <c r="J15" s="51" t="s">
        <v>671</v>
      </c>
      <c r="K15" s="103" t="str">
        <f t="shared" si="1"/>
        <v xml:space="preserve">[ROLE] Friendly tutor specializing in Python | [TOPIC] Load environment variables securely for httpx scripts by implementing python-dotenv functions like load_dotenv and os.getenv to protect sensitive API credentials | [LEVEL] Beginner | [COUNT] 3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 | Stage 1 📖 Practice | Python - HTTPX | 📊 Level: Beginner | 🌐 Coding5s.com
**Concept:** Introduction to python-dotenv (load_dotenv, os.getenv)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[ENVIRONMENT CONSTRAINT]: This topic uses input(). You MUST inject a visible Markdown warning at the very beginning of your challenges stating that standard stdin is restricted in Livebooks and they should use online-python.com in their right-hand window if they want to test interactive streams. Also inform: **Please note that ALL other topics and lessons in this curriculum work flawlessly without any execution bugs in Livebook.**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Load environment variables securely for httpx scripts by implementing python-dotenv functions like load_dotenv and os.getenv to protect sensitive API credentials. Topic details: Introduction to python-dotenv (load_dotenv, os.getenv)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[MENTOR CONTEXT ALERT] Be aware of the following infrastructure limitation for this exercise: [ENVIRONMENT CONSTRAINT]: This topic uses input(). You MUST inject a visible Markdown warning at the very beginning of your challenges stating that standard stdin is restricted in Livebooks and they should use online-python.com in their right-hand window if they want to test interactive streams. Also inform: **Please note that ALL other topics and lessons in this curriculum work flawlessly without any execution bugs in Livebook.** Use this knowledge to reassure the student if they present an environment error.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Python - HTTPX | 📊 Level: Beginner
**Topic:** Load environment variables securely for httpx scripts by implementing python-dotenv functions like load_dotenv and os.getenv to protect sensitive API credentials
---
 | [FOOTER RULE - STRICT] End your response with: '--- ⚡ *Coding5s Mentor System — Eliminating Epistemic Debt*' | </v>
      </c>
      <c r="M15" s="52">
        <v>0</v>
      </c>
      <c r="N15" s="104" t="str">
        <f t="shared" si="3"/>
        <v>[ROLE] Careless Python Developer | [TASK] Generate debugging challenges in Python | | [TOPIC] Load environment variables securely for httpx scripts by implementing python-dotenv functions like load_dotenv and os.getenv to protect sensitive API credentials | | [LEVEL] Beginner | | [COUNT] 3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 | Stage 2 🐛 Debug | Python - HTTPX | 📊 Level: Beginner | 🌐 Coding5s.com
Concept: Introduction to python-dotenv (load_dotenv, os.getenv)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Load environment variables securely for httpx scripts by implementing python-dotenv functions like load_dotenv and os.getenv to protect sensitive API credentials. Topic details: Introduction to python-dotenv (load_dotenv, os.getenv)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Python - HTTPX | 📊 Level: Beginner
**Topic:** Load environment variables securely for httpx scripts by implementing python-dotenv functions like load_dotenv and os.getenv to protect sensitive API credentials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4" t="str">
        <f t="shared" si="5"/>
        <v>[ROLE] Tech Lead | [TASK] Assign incomplete Python script challenges | [TOPIC] Load environment variables securely for httpx scripts by implementing python-dotenv functions like load_dotenv and os.getenv to protect sensitive API credentials | [LEVEL] Beginner | [COUNT] 3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 | Stage 3 🧩 Complete | Python - HTTPX | 📊 Level: Beginner | 🌐 Coding5s.com
**Concept:** Introduction to python-dotenv (load_dotenv, os.getenv)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Load environment variables securely for httpx scripts by implementing python-dotenv functions like load_dotenv and os.getenv to protect sensitive API credentials.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Load environment variables securely for httpx scripts by implementing python-dotenv functions like load_dotenv and os.getenv to protect sensitive API credentials. Topic details: Introduction to python-dotenv (load_dotenv, os.getenv)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Python - HTTPX | 📊 Level: Beginner
**Topic:** Load environment variables securely for httpx scripts by implementing python-dotenv functions like load_dotenv and os.getenv to protect sensitive API credentials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4" t="str">
        <f t="shared" si="7"/>
        <v>[ROLE] Tech Lead | [TASK] Provide intentionally messy but functional code for learning debugging and improvement | [TOPIC] Load environment variables securely for httpx scripts by implementing python-dotenv functions like load_dotenv and os.getenv to protect sensitive API credentials | [LEVEL] Beginner | [COUNT] 3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Python - HTTPX | 📊 Level: Beginner | 🌐 Coding5s.com
**Concept:** Introduction to python-dotenv (load_dotenv, os.getenv)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Load environment variables securely for httpx scripts by implementing python-dotenv functions like load_dotenv and os.getenv to protect sensitive API credentials. Topic details: Introduction to python-dotenv (load_dotenv, os.getenv)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Python - HTTPX | 📊 Level: Beginner
**Topic:** Load environment variables securely for httpx scripts by implementing python-dotenv functions like load_dotenv and os.getenv to protect sensitive API credentials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8" t="str">
        <f t="shared" si="9"/>
        <v>[ROLE] Tech Product Manager assigning a Python Jira Ticket | [TASK] Provide a guided implementation exercise with full solution for learning purposes | [TOPIC] Load environment variables securely for httpx scripts by implementing python-dotenv functions like load_dotenv and os.getenv to protect sensitive API credentials | [LEVEL] Beginner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Python - HTTPX | 📊 Level: Beginner | 🌐 Coding5s.com
**Concept:** Introduction to python-dotenv (load_dotenv, os.getenv)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Load environment variables securely for httpx scripts by implementing python-dotenv functions like load_dotenv and os.getenv to protect sensitive API credentials. Goal: Introduction to python-dotenv (load_dotenv, os.getenv)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Python - HTTPX | 📊 Level: Beginner
**Topic:** Load environment variables securely for httpx scripts by implementing python-dotenv functions like load_dotenv and os.getenv to protect sensitive API credentials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1"/>
        <v/>
      </c>
      <c r="AA15" s="56" t="str">
        <f t="shared" si="12"/>
        <v/>
      </c>
      <c r="AB15" s="56" t="str">
        <f t="shared" si="13"/>
        <v/>
      </c>
      <c r="AC15" s="56" t="str">
        <f t="shared" si="14"/>
        <v/>
      </c>
      <c r="AD15" s="56" t="str">
        <f t="shared" si="15"/>
        <v/>
      </c>
      <c r="AE15" s="40" t="s">
        <v>87</v>
      </c>
      <c r="AF15" s="40" t="s">
        <v>88</v>
      </c>
      <c r="AG15" s="40" t="s">
        <v>89</v>
      </c>
      <c r="AH15" s="56" t="str">
        <f t="shared" si="16"/>
        <v/>
      </c>
      <c r="AI15" s="54"/>
      <c r="AJ15" s="54" t="s">
        <v>90</v>
      </c>
      <c r="AK15" s="54">
        <v>7</v>
      </c>
      <c r="AL15" s="54" t="s">
        <v>91</v>
      </c>
      <c r="AM15" s="54" t="s">
        <v>92</v>
      </c>
    </row>
    <row r="16" spans="1:39">
      <c r="A16" s="96">
        <v>8</v>
      </c>
      <c r="B16" s="45" t="str" cm="1">
        <f t="array" ref="B16">IF(H16="PROJECT", CHAR(10) &amp; "- " &amp; _xlfn.TEXTJOIN(CHAR(10) &amp; "- ", TRUE, _xlfn._xlws.FILTER($I$9:$I$1000, ($C$9:$C$1000=C16) * ($H$9:$H$1000="Topic"))), "")</f>
        <v/>
      </c>
      <c r="C16" s="45">
        <f t="shared" si="0"/>
        <v>2</v>
      </c>
      <c r="D16" s="57">
        <v>4</v>
      </c>
      <c r="E16" s="58" t="s">
        <v>49</v>
      </c>
      <c r="F16" s="59">
        <v>8</v>
      </c>
      <c r="G16" s="60" t="s">
        <v>50</v>
      </c>
      <c r="H16" s="60" t="s">
        <v>51</v>
      </c>
      <c r="I16" s="61" t="s">
        <v>672</v>
      </c>
      <c r="J16" s="62" t="s">
        <v>673</v>
      </c>
      <c r="K16" s="103" t="str">
        <f t="shared" si="1"/>
        <v xml:space="preserve">[ROLE] Friendly tutor specializing in Python | [TOPIC] Customize HTTP request headers in httpx by passing a dictionary to the headers parameter to specify accepted content types or simulate specific browser user agents | [LEVEL] Beginner | [COUNT] 4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 | Stage 1 📖 Practice | Python - HTTPX | 📊 Level: Beginner | 🌐 Coding5s.com
**Concept:** Customizing Request Headers (headers dictionary)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6"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HTTP request headers in httpx by passing a dictionary to the headers parameter to specify accepted content types or simulate specific browser user agents. Topic details: Customizing Request Headers (headers dictionary)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 HTTPX | 📊 Level: Beginner
**Topic:** Customize HTTP request headers in httpx by passing a dictionary to the headers parameter to specify accepted content types or simulate specific browser user agents
---
 | [FOOTER RULE - STRICT] End your response with: '--- ⚡ *Coding5s Mentor System — Eliminating Epistemic Debt*' | </v>
      </c>
      <c r="M16" s="52">
        <v>0</v>
      </c>
      <c r="N16" s="104" t="str">
        <f t="shared" si="3"/>
        <v>[ROLE] Careless Python Developer | [TASK] Generate debugging challenges in Python | | [TOPIC] Customize HTTP request headers in httpx by passing a dictionary to the headers parameter to specify accepted content types or simulate specific browser user agents | | [LEVEL] Beginner |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 | Stage 2 🐛 Debug | Python - HTTPX | 📊 Level: Beginner | 🌐 Coding5s.com
Concept: Customizing Request Headers (headers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HTTP request headers in httpx by passing a dictionary to the headers parameter to specify accepted content types or simulate specific browser user agents. Topic details: Customizing Request Headers (headers dictionary)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 HTTPX | 📊 Level: Beginner
**Topic:** Customize HTTP request headers in httpx by passing a dictionary to the headers parameter to specify accepted content types or simulate specific browser user agents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4" t="str">
        <f t="shared" si="5"/>
        <v>[ROLE] Tech Lead | [TASK] Assign incomplete Python script challenges | [TOPIC] Customize HTTP request headers in httpx by passing a dictionary to the headers parameter to specify accepted content types or simulate specific browser user agents | [LEVEL] Beginner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 | Stage 3 🧩 Complete | Python - HTTPX | 📊 Level: Beginner | 🌐 Coding5s.com
**Concept:** Customizing Request Headers (headers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HTTP request headers in httpx by passing a dictionary to the headers parameter to specify accepted content types or simulate specific browser user agents.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HTTP request headers in httpx by passing a dictionary to the headers parameter to specify accepted content types or simulate specific browser user agents. Topic details: Customizing Request Headers (headers dictionary)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 HTTPX | 📊 Level: Beginner
**Topic:** Customize HTTP request headers in httpx by passing a dictionary to the headers parameter to specify accepted content types or simulate specific browser user agents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4" t="str">
        <f t="shared" si="7"/>
        <v>[ROLE] Tech Lead | [TASK] Provide intentionally messy but functional code for learning debugging and improvement | [TOPIC] Customize HTTP request headers in httpx by passing a dictionary to the headers parameter to specify accepted content types or simulate specific browser user agents | [LEVEL] Beginner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Python - HTTPX | 📊 Level: Beginner | 🌐 Coding5s.com
**Concept:** Customizing Request Headers (headers dictionary)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Customize HTTP request headers in httpx by passing a dictionary to the headers parameter to specify accepted content types or simulate specific browser user agents. Topic details: Customizing Request Headers (headers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 HTTPX | 📊 Level: Beginner
**Topic:** Customize HTTP request headers in httpx by passing a dictionary to the headers parameter to specify accepted content types or simulate specific browser user agents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8" t="str">
        <f t="shared" si="9"/>
        <v>[ROLE] Tech Product Manager assigning a Python Jira Ticket | [TASK] Provide a guided implementation exercise with full solution for learning purposes | [TOPIC] Customize HTTP request headers in httpx by passing a dictionary to the headers parameter to specify accepted content types or simulate specific browser user agents | [LEVEL] Beginner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Python - HTTPX | 📊 Level: Beginner | 🌐 Coding5s.com
**Concept:** Customizing Request Headers (headers dictionary)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HTTP request headers in httpx by passing a dictionary to the headers parameter to specify accepted content types or simulate specific browser user agents. Goal: Customizing Request Headers (headers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 HTTPX | 📊 Level: Beginner
**Topic:** Customize HTTP request headers in httpx by passing a dictionary to the headers parameter to specify accepted content types or simulate specific browser user agents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1"/>
        <v/>
      </c>
      <c r="AA16" s="56" t="str">
        <f t="shared" si="12"/>
        <v/>
      </c>
      <c r="AB16" s="56" t="str">
        <f t="shared" si="13"/>
        <v/>
      </c>
      <c r="AC16" s="56" t="str">
        <f t="shared" si="14"/>
        <v/>
      </c>
      <c r="AD16" s="56" t="str">
        <f t="shared" si="15"/>
        <v/>
      </c>
      <c r="AE16" s="40" t="s">
        <v>93</v>
      </c>
      <c r="AF16" s="40" t="s">
        <v>94</v>
      </c>
      <c r="AG16" s="40" t="s">
        <v>95</v>
      </c>
      <c r="AH16" s="56" t="str">
        <f t="shared" si="16"/>
        <v/>
      </c>
      <c r="AI16" s="54"/>
      <c r="AJ16" s="54"/>
      <c r="AK16" s="54">
        <v>8</v>
      </c>
      <c r="AL16" s="54" t="s">
        <v>96</v>
      </c>
      <c r="AM16" s="54" t="s">
        <v>97</v>
      </c>
    </row>
    <row r="17" spans="1:39">
      <c r="A17" s="96">
        <v>8</v>
      </c>
      <c r="B17" s="45" t="str" cm="1">
        <f t="array" ref="B17">IF(H17="PROJECT", CHAR(10) &amp; "- " &amp; _xlfn.TEXTJOIN(CHAR(10) &amp; "- ", TRUE, _xlfn._xlws.FILTER($I$9:$I$1000, ($C$9:$C$1000=C17) * ($H$9:$H$1000="Topic"))), "")</f>
        <v/>
      </c>
      <c r="C17" s="45">
        <f t="shared" si="0"/>
        <v>2</v>
      </c>
      <c r="D17" s="46">
        <v>3</v>
      </c>
      <c r="E17" s="58" t="s">
        <v>49</v>
      </c>
      <c r="F17" s="48">
        <v>9</v>
      </c>
      <c r="G17" s="49" t="s">
        <v>50</v>
      </c>
      <c r="H17" s="49" t="s">
        <v>51</v>
      </c>
      <c r="I17" s="50" t="s">
        <v>674</v>
      </c>
      <c r="J17" s="51" t="s">
        <v>675</v>
      </c>
      <c r="K17" s="103" t="str">
        <f t="shared" si="1"/>
        <v xml:space="preserve">[ROLE] Friendly tutor specializing in Python | [TOPIC] Implement Basic Authentication in httpx requests by supplying a secure username and password tuple to the auth parameter to access protected endpoints | [LEVEL] Beginner | [COUNT] 3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 | Stage 1 📖 Practice | Python - HTTPX | 📊 Level: Beginner | 🌐 Coding5s.com
**Concept:** Implementing Basic Authentication (auth tuple)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Basic Authentication in httpx requests by supplying a secure username and password tuple to the auth parameter to access protected endpoints. Topic details: Implementing Basic Authentication (auth tuple)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 HTTPX | 📊 Level: Beginner
**Topic:** Implement Basic Authentication in httpx requests by supplying a secure username and password tuple to the auth parameter to access protected endpoints
---
 | [FOOTER RULE - STRICT] End your response with: '--- ⚡ *Coding5s Mentor System — Eliminating Epistemic Debt*' | </v>
      </c>
      <c r="M17" s="53">
        <v>0</v>
      </c>
      <c r="N17" s="104" t="str">
        <f t="shared" si="3"/>
        <v>[ROLE] Careless Python Developer | [TASK] Generate debugging challenges in Python | | [TOPIC] Implement Basic Authentication in httpx requests by supplying a secure username and password tuple to the auth parameter to access protected endpoints | | [LEVEL] Beginner | | [COUNT] 3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 | Stage 2 🐛 Debug | Python - HTTPX | 📊 Level: Beginner | 🌐 Coding5s.com
Concept: Implementing Basic Authentication (auth tuple)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Basic Authentication in httpx requests by supplying a secure username and password tuple to the auth parameter to access protected endpoints. Topic details: Implementing Basic Authentication (auth tuple)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 HTTPX | 📊 Level: Beginner
**Topic:** Implement Basic Authentication in httpx requests by supplying a secure username and password tuple to the auth parameter to access protected endpoints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4" t="str">
        <f t="shared" si="5"/>
        <v>[ROLE] Tech Lead | [TASK] Assign incomplete Python script challenges | [TOPIC] Implement Basic Authentication in httpx requests by supplying a secure username and password tuple to the auth parameter to access protected endpoints | [LEVEL] Beginner | [COUNT] 3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 | Stage 3 🧩 Complete | Python - HTTPX | 📊 Level: Beginner | 🌐 Coding5s.com
**Concept:** Implementing Basic Authentication (auth tuple)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Basic Authentication in httpx requests by supplying a secure username and password tuple to the auth parameter to access protected endpoints.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Basic Authentication in httpx requests by supplying a secure username and password tuple to the auth parameter to access protected endpoints. Topic details: Implementing Basic Authentication (auth tuple)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 HTTPX | 📊 Level: Beginner
**Topic:** Implement Basic Authentication in httpx requests by supplying a secure username and password tuple to the auth parameter to access protected endpoints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4" t="str">
        <f t="shared" si="7"/>
        <v>[ROLE] Tech Lead | [TASK] Provide intentionally messy but functional code for learning debugging and improvement | [TOPIC] Implement Basic Authentication in httpx requests by supplying a secure username and password tuple to the auth parameter to access protected endpoints | [LEVEL] Beginner | [COUNT] 3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 HTTPX | 📊 Level: Beginner | 🌐 Coding5s.com
**Concept:** Implementing Basic Authentication (auth tuple)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Basic Authentication in httpx requests by supplying a secure username and password tuple to the auth parameter to access protected endpoints. Topic details: Implementing Basic Authentication (auth tuple)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 HTTPX | 📊 Level: Beginner
**Topic:** Implement Basic Authentication in httpx requests by supplying a secure username and password tuple to the auth parameter to access protected endpoints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8" t="str">
        <f t="shared" si="9"/>
        <v>[ROLE] Tech Product Manager assigning a Python Jira Ticket | [TASK] Provide a guided implementation exercise with full solution for learning purposes | [TOPIC] Implement Basic Authentication in httpx requests by supplying a secure username and password tuple to the auth parameter to access protected endpoints | [LEVEL] Beginner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 HTTPX | 📊 Level: Beginner | 🌐 Coding5s.com
**Concept:** Implementing Basic Authentication (auth tuple)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Basic Authentication in httpx requests by supplying a secure username and password tuple to the auth parameter to access protected endpoints. Goal: Implementing Basic Authentication (auth tuple)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 HTTPX | 📊 Level: Beginner
**Topic:** Implement Basic Authentication in httpx requests by supplying a secure username and password tuple to the auth parameter to access protected endpoints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1"/>
        <v/>
      </c>
      <c r="AA17" s="56" t="str">
        <f t="shared" si="12"/>
        <v/>
      </c>
      <c r="AB17" s="56" t="str">
        <f t="shared" si="13"/>
        <v/>
      </c>
      <c r="AC17" s="56" t="str">
        <f t="shared" si="14"/>
        <v/>
      </c>
      <c r="AD17" s="56" t="str">
        <f t="shared" si="15"/>
        <v/>
      </c>
      <c r="AE17" s="40" t="s">
        <v>98</v>
      </c>
      <c r="AF17" s="40" t="s">
        <v>99</v>
      </c>
      <c r="AG17" s="40" t="s">
        <v>100</v>
      </c>
      <c r="AH17" s="56" t="str">
        <f t="shared" si="16"/>
        <v/>
      </c>
      <c r="AI17" s="54"/>
      <c r="AJ17" s="54"/>
      <c r="AK17" s="54">
        <v>9</v>
      </c>
      <c r="AL17" s="54" t="s">
        <v>101</v>
      </c>
      <c r="AM17" s="54" t="s">
        <v>102</v>
      </c>
    </row>
    <row r="18" spans="1:39">
      <c r="A18" s="96">
        <v>8</v>
      </c>
      <c r="B18" s="45" t="str" cm="1">
        <f t="array" ref="B18">IF(H18="PROJECT", CHAR(10) &amp; "- " &amp; _xlfn.TEXTJOIN(CHAR(10) &amp; "- ", TRUE, _xlfn._xlws.FILTER($I$9:$I$1000, ($C$9:$C$1000=C18) * ($H$9:$H$1000="Topic"))), "")</f>
        <v/>
      </c>
      <c r="C18" s="45">
        <f t="shared" si="0"/>
        <v>2</v>
      </c>
      <c r="D18" s="57">
        <v>4</v>
      </c>
      <c r="E18" s="58" t="s">
        <v>49</v>
      </c>
      <c r="F18" s="59">
        <v>10</v>
      </c>
      <c r="G18" s="60" t="s">
        <v>50</v>
      </c>
      <c r="H18" s="60" t="s">
        <v>51</v>
      </c>
      <c r="I18" s="61" t="s">
        <v>676</v>
      </c>
      <c r="J18" s="62" t="s">
        <v>677</v>
      </c>
      <c r="K18" s="103" t="str">
        <f t="shared" si="1"/>
        <v xml:space="preserve">[ROLE] Friendly tutor specializing in Python | [TOPIC] Authenticate API requests using Bearer Tokens by manually injecting the authorization string into the custom headers dictionary within an httpx request payload | [LEVEL] Beginner | [COUNT] 4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 | Stage 1 📖 Practice | Python - HTTPX | 📊 Level: Beginner | 🌐 Coding5s.com
**Concept:** Implementing Bearer Token Authentication (via custom headers)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Authenticate API requests using Bearer Tokens by manually injecting the authorization string into the custom headers dictionary within an httpx request payload. Topic details: Implementing Bearer Token Authentication (via custom headers)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 HTTPX | 📊 Level: Beginner
**Topic:** Authenticate API requests using Bearer Tokens by manually injecting the authorization string into the custom headers dictionary within an httpx request payload
---
 | [FOOTER RULE - STRICT] End your response with: '--- ⚡ *Coding5s Mentor System — Eliminating Epistemic Debt*' | </v>
      </c>
      <c r="M18" s="52">
        <v>0</v>
      </c>
      <c r="N18" s="104" t="str">
        <f t="shared" si="3"/>
        <v>[ROLE] Careless Python Developer | [TASK] Generate debugging challenges in Python | | [TOPIC] Authenticate API requests using Bearer Tokens by manually injecting the authorization string into the custom headers dictionary within an httpx request payload | | [LEVEL] Beginner |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 | Stage 2 🐛 Debug | Python - HTTPX | 📊 Level: Beginner | 🌐 Coding5s.com
Concept: Implementing Bearer Token Authentication (via custom headers)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Authenticate API requests using Bearer Tokens by manually injecting the authorization string into the custom headers dictionary within an httpx request payload. Topic details: Implementing Bearer Token Authentication (via custom headers)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 HTTPX | 📊 Level: Beginner
**Topic:** Authenticate API requests using Bearer Tokens by manually injecting the authorization string into the custom headers dictionary within an httpx request payload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4" t="str">
        <f t="shared" si="5"/>
        <v>[ROLE] Tech Lead | [TASK] Assign incomplete Python script challenges | [TOPIC] Authenticate API requests using Bearer Tokens by manually injecting the authorization string into the custom headers dictionary within an httpx request payload | [LEVEL] Beginner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 | Stage 3 🧩 Complete | Python - HTTPX | 📊 Level: Beginner | 🌐 Coding5s.com
**Concept:** Implementing Bearer Token Authentication (via custom headers)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Authenticate API requests using Bearer Tokens by manually injecting the authorization string into the custom headers dictionary within an httpx request payload.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Authenticate API requests using Bearer Tokens by manually injecting the authorization string into the custom headers dictionary within an httpx request payload. Topic details: Implementing Bearer Token Authentication (via custom headers)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 HTTPX | 📊 Level: Beginner
**Topic:** Authenticate API requests using Bearer Tokens by manually injecting the authorization string into the custom headers dictionary within an httpx request payload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4" t="str">
        <f t="shared" si="7"/>
        <v>[ROLE] Tech Lead | [TASK] Provide intentionally messy but functional code for learning debugging and improvement | [TOPIC] Authenticate API requests using Bearer Tokens by manually injecting the authorization string into the custom headers dictionary within an httpx request payload | [LEVEL] Beginner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 HTTPX | 📊 Level: Beginner | 🌐 Coding5s.com
**Concept:** Implementing Bearer Token Authentication (via custom headers)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Authenticate API requests using Bearer Tokens by manually injecting the authorization string into the custom headers dictionary within an httpx request payload. Topic details: Implementing Bearer Token Authentication (via custom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 HTTPX | 📊 Level: Beginner
**Topic:** Authenticate API requests using Bearer Tokens by manually injecting the authorization string into the custom headers dictionary within an httpx request payload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8" t="str">
        <f t="shared" si="9"/>
        <v>[ROLE] Tech Product Manager assigning a Python Jira Ticket | [TASK] Provide a guided implementation exercise with full solution for learning purposes | [TOPIC] Authenticate API requests using Bearer Tokens by manually injecting the authorization string into the custom headers dictionary within an httpx request payload | [LEVEL] Beginner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 HTTPX | 📊 Level: Beginner | 🌐 Coding5s.com
**Concept:** Implementing Bearer Token Authentication (via custom headers)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Authenticate API requests using Bearer Tokens by manually injecting the authorization string into the custom headers dictionary within an httpx request payload. Goal: Implementing Bearer Token Authentication (via custom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 HTTPX | 📊 Level: Beginner
**Topic:** Authenticate API requests using Bearer Tokens by manually injecting the authorization string into the custom headers dictionary within an httpx request payload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1"/>
        <v/>
      </c>
      <c r="AA18" s="56" t="str">
        <f t="shared" si="12"/>
        <v/>
      </c>
      <c r="AB18" s="56" t="str">
        <f t="shared" si="13"/>
        <v/>
      </c>
      <c r="AC18" s="56" t="str">
        <f t="shared" si="14"/>
        <v/>
      </c>
      <c r="AD18" s="56" t="str">
        <f t="shared" si="15"/>
        <v/>
      </c>
      <c r="AE18" s="40" t="s">
        <v>103</v>
      </c>
      <c r="AF18" s="40" t="s">
        <v>104</v>
      </c>
      <c r="AG18" s="40" t="s">
        <v>105</v>
      </c>
      <c r="AH18" s="56" t="str">
        <f t="shared" si="16"/>
        <v/>
      </c>
      <c r="AI18" s="54"/>
      <c r="AJ18" s="54"/>
      <c r="AK18" s="54">
        <v>10</v>
      </c>
      <c r="AL18" s="54" t="s">
        <v>106</v>
      </c>
      <c r="AM18" s="54" t="s">
        <v>107</v>
      </c>
    </row>
    <row r="19" spans="1:39">
      <c r="A19" s="96">
        <v>8</v>
      </c>
      <c r="B19" s="45" t="str" cm="1">
        <f t="array" ref="B19">IF(H19="PROJECT", CHAR(10) &amp; "- " &amp; _xlfn.TEXTJOIN(CHAR(10) &amp; "- ", TRUE, _xlfn._xlws.FILTER($I$9:$I$1000, ($C$9:$C$1000=C19) * ($H$9:$H$1000="Topic"))), "")</f>
        <v/>
      </c>
      <c r="C19" s="45">
        <f t="shared" si="0"/>
        <v>2</v>
      </c>
      <c r="D19" s="46">
        <v>4</v>
      </c>
      <c r="E19" s="58" t="s">
        <v>49</v>
      </c>
      <c r="F19" s="48">
        <v>11</v>
      </c>
      <c r="G19" s="49" t="s">
        <v>50</v>
      </c>
      <c r="H19" s="49" t="s">
        <v>51</v>
      </c>
      <c r="I19" s="50" t="s">
        <v>678</v>
      </c>
      <c r="J19" s="51" t="s">
        <v>679</v>
      </c>
      <c r="K19" s="103" t="str">
        <f t="shared" si="1"/>
        <v xml:space="preserve">[ROLE] Friendly tutor specializing in Python | [TOPIC] Handle HTTP error codes automatically by invoking the raise_for_status() method on an httpx response object to trigger Python exceptions for failed or rejected requests | [LEVEL] Beginner | [COUNT] 4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#11 | Stage 1 📖 Practice | Python - HTTPX | 📊 Level: Beginner | 🌐 Coding5s.com
**Concept:** Handling HTTP Errors Automatically (raise_for_status())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Handle HTTP error codes automatically by invoking the raise_for_status() method on an httpx response object to trigger Python exceptions for failed or rejected requests. Topic details: Handling HTTP Errors Automatically (raise_for_status())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 HTTPX | 📊 Level: Beginner
**Topic:** Handle HTTP error codes automatically by invoking the raise_for_status() method on an httpx response object to trigger Python exceptions for failed or rejected requests
---
 | [FOOTER RULE - STRICT] End your response with: '--- ⚡ *Coding5s Mentor System — Eliminating Epistemic Debt*' | </v>
      </c>
      <c r="M19" s="53">
        <v>0</v>
      </c>
      <c r="N19" s="104" t="str">
        <f t="shared" si="3"/>
        <v>[ROLE] Careless Python Developer | [TASK] Generate debugging challenges in Python | | [TOPIC] Handle HTTP error codes automatically by invoking the raise_for_status() method on an httpx response object to trigger Python exceptions for failed or rejected requests | | [LEVEL] Beginner |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 | Stage 2 🐛 Debug | Python - HTTPX | 📊 Level: Beginner | 🌐 Coding5s.com
Concept: Handling HTTP Errors Automatically (raise_for_status())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Handle HTTP error codes automatically by invoking the raise_for_status() method on an httpx response object to trigger Python exceptions for failed or rejected requests. Topic details: Handling HTTP Errors Automatically (raise_for_status())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 HTTPX | 📊 Level: Beginner
**Topic:** Handle HTTP error codes automatically by invoking the raise_for_status() method on an httpx response object to trigger Python exceptions for failed or rejected requests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4" t="str">
        <f t="shared" si="5"/>
        <v>[ROLE] Tech Lead | [TASK] Assign incomplete Python script challenges | [TOPIC] Handle HTTP error codes automatically by invoking the raise_for_status() method on an httpx response object to trigger Python exceptions for failed or rejected requests | [LEVEL] Beginner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 | Stage 3 🧩 Complete | Python - HTTPX | 📊 Level: Beginner | 🌐 Coding5s.com
**Concept:** Handling HTTP Errors Automatically (raise_for_status())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Handle HTTP error codes automatically by invoking the raise_for_status() method on an httpx response object to trigger Python exceptions for failed or rejected requests.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Handle HTTP error codes automatically by invoking the raise_for_status() method on an httpx response object to trigger Python exceptions for failed or rejected requests. Topic details: Handling HTTP Errors Automatically (raise_for_status())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 HTTPX | 📊 Level: Beginner
**Topic:** Handle HTTP error codes automatically by invoking the raise_for_status() method on an httpx response object to trigger Python exceptions for failed or rejected requests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4" t="str">
        <f t="shared" si="7"/>
        <v>[ROLE] Tech Lead | [TASK] Provide intentionally messy but functional code for learning debugging and improvement | [TOPIC] Handle HTTP error codes automatically by invoking the raise_for_status() method on an httpx response object to trigger Python exceptions for failed or rejected requests | [LEVEL] Beginner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 HTTPX | 📊 Level: Beginner | 🌐 Coding5s.com
**Concept:** Handling HTTP Errors Automatically (raise_for_status())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Handle HTTP error codes automatically by invoking the raise_for_status() method on an httpx response object to trigger Python exceptions for failed or rejected requests. Topic details: Handling HTTP Errors Automatically (raise_for_status())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 HTTPX | 📊 Level: Beginner
**Topic:** Handle HTTP error codes automatically by invoking the raise_for_status() method on an httpx response object to trigger Python exceptions for failed or rejected requests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8" t="str">
        <f t="shared" si="9"/>
        <v>[ROLE] Tech Product Manager assigning a Python Jira Ticket | [TASK] Provide a guided implementation exercise with full solution for learning purposes | [TOPIC] Handle HTTP error codes automatically by invoking the raise_for_status() method on an httpx response object to trigger Python exceptions for failed or rejected requests | [LEVEL] Beginner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 HTTPX | 📊 Level: Beginner | 🌐 Coding5s.com
**Concept:** Handling HTTP Errors Automatically (raise_for_status())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Handle HTTP error codes automatically by invoking the raise_for_status() method on an httpx response object to trigger Python exceptions for failed or rejected requests. Goal: Handling HTTP Errors Automatically (raise_for_status())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 HTTPX | 📊 Level: Beginner
**Topic:** Handle HTTP error codes automatically by invoking the raise_for_status() method on an httpx response object to trigger Python exceptions for failed or rejected requests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1"/>
        <v/>
      </c>
      <c r="AA19" s="56" t="str">
        <f t="shared" si="12"/>
        <v/>
      </c>
      <c r="AB19" s="56" t="str">
        <f t="shared" si="13"/>
        <v/>
      </c>
      <c r="AC19" s="56" t="str">
        <f t="shared" si="14"/>
        <v/>
      </c>
      <c r="AD19" s="56" t="str">
        <f t="shared" si="15"/>
        <v/>
      </c>
      <c r="AE19" s="40" t="s">
        <v>108</v>
      </c>
      <c r="AF19" s="40" t="s">
        <v>109</v>
      </c>
      <c r="AG19" s="40" t="s">
        <v>110</v>
      </c>
      <c r="AH19" s="56" t="str">
        <f t="shared" si="16"/>
        <v/>
      </c>
      <c r="AI19" s="54"/>
      <c r="AJ19" s="54"/>
      <c r="AK19" s="54">
        <v>11</v>
      </c>
      <c r="AL19" s="54" t="s">
        <v>111</v>
      </c>
      <c r="AM19" s="54" t="s">
        <v>112</v>
      </c>
    </row>
    <row r="20" spans="1:39">
      <c r="A20" s="96" t="s">
        <v>80</v>
      </c>
      <c r="B20" s="45" t="str" cm="1">
        <f t="array" ref="B20">IF(H20="PROJECT", CHAR(10) &amp; "- " &amp; _xlfn.TEXTJOIN(CHAR(10) &amp; "- ", TRUE, _xlfn._xlws.FILTER($I$9:$I$1000, ($C$9:$C$1000=C20) * ($H$9:$H$1000="Topic"))), "")</f>
        <v xml:space="preserve">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v>
      </c>
      <c r="C20" s="45">
        <f t="shared" si="0"/>
        <v>2</v>
      </c>
      <c r="D20" s="57">
        <v>0</v>
      </c>
      <c r="E20" s="58" t="s">
        <v>667</v>
      </c>
      <c r="F20" s="59">
        <v>12</v>
      </c>
      <c r="G20" s="60" t="s">
        <v>50</v>
      </c>
      <c r="H20" s="60" t="s">
        <v>81</v>
      </c>
      <c r="I20" s="61" t="s">
        <v>680</v>
      </c>
      <c r="J20" s="62" t="s">
        <v>681</v>
      </c>
      <c r="K20" s="103" t="str">
        <f t="shared" si="1"/>
        <v>[TASK] Teach through a practical Python - HTTPX project following the micro-learning methodology, acting as a supportive tutor, creating a project about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#12 | Stage 1 | Python - HTTPX | 📊 Level: Beginner | 🌐 Coding5s.com
**Project:** Project 2: Secure API Client (Dotenv, Auth, Headers)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0"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secure API client that takes hidden API keys loaded via dotenv as input, processes secure httpx requests using customized headers and authentication protocols, and outputs verified data from protected endpoints. Topics applied in this project: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Project objective: Project 2: Secure API Client (Dotenv, Auth, Headers)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#12 | Practice | Python - HTTPX | 📊 Level: Beginner
**Project:** Build a secure API client that takes hidden API keys loaded via dotenv as input, processes secure httpx requests using customized headers and authentication protocols, and outputs verified data from protected endpoints
---
 | [FOOTER RULE - STRICT] End your response with: '--- ⚡ *Coding5s Mentor System — Eliminating Epistemic Debt*' | </v>
      </c>
      <c r="M20" s="52">
        <v>0</v>
      </c>
      <c r="N20" s="104" t="str">
        <f t="shared" si="3"/>
        <v>[ROLE] Careless Python Developer | [TASK] Generate debugging project in Python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[OUTPUT] Only header, dataset summary or statement (if any), email intro, objective, expected output, broken code, and footer | [HEADER RULE - STRICT] You MUST start your entire response EXACTLY with this markdown block (do not print anything before it):
### 🚀 Project #12 | Stage 2 | Python - HTTPX | 📊 Level: Beginner | 🌐 Coding5s.com
Project: Project 2: Secure API Client (Dotenv, Auth, Headers)
---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Mapudungun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secure API client that takes hidden API keys loaded via dotenv as input, processes secure httpx requests using customized headers and authentication protocols, and outputs verified data from protected endpoints. Topics involved: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Project objective: Project 2: Secure API Client (Dotenv, Auth, Headers)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#12 | Debug | Python - HTTPX | 📊 Level: Beginner
**Project:** Build a secure API client that takes hidden API keys loaded via dotenv as input, processes secure httpx requests using customized headers and authentication protocols, and outputs verified data from protected endpoints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4" t="str">
        <f t="shared" si="5"/>
        <v>[ROLE] Tech Lead | [TASK] Assign incomplete project script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#12 | Stage 3 | Python - HTTPX | 📊 Level: Beginner | 🌐 Coding5s.com
**Project:** Project 2: Secure API Client (Dotenv, Auth, Headers)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secure API client that takes hidden API keys loaded via dotenv as input, processes secure httpx requests using customized headers and authentication protocols, and outputs verified data from protected endpoints. Topics involved: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Project objective: Project 2: Secure API Client (Dotenv, Auth, Headers)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#12 | Complete | Python - HTTPX | 📊 Level: Beginner
**Project:** Build a secure API client that takes hidden API keys loaded via dotenv as input, processes secure httpx requests using customized headers and authentication protocols, and outputs verified data from protected endpoints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4" t="str">
        <f t="shared" si="7"/>
        <v>[ROLE] Tech Lead | [TASK] Provide a messy but functional project for refactoring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[PERSONA RULE] Act as a Tech Lead. A junior wrote this working but messy code. Tone: professional but exhausted | [HEADER RULE - STRICT] You MUST start your entire response EXACTLY with this markdown block (do not print anything before it):
### 🚀 Project #12 | Stage 4 | Python - HTTPX | 📊 Level: Beginner | 🌐 Coding5s.com
**Project:** Project 2: Secure API Client (Dotenv, Auth, Headers)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secure API client that takes hidden API keys loaded via dotenv as input, processes secure httpx requests using customized headers and authentication protocols, and outputs verified data from protected endpoints. Topics involved: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Project objective: Project 2: Secure API Client (Dotenv, Auth,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#12 | Refactor | Python - HTTPX | 📊 Level: Beginner
**Project:** Build a secure API client that takes hidden API keys loaded via dotenv as input, processes secure httpx requests using customized headers and authentication protocols, and outputs verified data from protected endpoints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8" t="str">
        <f t="shared" si="9"/>
        <v>[ROLE] Tech Product Manager assigning a Python Jira Ticket | [TASK] Provide a guided project implementation with full solution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[PERSONA RULE] Act as a professional Tech Product Manager defining a project ticket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#12 | Stage 5 | Python - HTTPX | 📊 Level: Beginner | 🌐 Coding5s.com
**Project:** Project 2: Secure API Client (Dotenv, Auth, Headers)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secure API client that takes hidden API keys loaded via dotenv as input, processes secure httpx requests using customized headers and authentication protocols, and outputs verified data from protected endpoints. Topics integrated: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Business Goal: Project 2: Secure API Client (Dotenv, Auth,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#12 | Extend | Python - HTTPX | 📊 Level: Beginner
**Project:** Build a secure API client that takes hidden API keys loaded via dotenv as input, processes secure httpx requests using customized headers and authentication protocols, and outputs verified data from protected endpoints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1"/>
        <v>[TASK] Teach through a practical Python - HTTPX project following the micro-learning methodology, acting as a supportive tutor, creating a project about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#12 | Stage 1 | Python - HTTPX | 📊 Level: Beginner | 🌐 Coding5s.com
**Project:** Project 2: Secure API Client (Dotenv, Auth, Headers)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0" s="56" t="str">
        <f t="shared" si="12"/>
        <v>[ROLE] Careless Python Developer | [TASK] Generate debugging project in Python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[OUTPUT] Only header, dataset summary or statement (if any), email intro, objective, expected output, broken code, and footer | [HEADER RULE - STRICT] You MUST start your entire response EXACTLY with this markdown block (do not print anything before it):
### 🚀 Project #12 | Stage 2 | Python - HTTPX | 📊 Level: Beginner | 🌐 Coding5s.com
Project: Project 2: Secure API Client (Dotenv, Auth, Headers)
---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Mapudungun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0" s="56" t="str">
        <f t="shared" si="13"/>
        <v>[ROLE] Tech Lead | [TASK] Assign incomplete project script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#12 | Stage 3 | Python - HTTPX | 📊 Level: Beginner | 🌐 Coding5s.com
**Project:** Project 2: Secure API Client (Dotenv, Auth, Headers)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0" s="56" t="str">
        <f t="shared" si="14"/>
        <v>[ROLE] Tech Lead | [TASK] Provide a messy but functional project for refactoring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[PERSONA RULE] Act as a Tech Lead. A junior wrote this working but messy code. Tone: professional but exhausted | [HEADER RULE - STRICT] You MUST start your entire response EXACTLY with this markdown block (do not print anything before it):
### 🚀 Project #12 | Stage 4 | Python - HTTPX | 📊 Level: Beginner | 🌐 Coding5s.com
**Project:** Project 2: Secure API Client (Dotenv, Auth, Headers)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0" s="56" t="str">
        <f t="shared" si="15"/>
        <v>[ROLE] Tech Product Manager assigning a Python Jira Ticket | [TASK] Provide a guided project implementation with full solution | [PROJECT] Build a secure API client that takes hidden API keys loaded via dotenv as input, processes secure httpx requests using customized headers and authentication protocols, and outputs verified data from protected endpoints | [TOPICS USED] 
- Load environment variables securely for httpx scripts by implementing python-dotenv functions like load_dotenv and os.getenv to protect sensitive API credentials
- Customize HTTP request headers in httpx by passing a dictionary to the headers parameter to specify accepted content types or simulate specific browser user agents
- Implement Basic Authentication in httpx requests by supplying a secure username and password tuple to the auth parameter to access protected endpoints
- Authenticate API requests using Bearer Tokens by manually injecting the authorization string into the custom headers dictionary within an httpx request payload
- Handle HTTP error codes automatically by invoking the raise_for_status() method on an httpx response object to trigger Python exceptions for failed or rejected requests | [LEVEL] Beginner | [PERSONA RULE] Act as a professional Tech Product Manager defining a project ticket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#12 | Stage 5 | Python - HTTPX | 📊 Level: Beginner | 🌐 Coding5s.com
**Project:** Project 2: Secure API Client (Dotenv, Auth, Headers)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0" s="40" t="s">
        <v>113</v>
      </c>
      <c r="AF20" s="40" t="s">
        <v>114</v>
      </c>
      <c r="AG20" s="40" t="s">
        <v>115</v>
      </c>
      <c r="AH20" s="56" t="str">
        <f t="shared" si="16"/>
        <v/>
      </c>
      <c r="AI20" s="54"/>
      <c r="AJ20" s="54"/>
      <c r="AK20" s="54">
        <v>12</v>
      </c>
      <c r="AL20" s="54" t="s">
        <v>116</v>
      </c>
      <c r="AM20" s="54" t="s">
        <v>117</v>
      </c>
    </row>
    <row r="21" spans="1:39">
      <c r="A21" s="96">
        <v>10</v>
      </c>
      <c r="B21" s="45" t="str" cm="1">
        <f t="array" ref="B21">IF(H21="PROJECT", CHAR(10) &amp; "- " &amp; _xlfn.TEXTJOIN(CHAR(10) &amp; "- ", TRUE, _xlfn._xlws.FILTER($I$9:$I$1000, ($C$9:$C$1000=C21) * ($H$9:$H$1000="Topic"))), "")</f>
        <v/>
      </c>
      <c r="C21" s="45">
        <f t="shared" si="0"/>
        <v>3</v>
      </c>
      <c r="D21" s="46">
        <v>4</v>
      </c>
      <c r="E21" s="58" t="s">
        <v>49</v>
      </c>
      <c r="F21" s="48">
        <v>13</v>
      </c>
      <c r="G21" s="49" t="s">
        <v>163</v>
      </c>
      <c r="H21" s="49" t="s">
        <v>51</v>
      </c>
      <c r="I21" s="50" t="s">
        <v>682</v>
      </c>
      <c r="J21" s="51" t="s">
        <v>683</v>
      </c>
      <c r="K21" s="103" t="str">
        <f t="shared" si="1"/>
        <v xml:space="preserve">[ROLE] Friendly tutor specializing in Python | [TOPIC] Transmit form-encoded data to remote servers by executing POST requests with httpx.post and passing a formatted Python dictionary to the data parameter | [LEVEL] Intermediate | [COUNT] 4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#13 | Stage 1 📖 Practice | Python - HTTPX | 📊 Level: Intermediate | 🌐 Coding5s.com
**Concept:** Sending Form-Encoded Data with POST (data parameter)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Transmit form-encoded data to remote servers by executing POST requests with httpx.post and passing a formatted Python dictionary to the data parameter. Topic details: Sending Form-Encoded Data with POST (data parameter)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 HTTPX | 📊 Level: Intermediate
**Topic:** Transmit form-encoded data to remote servers by executing POST requests with httpx.post and passing a formatted Python dictionary to the data parameter
---
 | [FOOTER RULE - STRICT] End your response with: '--- ⚡ *Coding5s Mentor System — Eliminating Epistemic Debt*' | </v>
      </c>
      <c r="M21" s="53">
        <v>0</v>
      </c>
      <c r="N21" s="104" t="str">
        <f t="shared" si="3"/>
        <v>[ROLE] Careless Python Developer | [TASK] Generate debugging challenges in Python | | [TOPIC] Transmit form-encoded data to remote servers by executing POST requests with httpx.post and passing a formatted Python dictionary to the data parameter | | [LEVEL] Intermediate |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#13 | Stage 2 🐛 Debug | Python - HTTPX | 📊 Level: Intermediate | 🌐 Coding5s.com
Concept: Sending Form-Encoded Data with POST (data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Transmit form-encoded data to remote servers by executing POST requests with httpx.post and passing a formatted Python dictionary to the data parameter. Topic details: Sending Form-Encoded Data with POST (data parameter)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 HTTPX | 📊 Level: Intermediate
**Topic:** Transmit form-encoded data to remote servers by executing POST requests with httpx.post and passing a formatted Python dictionary to the data parameter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4" t="str">
        <f t="shared" si="5"/>
        <v>[ROLE] Tech Lead | [TASK] Assign incomplete Python script challenges | [TOPIC] Transmit form-encoded data to remote servers by executing POST requests with httpx.post and passing a formatted Python dictionary to the data parameter | [LEVEL] Intermediate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#13 | Stage 3 🧩 Complete | Python - HTTPX | 📊 Level: Intermediate | 🌐 Coding5s.com
**Concept:** Sending Form-Encoded Data with POST (data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Transmit form-encoded data to remote servers by executing POST requests with httpx.post and passing a formatted Python dictionary to the data parameter.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Transmit form-encoded data to remote servers by executing POST requests with httpx.post and passing a formatted Python dictionary to the data parameter. Topic details: Sending Form-Encoded Data with POST (data parameter)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 HTTPX | 📊 Level: Intermediate
**Topic:** Transmit form-encoded data to remote servers by executing POST requests with httpx.post and passing a formatted Python dictionary to the data parameter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4" t="str">
        <f t="shared" si="7"/>
        <v>[ROLE] Tech Lead | [TASK] Provide intentionally messy but functional code for learning debugging and improvement | [TOPIC] Transmit form-encoded data to remote servers by executing POST requests with httpx.post and passing a formatted Python dictionary to the data parameter | [LEVEL] Intermediate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 HTTPX | 📊 Level: Intermediate | 🌐 Coding5s.com
**Concept:** Sending Form-Encoded Data with POST (data parameter)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Transmit form-encoded data to remote servers by executing POST requests with httpx.post and passing a formatted Python dictionary to the data parameter. Topic details: Sending Form-Encoded Data with POST (data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 HTTPX | 📊 Level: Intermediate
**Topic:** Transmit form-encoded data to remote servers by executing POST requests with httpx.post and passing a formatted Python dictionary to the data parameter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8" t="str">
        <f t="shared" si="9"/>
        <v>[ROLE] Tech Product Manager assigning a Python Jira Ticket | [TASK] Provide a guided implementation exercise with full solution for learning purposes | [TOPIC] Transmit form-encoded data to remote servers by executing POST requests with httpx.post and passing a formatted Python dictionary to the data parameter | [LEVEL] Intermediate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 HTTPX | 📊 Level: Intermediate | 🌐 Coding5s.com
**Concept:** Sending Form-Encoded Data with POST (data parameter)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Transmit form-encoded data to remote servers by executing POST requests with httpx.post and passing a formatted Python dictionary to the data parameter. Goal: Sending Form-Encoded Data with POST (data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 HTTPX | 📊 Level: Intermediate
**Topic:** Transmit form-encoded data to remote servers by executing POST requests with httpx.post and passing a formatted Python dictionary to the data parameter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1"/>
        <v/>
      </c>
      <c r="AA21" s="56" t="str">
        <f t="shared" si="12"/>
        <v/>
      </c>
      <c r="AB21" s="56" t="str">
        <f t="shared" si="13"/>
        <v/>
      </c>
      <c r="AC21" s="56" t="str">
        <f t="shared" si="14"/>
        <v/>
      </c>
      <c r="AD21" s="56" t="str">
        <f t="shared" si="15"/>
        <v/>
      </c>
      <c r="AE21" s="40" t="s">
        <v>118</v>
      </c>
      <c r="AF21" s="40" t="s">
        <v>119</v>
      </c>
      <c r="AG21" s="40" t="s">
        <v>120</v>
      </c>
      <c r="AH21" s="56" t="str">
        <f t="shared" si="16"/>
        <v/>
      </c>
      <c r="AI21" s="54"/>
      <c r="AJ21" s="54"/>
      <c r="AK21" s="54">
        <v>13</v>
      </c>
      <c r="AL21" s="54" t="s">
        <v>121</v>
      </c>
      <c r="AM21" s="54" t="s">
        <v>122</v>
      </c>
    </row>
    <row r="22" spans="1:39">
      <c r="A22" s="96">
        <v>10</v>
      </c>
      <c r="B22" s="45" t="str" cm="1">
        <f t="array" ref="B22">IF(H22="PROJECT", CHAR(10) &amp; "- " &amp; _xlfn.TEXTJOIN(CHAR(10) &amp; "- ", TRUE, _xlfn._xlws.FILTER($I$9:$I$1000, ($C$9:$C$1000=C22) * ($H$9:$H$1000="Topic"))), "")</f>
        <v/>
      </c>
      <c r="C22" s="45">
        <f t="shared" si="0"/>
        <v>3</v>
      </c>
      <c r="D22" s="57">
        <v>4</v>
      </c>
      <c r="E22" s="58" t="s">
        <v>49</v>
      </c>
      <c r="F22" s="59">
        <v>14</v>
      </c>
      <c r="G22" s="60" t="s">
        <v>163</v>
      </c>
      <c r="H22" s="60" t="s">
        <v>51</v>
      </c>
      <c r="I22" s="61" t="s">
        <v>684</v>
      </c>
      <c r="J22" s="62" t="s">
        <v>685</v>
      </c>
      <c r="K22" s="103" t="str">
        <f t="shared" si="1"/>
        <v xml:space="preserve">[ROLE] Friendly tutor specializing in Python | [TOPIC] Send structured JSON payloads to RESTful APIs by utilizing the json parameter in httpx.post requests to automatically serialize Python dictionaries and set correct headers | [LEVEL] Intermediate | [COUNT] 4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#14 | Stage 1 📖 Practice | Python - HTTPX | 📊 Level: Intermediate | 🌐 Coding5s.com
**Concept:** Sending JSON Data with POST (json parameter)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Send structured JSON payloads to RESTful APIs by utilizing the json parameter in httpx.post requests to automatically serialize Python dictionaries and set correct headers. Topic details: Sending JSON Data with POST (json parameter)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 HTTPX | 📊 Level: Intermediate
**Topic:** Send structured JSON payloads to RESTful APIs by utilizing the json parameter in httpx.post requests to automatically serialize Python dictionaries and set correct headers
---
 | [FOOTER RULE - STRICT] End your response with: '--- ⚡ *Coding5s Mentor System — Eliminating Epistemic Debt*' | </v>
      </c>
      <c r="M22" s="52">
        <v>0</v>
      </c>
      <c r="N22" s="104" t="str">
        <f t="shared" si="3"/>
        <v>[ROLE] Careless Python Developer | [TASK] Generate debugging challenges in Python | | [TOPIC] Send structured JSON payloads to RESTful APIs by utilizing the json parameter in httpx.post requests to automatically serialize Python dictionaries and set correct headers | | [LEVEL] Intermediate |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#14 | Stage 2 🐛 Debug | Python - HTTPX | 📊 Level: Intermediate | 🌐 Coding5s.com
Concept: Sending JSON Data with POST (json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Send structured JSON payloads to RESTful APIs by utilizing the json parameter in httpx.post requests to automatically serialize Python dictionaries and set correct headers. Topic details: Sending JSON Data with POST (json parameter)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 HTTPX | 📊 Level: Intermediate
**Topic:** Send structured JSON payloads to RESTful APIs by utilizing the json parameter in httpx.post requests to automatically serialize Python dictionaries and set correct headers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4" t="str">
        <f t="shared" si="5"/>
        <v>[ROLE] Tech Lead | [TASK] Assign incomplete Python script challenges | [TOPIC] Send structured JSON payloads to RESTful APIs by utilizing the json parameter in httpx.post requests to automatically serialize Python dictionaries and set correct headers | [LEVEL] Intermediate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#14 | Stage 3 🧩 Complete | Python - HTTPX | 📊 Level: Intermediate | 🌐 Coding5s.com
**Concept:** Sending JSON Data with POST (json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Send structured JSON payloads to RESTful APIs by utilizing the json parameter in httpx.post requests to automatically serialize Python dictionaries and set correct headers.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Send structured JSON payloads to RESTful APIs by utilizing the json parameter in httpx.post requests to automatically serialize Python dictionaries and set correct headers. Topic details: Sending JSON Data with POST (json parameter)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 HTTPX | 📊 Level: Intermediate
**Topic:** Send structured JSON payloads to RESTful APIs by utilizing the json parameter in httpx.post requests to automatically serialize Python dictionaries and set correct headers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4" t="str">
        <f t="shared" si="7"/>
        <v>[ROLE] Tech Lead | [TASK] Provide intentionally messy but functional code for learning debugging and improvement | [TOPIC] Send structured JSON payloads to RESTful APIs by utilizing the json parameter in httpx.post requests to automatically serialize Python dictionaries and set correct headers | [LEVEL] Intermediate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 HTTPX | 📊 Level: Intermediate | 🌐 Coding5s.com
**Concept:** Sending JSON Data with POST (json parameter)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Send structured JSON payloads to RESTful APIs by utilizing the json parameter in httpx.post requests to automatically serialize Python dictionaries and set correct headers. Topic details: Sending JSON Data with POST (json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 HTTPX | 📊 Level: Intermediate
**Topic:** Send structured JSON payloads to RESTful APIs by utilizing the json parameter in httpx.post requests to automatically serialize Python dictionaries and set correct headers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8" t="str">
        <f t="shared" si="9"/>
        <v>[ROLE] Tech Product Manager assigning a Python Jira Ticket | [TASK] Provide a guided implementation exercise with full solution for learning purposes | [TOPIC] Send structured JSON payloads to RESTful APIs by utilizing the json parameter in httpx.post requests to automatically serialize Python dictionaries and set correct headers | [LEVEL] Intermediate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 HTTPX | 📊 Level: Intermediate | 🌐 Coding5s.com
**Concept:** Sending JSON Data with POST (json parameter)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Send structured JSON payloads to RESTful APIs by utilizing the json parameter in httpx.post requests to automatically serialize Python dictionaries and set correct headers. Goal: Sending JSON Data with POST (json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 HTTPX | 📊 Level: Intermediate
**Topic:** Send structured JSON payloads to RESTful APIs by utilizing the json parameter in httpx.post requests to automatically serialize Python dictionaries and set correct headers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1"/>
        <v/>
      </c>
      <c r="AA22" s="56" t="str">
        <f t="shared" si="12"/>
        <v/>
      </c>
      <c r="AB22" s="56" t="str">
        <f t="shared" si="13"/>
        <v/>
      </c>
      <c r="AC22" s="56" t="str">
        <f t="shared" si="14"/>
        <v/>
      </c>
      <c r="AD22" s="56" t="str">
        <f t="shared" si="15"/>
        <v/>
      </c>
      <c r="AE22" s="40" t="s">
        <v>123</v>
      </c>
      <c r="AF22" s="40" t="s">
        <v>124</v>
      </c>
      <c r="AG22" s="40" t="s">
        <v>125</v>
      </c>
      <c r="AH22" s="56" t="str">
        <f t="shared" si="16"/>
        <v/>
      </c>
      <c r="AI22" s="54"/>
      <c r="AJ22" s="54"/>
      <c r="AK22" s="54">
        <v>14</v>
      </c>
      <c r="AL22" s="54" t="s">
        <v>126</v>
      </c>
      <c r="AM22" s="54" t="s">
        <v>127</v>
      </c>
    </row>
    <row r="23" spans="1:39">
      <c r="A23" s="96">
        <v>12</v>
      </c>
      <c r="B23" s="45" t="str" cm="1">
        <f t="array" ref="B23">IF(H23="PROJECT", CHAR(10) &amp; "- " &amp; _xlfn.TEXTJOIN(CHAR(10) &amp; "- ", TRUE, _xlfn._xlws.FILTER($I$9:$I$1000, ($C$9:$C$1000=C23) * ($H$9:$H$1000="Topic"))), "")</f>
        <v/>
      </c>
      <c r="C23" s="45">
        <f t="shared" si="0"/>
        <v>3</v>
      </c>
      <c r="D23" s="46">
        <v>5</v>
      </c>
      <c r="E23" s="58" t="s">
        <v>49</v>
      </c>
      <c r="F23" s="48">
        <v>15</v>
      </c>
      <c r="G23" s="49" t="s">
        <v>163</v>
      </c>
      <c r="H23" s="49" t="s">
        <v>51</v>
      </c>
      <c r="I23" s="50" t="s">
        <v>686</v>
      </c>
      <c r="J23" s="51" t="s">
        <v>687</v>
      </c>
      <c r="K23" s="103" t="str">
        <f t="shared" si="1"/>
        <v xml:space="preserve">[ROLE] Friendly tutor specializing in Python | [TOPIC] Manipulate server-side resources by executing httpx.put, httpx.patch, and httpx.delete HTTP methods to update, modify, or permanently remove API data records | [LEVEL] Intermediate | [COUNT] 5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#15 | Stage 1 📖 Practice | Python - HTTPX | 📊 Level: Intermediate | 🌐 Coding5s.com
**Concept:** Modifying and Deleting Resources (requests.put, .patch, .delete)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server-side resources by executing httpx.put, httpx.patch, and httpx.delete HTTP methods to update, modify, or permanently remove API data records. Topic details: Modifying and Deleting Resources (requests.put, .patch, .delete)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 HTTPX | 📊 Level: Intermediate
**Topic:** Manipulate server-side resources by executing httpx.put, httpx.patch, and httpx.delete HTTP methods to update, modify, or permanently remove API data records
---
 | [FOOTER RULE - STRICT] End your response with: '--- ⚡ *Coding5s Mentor System — Eliminating Epistemic Debt*' | </v>
      </c>
      <c r="M23" s="53">
        <v>0</v>
      </c>
      <c r="N23" s="104" t="str">
        <f t="shared" si="3"/>
        <v>[ROLE] Careless Python Developer | [TASK] Generate debugging challenges in Python | | [TOPIC] Manipulate server-side resources by executing httpx.put, httpx.patch, and httpx.delete HTTP methods to update, modify, or permanently remove API data records | | [LEVEL] Intermediate |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#15 | Stage 2 🐛 Debug | Python - HTTPX | 📊 Level: Intermediate | 🌐 Coding5s.com
Concept: Modifying and Deleting Resources (requests.put, .patch, .delete)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server-side resources by executing httpx.put, httpx.patch, and httpx.delete HTTP methods to update, modify, or permanently remove API data records. Topic details: Modifying and Deleting Resources (requests.put, .patch, .delete)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 HTTPX | 📊 Level: Intermediate
**Topic:** Manipulate server-side resources by executing httpx.put, httpx.patch, and httpx.delete HTTP methods to update, modify, or permanently remove API data records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4" t="str">
        <f t="shared" si="5"/>
        <v>[ROLE] Tech Lead | [TASK] Assign incomplete Python script challenges | [TOPIC] Manipulate server-side resources by executing httpx.put, httpx.patch, and httpx.delete HTTP methods to update, modify, or permanently remove API data records | [LEVEL] Intermediate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#15 | Stage 3 🧩 Complete | Python - HTTPX | 📊 Level: Intermediate | 🌐 Coding5s.com
**Concept:** Modifying and Deleting Resources (requests.put, .patch, .delete)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server-side resources by executing httpx.put, httpx.patch, and httpx.delete HTTP methods to update, modify, or permanently remove API data records.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server-side resources by executing httpx.put, httpx.patch, and httpx.delete HTTP methods to update, modify, or permanently remove API data records. Topic details: Modifying and Deleting Resources (requests.put, .patch, .delete)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 HTTPX | 📊 Level: Intermediate
**Topic:** Manipulate server-side resources by executing httpx.put, httpx.patch, and httpx.delete HTTP methods to update, modify, or permanently remove API data records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4" t="str">
        <f t="shared" si="7"/>
        <v>[ROLE] Tech Lead | [TASK] Provide intentionally messy but functional code for learning debugging and improvement | [TOPIC] Manipulate server-side resources by executing httpx.put, httpx.patch, and httpx.delete HTTP methods to update, modify, or permanently remove API data records | [LEVEL] Intermediate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 HTTPX | 📊 Level: Intermediate | 🌐 Coding5s.com
**Concept:** Modifying and Deleting Resources (requests.put, .patch, .delete)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server-side resources by executing httpx.put, httpx.patch, and httpx.delete HTTP methods to update, modify, or permanently remove API data records. Topic details: Modifying and Deleting Resources (requests.put, .patch, .delete)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 HTTPX | 📊 Level: Intermediate
**Topic:** Manipulate server-side resources by executing httpx.put, httpx.patch, and httpx.delete HTTP methods to update, modify, or permanently remove API data records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8" t="str">
        <f t="shared" si="9"/>
        <v>[ROLE] Tech Product Manager assigning a Python Jira Ticket | [TASK] Provide a guided implementation exercise with full solution for learning purposes | [TOPIC] Manipulate server-side resources by executing httpx.put, httpx.patch, and httpx.delete HTTP methods to update, modify, or permanently remove API data records | [LEVEL] Intermediate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 HTTPX | 📊 Level: Intermediate | 🌐 Coding5s.com
**Concept:** Modifying and Deleting Resources (requests.put, .patch, .delete)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server-side resources by executing httpx.put, httpx.patch, and httpx.delete HTTP methods to update, modify, or permanently remove API data records. Goal: Modifying and Deleting Resources (requests.put, .patch, .delete)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 HTTPX | 📊 Level: Intermediate
**Topic:** Manipulate server-side resources by executing httpx.put, httpx.patch, and httpx.delete HTTP methods to update, modify, or permanently remove API data records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1"/>
        <v/>
      </c>
      <c r="AA23" s="56" t="str">
        <f t="shared" si="12"/>
        <v/>
      </c>
      <c r="AB23" s="56" t="str">
        <f t="shared" si="13"/>
        <v/>
      </c>
      <c r="AC23" s="56" t="str">
        <f t="shared" si="14"/>
        <v/>
      </c>
      <c r="AD23" s="56" t="str">
        <f t="shared" si="15"/>
        <v/>
      </c>
      <c r="AE23" s="40" t="s">
        <v>128</v>
      </c>
      <c r="AF23" s="40" t="s">
        <v>129</v>
      </c>
      <c r="AG23" s="40" t="s">
        <v>130</v>
      </c>
      <c r="AH23" s="56" t="str">
        <f t="shared" si="16"/>
        <v/>
      </c>
      <c r="AI23" s="54"/>
      <c r="AJ23" s="54"/>
      <c r="AK23" s="54">
        <v>15</v>
      </c>
      <c r="AL23" s="54" t="s">
        <v>131</v>
      </c>
      <c r="AM23" s="54" t="s">
        <v>132</v>
      </c>
    </row>
    <row r="24" spans="1:39">
      <c r="A24" s="96">
        <v>8</v>
      </c>
      <c r="B24" s="45" t="str" cm="1">
        <f t="array" ref="B24">IF(H24="PROJECT", CHAR(10) &amp; "- " &amp; _xlfn.TEXTJOIN(CHAR(10) &amp; "- ", TRUE, _xlfn._xlws.FILTER($I$9:$I$1000, ($C$9:$C$1000=C24) * ($H$9:$H$1000="Topic"))), "")</f>
        <v/>
      </c>
      <c r="C24" s="45">
        <f t="shared" si="0"/>
        <v>3</v>
      </c>
      <c r="D24" s="57">
        <v>4</v>
      </c>
      <c r="E24" s="58" t="s">
        <v>49</v>
      </c>
      <c r="F24" s="59">
        <v>16</v>
      </c>
      <c r="G24" s="60" t="s">
        <v>163</v>
      </c>
      <c r="H24" s="60" t="s">
        <v>51</v>
      </c>
      <c r="I24" s="61" t="s">
        <v>688</v>
      </c>
      <c r="J24" s="62" t="s">
        <v>689</v>
      </c>
      <c r="K24" s="103" t="str">
        <f t="shared" si="1"/>
        <v xml:space="preserve">[ROLE] Friendly tutor specializing in Python | [TOPIC] Debug outgoing HTTP traffic by inspecting the .request.headers and .request.content attributes of a completed httpx response to verify the exact payload transmitted to the server | [LEVEL] Intermediate | [COUNT] 4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#16 | Stage 1 📖 Practice | Python - HTTPX | 📊 Level: Intermediate | 🌐 Coding5s.com
**Concept:** Inspecting the Prepared Request (response.request.headers, .body)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4"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Debug outgoing HTTP traffic by inspecting the .request.headers and .request.content attributes of a completed httpx response to verify the exact payload transmitted to the server. Topic details: Inspecting the Prepared Request (response.request.headers, .body)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 HTTPX | 📊 Level: Intermediate
**Topic:** Debug outgoing HTTP traffic by inspecting the .request.headers and .request.content attributes of a completed httpx response to verify the exact payload transmitted to the server
---
 | [FOOTER RULE - STRICT] End your response with: '--- ⚡ *Coding5s Mentor System — Eliminating Epistemic Debt*' | </v>
      </c>
      <c r="M24" s="52">
        <v>0</v>
      </c>
      <c r="N24" s="104" t="str">
        <f t="shared" si="3"/>
        <v>[ROLE] Careless Python Developer | [TASK] Generate debugging challenges in Python | | [TOPIC] Debug outgoing HTTP traffic by inspecting the .request.headers and .request.content attributes of a completed httpx response to verify the exact payload transmitted to the server | | [LEVEL] Intermediate |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#16 | Stage 2 🐛 Debug | Python - HTTPX | 📊 Level: Intermediate | 🌐 Coding5s.com
Concept: Inspecting the Prepared Request (response.request.headers, .body)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Debug outgoing HTTP traffic by inspecting the .request.headers and .request.content attributes of a completed httpx response to verify the exact payload transmitted to the server. Topic details: Inspecting the Prepared Request (response.request.headers, .body)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 HTTPX | 📊 Level: Intermediate
**Topic:** Debug outgoing HTTP traffic by inspecting the .request.headers and .request.content attributes of a completed httpx response to verify the exact payload transmitted to the server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4" t="str">
        <f t="shared" si="5"/>
        <v>[ROLE] Tech Lead | [TASK] Assign incomplete Python script challenges | [TOPIC] Debug outgoing HTTP traffic by inspecting the .request.headers and .request.content attributes of a completed httpx response to verify the exact payload transmitted to the server | [LEVEL] Intermediate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#16 | Stage 3 🧩 Complete | Python - HTTPX | 📊 Level: Intermediate | 🌐 Coding5s.com
**Concept:** Inspecting the Prepared Request (response.request.headers, .body)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Debug outgoing HTTP traffic by inspecting the .request.headers and .request.content attributes of a completed httpx response to verify the exact payload transmitted to the server.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Debug outgoing HTTP traffic by inspecting the .request.headers and .request.content attributes of a completed httpx response to verify the exact payload transmitted to the server. Topic details: Inspecting the Prepared Request (response.request.headers, .body)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 HTTPX | 📊 Level: Intermediate
**Topic:** Debug outgoing HTTP traffic by inspecting the .request.headers and .request.content attributes of a completed httpx response to verify the exact payload transmitted to the server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4" t="str">
        <f t="shared" si="7"/>
        <v>[ROLE] Tech Lead | [TASK] Provide intentionally messy but functional code for learning debugging and improvement | [TOPIC] Debug outgoing HTTP traffic by inspecting the .request.headers and .request.content attributes of a completed httpx response to verify the exact payload transmitted to the server | [LEVEL] Intermediate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Python - HTTPX | 📊 Level: Intermediate | 🌐 Coding5s.com
**Concept:** Inspecting the Prepared Request (response.request.headers, .body)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Debug outgoing HTTP traffic by inspecting the .request.headers and .request.content attributes of a completed httpx response to verify the exact payload transmitted to the server. Topic details: Inspecting the Prepared Request (response.request.headers, .body)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 HTTPX | 📊 Level: Intermediate
**Topic:** Debug outgoing HTTP traffic by inspecting the .request.headers and .request.content attributes of a completed httpx response to verify the exact payload transmitted to the server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8" t="str">
        <f t="shared" si="9"/>
        <v>[ROLE] Tech Product Manager assigning a Python Jira Ticket | [TASK] Provide a guided implementation exercise with full solution for learning purposes | [TOPIC] Debug outgoing HTTP traffic by inspecting the .request.headers and .request.content attributes of a completed httpx response to verify the exact payload transmitted to the server | [LEVEL] Intermediate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 HTTPX | 📊 Level: Intermediate | 🌐 Coding5s.com
**Concept:** Inspecting the Prepared Request (response.request.headers, .body)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Debug outgoing HTTP traffic by inspecting the .request.headers and .request.content attributes of a completed httpx response to verify the exact payload transmitted to the server. Goal: Inspecting the Prepared Request (response.request.headers, .body)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 HTTPX | 📊 Level: Intermediate
**Topic:** Debug outgoing HTTP traffic by inspecting the .request.headers and .request.content attributes of a completed httpx response to verify the exact payload transmitted to the server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1"/>
        <v/>
      </c>
      <c r="AA24" s="56" t="str">
        <f t="shared" si="12"/>
        <v/>
      </c>
      <c r="AB24" s="56" t="str">
        <f t="shared" si="13"/>
        <v/>
      </c>
      <c r="AC24" s="56" t="str">
        <f t="shared" si="14"/>
        <v/>
      </c>
      <c r="AD24" s="56" t="str">
        <f t="shared" si="15"/>
        <v/>
      </c>
      <c r="AE24" s="40" t="s">
        <v>133</v>
      </c>
      <c r="AF24" s="40" t="s">
        <v>134</v>
      </c>
      <c r="AG24" s="40" t="s">
        <v>135</v>
      </c>
      <c r="AH24" s="56" t="str">
        <f t="shared" si="16"/>
        <v/>
      </c>
      <c r="AI24" s="54"/>
      <c r="AJ24" s="54"/>
      <c r="AK24" s="54">
        <v>16</v>
      </c>
      <c r="AL24" s="54" t="s">
        <v>136</v>
      </c>
      <c r="AM24" s="54" t="s">
        <v>137</v>
      </c>
    </row>
    <row r="25" spans="1:39">
      <c r="A25" s="96">
        <v>10</v>
      </c>
      <c r="B25" s="45" t="str" cm="1">
        <f t="array" ref="B25">IF(H25="PROJECT", CHAR(10) &amp; "- " &amp; _xlfn.TEXTJOIN(CHAR(10) &amp; "- ", TRUE, _xlfn._xlws.FILTER($I$9:$I$1000, ($C$9:$C$1000=C25) * ($H$9:$H$1000="Topic"))), "")</f>
        <v/>
      </c>
      <c r="C25" s="45">
        <f t="shared" si="0"/>
        <v>3</v>
      </c>
      <c r="D25" s="46">
        <v>3</v>
      </c>
      <c r="E25" s="58" t="s">
        <v>49</v>
      </c>
      <c r="F25" s="48">
        <v>17</v>
      </c>
      <c r="G25" s="49" t="s">
        <v>163</v>
      </c>
      <c r="H25" s="49" t="s">
        <v>51</v>
      </c>
      <c r="I25" s="50" t="s">
        <v>690</v>
      </c>
      <c r="J25" s="51" t="s">
        <v>691</v>
      </c>
      <c r="K25" s="103" t="str">
        <f t="shared" si="1"/>
        <v xml:space="preserve">[ROLE] Friendly tutor specializing in Python | [TOPIC] Enforce strict network constraints by configuring the timeout parameter in httpx requests to prevent hanging connections and ensure predictable application execution times | [LEVEL] Intermediate | [COUNT] 3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#17 | Stage 1 📖 Practice | Python - HTTPX | 📊 Level: Intermediate | 🌐 Coding5s.com
**Concept:** Enforcing Request Timeouts (timeout parameter)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strict network constraints by configuring the timeout parameter in httpx requests to prevent hanging connections and ensure predictable application execution times. Topic details: Enforcing Request Timeouts (timeout parameter)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 HTTPX | 📊 Level: Intermediate
**Topic:** Enforce strict network constraints by configuring the timeout parameter in httpx requests to prevent hanging connections and ensure predictable application execution times
---
 | [FOOTER RULE - STRICT] End your response with: '--- ⚡ *Coding5s Mentor System — Eliminating Epistemic Debt*' | </v>
      </c>
      <c r="M25" s="53">
        <v>0</v>
      </c>
      <c r="N25" s="104" t="str">
        <f t="shared" si="3"/>
        <v>[ROLE] Careless Python Developer | [TASK] Generate debugging challenges in Python | | [TOPIC] Enforce strict network constraints by configuring the timeout parameter in httpx requests to prevent hanging connections and ensure predictable application execution times | | [LEVEL] Intermediate | | [COUNT] 3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#17 | Stage 2 🐛 Debug | Python - HTTPX | 📊 Level: Intermediate | 🌐 Coding5s.com
Concept: Enforcing Request Timeouts (timeout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strict network constraints by configuring the timeout parameter in httpx requests to prevent hanging connections and ensure predictable application execution times. Topic details: Enforcing Request Timeouts (timeout parameter)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 HTTPX | 📊 Level: Intermediate
**Topic:** Enforce strict network constraints by configuring the timeout parameter in httpx requests to prevent hanging connections and ensure predictable application execution times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4" t="str">
        <f t="shared" si="5"/>
        <v>[ROLE] Tech Lead | [TASK] Assign incomplete Python script challenges | [TOPIC] Enforce strict network constraints by configuring the timeout parameter in httpx requests to prevent hanging connections and ensure predictable application execution times | [LEVEL] Intermediate | [COUNT] 3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#17 | Stage 3 🧩 Complete | Python - HTTPX | 📊 Level: Intermediate | 🌐 Coding5s.com
**Concept:** Enforcing Request Timeouts (timeout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strict network constraints by configuring the timeout parameter in httpx requests to prevent hanging connections and ensure predictable application execution times.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strict network constraints by configuring the timeout parameter in httpx requests to prevent hanging connections and ensure predictable application execution times. Topic details: Enforcing Request Timeouts (timeout parameter)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 HTTPX | 📊 Level: Intermediate
**Topic:** Enforce strict network constraints by configuring the timeout parameter in httpx requests to prevent hanging connections and ensure predictable application execution times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4" t="str">
        <f t="shared" si="7"/>
        <v>[ROLE] Tech Lead | [TASK] Provide intentionally messy but functional code for learning debugging and improvement | [TOPIC] Enforce strict network constraints by configuring the timeout parameter in httpx requests to prevent hanging connections and ensure predictable application execution times | [LEVEL] Intermediate | [COUNT] 3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 HTTPX | 📊 Level: Intermediate | 🌐 Coding5s.com
**Concept:** Enforcing Request Timeouts (timeout parameter)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Enforce strict network constraints by configuring the timeout parameter in httpx requests to prevent hanging connections and ensure predictable application execution times. Topic details: Enforcing Request Timeouts (timeout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 HTTPX | 📊 Level: Intermediate
**Topic:** Enforce strict network constraints by configuring the timeout parameter in httpx requests to prevent hanging connections and ensure predictable application execution times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8" t="str">
        <f t="shared" si="9"/>
        <v>[ROLE] Tech Product Manager assigning a Python Jira Ticket | [TASK] Provide a guided implementation exercise with full solution for learning purposes | [TOPIC] Enforce strict network constraints by configuring the timeout parameter in httpx requests to prevent hanging connections and ensure predictable application execution times | [LEVEL] Intermediate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 HTTPX | 📊 Level: Intermediate | 🌐 Coding5s.com
**Concept:** Enforcing Request Timeouts (timeout parameter)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strict network constraints by configuring the timeout parameter in httpx requests to prevent hanging connections and ensure predictable application execution times. Goal: Enforcing Request Timeouts (timeout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 HTTPX | 📊 Level: Intermediate
**Topic:** Enforce strict network constraints by configuring the timeout parameter in httpx requests to prevent hanging connections and ensure predictable application execution times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1"/>
        <v/>
      </c>
      <c r="AA25" s="56" t="str">
        <f t="shared" si="12"/>
        <v/>
      </c>
      <c r="AB25" s="56" t="str">
        <f t="shared" si="13"/>
        <v/>
      </c>
      <c r="AC25" s="56" t="str">
        <f t="shared" si="14"/>
        <v/>
      </c>
      <c r="AD25" s="56" t="str">
        <f t="shared" si="15"/>
        <v/>
      </c>
      <c r="AE25" s="40" t="s">
        <v>138</v>
      </c>
      <c r="AF25" s="40" t="s">
        <v>139</v>
      </c>
      <c r="AG25" s="40" t="s">
        <v>140</v>
      </c>
      <c r="AH25" s="56" t="str">
        <f t="shared" si="16"/>
        <v/>
      </c>
      <c r="AI25" s="54"/>
      <c r="AJ25" s="54"/>
      <c r="AK25" s="54">
        <v>17</v>
      </c>
      <c r="AL25" s="54" t="s">
        <v>141</v>
      </c>
      <c r="AM25" s="54" t="s">
        <v>142</v>
      </c>
    </row>
    <row r="26" spans="1:39">
      <c r="A26" s="96">
        <v>8</v>
      </c>
      <c r="B26" s="45" t="str" cm="1">
        <f t="array" ref="B26">IF(H26="PROJECT", CHAR(10) &amp; "- " &amp; _xlfn.TEXTJOIN(CHAR(10) &amp; "- ", TRUE, _xlfn._xlws.FILTER($I$9:$I$1000, ($C$9:$C$1000=C26) * ($H$9:$H$1000="Topic"))), "")</f>
        <v/>
      </c>
      <c r="C26" s="45">
        <f t="shared" si="0"/>
        <v>3</v>
      </c>
      <c r="D26" s="57">
        <v>5</v>
      </c>
      <c r="E26" s="58" t="s">
        <v>49</v>
      </c>
      <c r="F26" s="59">
        <v>18</v>
      </c>
      <c r="G26" s="60" t="s">
        <v>163</v>
      </c>
      <c r="H26" s="60" t="s">
        <v>51</v>
      </c>
      <c r="I26" s="61" t="s">
        <v>692</v>
      </c>
      <c r="J26" s="62" t="s">
        <v>693</v>
      </c>
      <c r="K26" s="103" t="str">
        <f t="shared" si="1"/>
        <v xml:space="preserve">[ROLE] Friendly tutor specializing in Python | [TOPIC] Implement robust error handling by wrapping httpx client calls in try-except blocks to gracefully catch and log specific network exceptions such as httpx.TimeoutException and httpx.RequestError | [LEVEL] Intermediate | [COUNT] 5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#18 | Stage 1 📖 Practice | Python - HTTPX | 📊 Level: Intermediate | 🌐 Coding5s.com
**Concept:** Catching Network Exceptions (Timeout, ConnectionError, RequestException)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robust error handling by wrapping httpx client calls in try-except blocks to gracefully catch and log specific network exceptions such as httpx.TimeoutException and httpx.RequestError. Topic details: Catching Network Exceptions (Timeout, ConnectionError, RequestException)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 HTTPX | 📊 Level: Intermediate
**Topic:** Implement robust error handling by wrapping httpx client calls in try-except blocks to gracefully catch and log specific network exceptions such as httpx.TimeoutException and httpx.RequestError
---
 | [FOOTER RULE - STRICT] End your response with: '--- ⚡ *Coding5s Mentor System — Eliminating Epistemic Debt*' | </v>
      </c>
      <c r="M26" s="52">
        <v>0</v>
      </c>
      <c r="N26" s="104" t="str">
        <f t="shared" si="3"/>
        <v>[ROLE] Careless Python Developer | [TASK] Generate debugging challenges in Python | | [TOPIC] Implement robust error handling by wrapping httpx client calls in try-except blocks to gracefully catch and log specific network exceptions such as httpx.TimeoutException and httpx.RequestError | | [LEVEL] Intermediate |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#18 | Stage 2 🐛 Debug | Python - HTTPX | 📊 Level: Intermediate | 🌐 Coding5s.com
Concept: Catching Network Exceptions (Timeout, ConnectionError, RequestException)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robust error handling by wrapping httpx client calls in try-except blocks to gracefully catch and log specific network exceptions such as httpx.TimeoutException and httpx.RequestError. Topic details: Catching Network Exceptions (Timeout, ConnectionError, RequestException)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 HTTPX | 📊 Level: Intermediate
**Topic:** Implement robust error handling by wrapping httpx client calls in try-except blocks to gracefully catch and log specific network exceptions such as httpx.TimeoutException and httpx.RequestError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4" t="str">
        <f t="shared" si="5"/>
        <v>[ROLE] Tech Lead | [TASK] Assign incomplete Python script challenges | [TOPIC] Implement robust error handling by wrapping httpx client calls in try-except blocks to gracefully catch and log specific network exceptions such as httpx.TimeoutException and httpx.RequestError | [LEVEL] Intermediate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#18 | Stage 3 🧩 Complete | Python - HTTPX | 📊 Level: Intermediate | 🌐 Coding5s.com
**Concept:** Catching Network Exceptions (Timeout, ConnectionError, RequestException)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robust error handling by wrapping httpx client calls in try-except blocks to gracefully catch and log specific network exceptions such as httpx.TimeoutException and httpx.RequestError.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robust error handling by wrapping httpx client calls in try-except blocks to gracefully catch and log specific network exceptions such as httpx.TimeoutException and httpx.RequestError. Topic details: Catching Network Exceptions (Timeout, ConnectionError, RequestException)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 HTTPX | 📊 Level: Intermediate
**Topic:** Implement robust error handling by wrapping httpx client calls in try-except blocks to gracefully catch and log specific network exceptions such as httpx.TimeoutException and httpx.RequestError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4" t="str">
        <f t="shared" si="7"/>
        <v>[ROLE] Tech Lead | [TASK] Provide intentionally messy but functional code for learning debugging and improvement | [TOPIC] Implement robust error handling by wrapping httpx client calls in try-except blocks to gracefully catch and log specific network exceptions such as httpx.TimeoutException and httpx.RequestError | [LEVEL] Intermediate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 HTTPX | 📊 Level: Intermediate | 🌐 Coding5s.com
**Concept:** Catching Network Exceptions (Timeout, ConnectionError, RequestException)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robust error handling by wrapping httpx client calls in try-except blocks to gracefully catch and log specific network exceptions such as httpx.TimeoutException and httpx.RequestError. Topic details: Catching Network Exceptions (Timeout, ConnectionError, RequestException)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 HTTPX | 📊 Level: Intermediate
**Topic:** Implement robust error handling by wrapping httpx client calls in try-except blocks to gracefully catch and log specific network exceptions such as httpx.TimeoutException and httpx.RequestError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8" t="str">
        <f t="shared" si="9"/>
        <v>[ROLE] Tech Product Manager assigning a Python Jira Ticket | [TASK] Provide a guided implementation exercise with full solution for learning purposes | [TOPIC] Implement robust error handling by wrapping httpx client calls in try-except blocks to gracefully catch and log specific network exceptions such as httpx.TimeoutException and httpx.RequestError | [LEVEL] Intermediate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 HTTPX | 📊 Level: Intermediate | 🌐 Coding5s.com
**Concept:** Catching Network Exceptions (Timeout, ConnectionError, RequestException)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robust error handling by wrapping httpx client calls in try-except blocks to gracefully catch and log specific network exceptions such as httpx.TimeoutException and httpx.RequestError. Goal: Catching Network Exceptions (Timeout, ConnectionError, RequestException)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 HTTPX | 📊 Level: Intermediate
**Topic:** Implement robust error handling by wrapping httpx client calls in try-except blocks to gracefully catch and log specific network exceptions such as httpx.TimeoutException and httpx.RequestError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1"/>
        <v/>
      </c>
      <c r="AA26" s="56" t="str">
        <f t="shared" si="12"/>
        <v/>
      </c>
      <c r="AB26" s="56" t="str">
        <f t="shared" si="13"/>
        <v/>
      </c>
      <c r="AC26" s="56" t="str">
        <f t="shared" si="14"/>
        <v/>
      </c>
      <c r="AD26" s="56" t="str">
        <f t="shared" si="15"/>
        <v/>
      </c>
      <c r="AE26" s="40" t="s">
        <v>143</v>
      </c>
      <c r="AF26" s="40" t="s">
        <v>144</v>
      </c>
      <c r="AG26" s="40" t="s">
        <v>145</v>
      </c>
      <c r="AH26" s="56" t="str">
        <f t="shared" si="16"/>
        <v/>
      </c>
      <c r="AI26" s="54"/>
      <c r="AJ26" s="54"/>
      <c r="AK26" s="54">
        <v>18</v>
      </c>
      <c r="AL26" s="54" t="s">
        <v>146</v>
      </c>
      <c r="AM26" s="54" t="s">
        <v>147</v>
      </c>
    </row>
    <row r="27" spans="1:39">
      <c r="A27" s="96">
        <v>10</v>
      </c>
      <c r="B27" s="45" t="str" cm="1">
        <f t="array" ref="B27">IF(H27="PROJECT", CHAR(10) &amp; "- " &amp; _xlfn.TEXTJOIN(CHAR(10) &amp; "- ", TRUE, _xlfn._xlws.FILTER($I$9:$I$1000, ($C$9:$C$1000=C27) * ($H$9:$H$1000="Topic"))), "")</f>
        <v/>
      </c>
      <c r="C27" s="45">
        <f t="shared" si="0"/>
        <v>3</v>
      </c>
      <c r="D27" s="46">
        <v>4</v>
      </c>
      <c r="E27" s="58" t="s">
        <v>667</v>
      </c>
      <c r="F27" s="48">
        <v>19</v>
      </c>
      <c r="G27" s="49" t="s">
        <v>163</v>
      </c>
      <c r="H27" s="49" t="s">
        <v>51</v>
      </c>
      <c r="I27" s="50" t="s">
        <v>694</v>
      </c>
      <c r="J27" s="51" t="s">
        <v>695</v>
      </c>
      <c r="K27" s="103" t="str">
        <f t="shared" si="1"/>
        <v xml:space="preserve">[ROLE] Friendly tutor specializing in Python | [TOPIC] Extract comprehensive datasets across multiple API pages by implementing while loops alongside httpx requests to systematically parse and follow pagination cursors or next-page link headers | [LEVEL] Intermediate | [COUNT] 4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#19 | Stage 1 📖 Practice | Python - HTTPX | 📊 Level: Intermediate | 🌐 Coding5s.com
**Concept:** Handling API Pagination (While loops, next cursors/links)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comprehensive datasets across multiple API pages by implementing while loops alongside httpx requests to systematically parse and follow pagination cursors or next-page link headers. Topic details: Handling API Pagination (While loops, next cursors/links)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 HTTPX | 📊 Level: Intermediate
**Topic:** Extract comprehensive datasets across multiple API pages by implementing while loops alongside httpx requests to systematically parse and follow pagination cursors or next-page link headers
---
 | [FOOTER RULE - STRICT] End your response with: '--- ⚡ *Coding5s Mentor System — Eliminating Epistemic Debt*' | </v>
      </c>
      <c r="M27" s="53">
        <v>0</v>
      </c>
      <c r="N27" s="104" t="str">
        <f t="shared" si="3"/>
        <v>[ROLE] Careless Python Developer | [TASK] Generate debugging challenges in Python | | [TOPIC] Extract comprehensive datasets across multiple API pages by implementing while loops alongside httpx requests to systematically parse and follow pagination cursors or next-page link headers | | [LEVEL] Intermediate |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#19 | Stage 2 🐛 Debug | Python - HTTPX | 📊 Level: Intermediate | 🌐 Coding5s.com
Concept: Handling API Pagination (While loops, next cursors/links)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comprehensive datasets across multiple API pages by implementing while loops alongside httpx requests to systematically parse and follow pagination cursors or next-page link headers. Topic details: Handling API Pagination (While loops, next cursors/links)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 HTTPX | 📊 Level: Intermediate
**Topic:** Extract comprehensive datasets across multiple API pages by implementing while loops alongside httpx requests to systematically parse and follow pagination cursors or next-page link headers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4" t="str">
        <f t="shared" si="5"/>
        <v>[ROLE] Tech Lead | [TASK] Assign incomplete Python script challenges | [TOPIC] Extract comprehensive datasets across multiple API pages by implementing while loops alongside httpx requests to systematically parse and follow pagination cursors or next-page link headers | [LEVEL] Intermediate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#19 | Stage 3 🧩 Complete | Python - HTTPX | 📊 Level: Intermediate | 🌐 Coding5s.com
**Concept:** Handling API Pagination (While loops, next cursors/links)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comprehensive datasets across multiple API pages by implementing while loops alongside httpx requests to systematically parse and follow pagination cursors or next-page link headers.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comprehensive datasets across multiple API pages by implementing while loops alongside httpx requests to systematically parse and follow pagination cursors or next-page link headers. Topic details: Handling API Pagination (While loops, next cursors/links)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 HTTPX | 📊 Level: Intermediate
**Topic:** Extract comprehensive datasets across multiple API pages by implementing while loops alongside httpx requests to systematically parse and follow pagination cursors or next-page link headers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4" t="str">
        <f t="shared" si="7"/>
        <v>[ROLE] Tech Lead | [TASK] Provide intentionally messy but functional code for learning debugging and improvement | [TOPIC] Extract comprehensive datasets across multiple API pages by implementing while loops alongside httpx requests to systematically parse and follow pagination cursors or next-page link headers | [LEVEL] Intermediate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Python - HTTPX | 📊 Level: Intermediate | 🌐 Coding5s.com
**Concept:** Handling API Pagination (While loops, next cursors/links)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comprehensive datasets across multiple API pages by implementing while loops alongside httpx requests to systematically parse and follow pagination cursors or next-page link headers. Topic details: Handling API Pagination (While loops, next cursors/links)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 HTTPX | 📊 Level: Intermediate
**Topic:** Extract comprehensive datasets across multiple API pages by implementing while loops alongside httpx requests to systematically parse and follow pagination cursors or next-page link headers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8" t="str">
        <f t="shared" si="9"/>
        <v>[ROLE] Tech Product Manager assigning a Python Jira Ticket | [TASK] Provide a guided implementation exercise with full solution for learning purposes | [TOPIC] Extract comprehensive datasets across multiple API pages by implementing while loops alongside httpx requests to systematically parse and follow pagination cursors or next-page link headers | [LEVEL] Intermediate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 HTTPX | 📊 Level: Intermediate | 🌐 Coding5s.com
**Concept:** Handling API Pagination (While loops, next cursors/links)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comprehensive datasets across multiple API pages by implementing while loops alongside httpx requests to systematically parse and follow pagination cursors or next-page link headers. Goal: Handling API Pagination (While loops, next cursors/links)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 HTTPX | 📊 Level: Intermediate
**Topic:** Extract comprehensive datasets across multiple API pages by implementing while loops alongside httpx requests to systematically parse and follow pagination cursors or next-page link headers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1"/>
        <v/>
      </c>
      <c r="AA27" s="56" t="str">
        <f t="shared" si="12"/>
        <v/>
      </c>
      <c r="AB27" s="56" t="str">
        <f t="shared" si="13"/>
        <v/>
      </c>
      <c r="AC27" s="56" t="str">
        <f t="shared" si="14"/>
        <v/>
      </c>
      <c r="AD27" s="56" t="str">
        <f t="shared" si="15"/>
        <v/>
      </c>
      <c r="AE27" s="40" t="s">
        <v>148</v>
      </c>
      <c r="AF27" s="40" t="s">
        <v>149</v>
      </c>
      <c r="AG27" s="40" t="s">
        <v>150</v>
      </c>
      <c r="AH27" s="56" t="str">
        <f t="shared" si="16"/>
        <v/>
      </c>
      <c r="AI27" s="54"/>
      <c r="AJ27" s="54"/>
      <c r="AK27" s="54">
        <v>19</v>
      </c>
      <c r="AL27" s="54" t="s">
        <v>108</v>
      </c>
      <c r="AM27" s="54" t="s">
        <v>109</v>
      </c>
    </row>
    <row r="28" spans="1:39">
      <c r="A28" s="96" t="s">
        <v>80</v>
      </c>
      <c r="B28" s="45" t="str" cm="1">
        <f t="array" ref="B28">IF(H28="PROJECT", CHAR(10) &amp; "- " &amp; _xlfn.TEXTJOIN(CHAR(10) &amp; "- ", TRUE, _xlfn._xlws.FILTER($I$9:$I$1000, ($C$9:$C$1000=C28) * ($H$9:$H$1000="Topic"))), "")</f>
        <v xml:space="preserve">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v>
      </c>
      <c r="C28" s="45">
        <f t="shared" si="0"/>
        <v>3</v>
      </c>
      <c r="D28" s="57">
        <v>0</v>
      </c>
      <c r="E28" s="58" t="s">
        <v>667</v>
      </c>
      <c r="F28" s="59">
        <v>20</v>
      </c>
      <c r="G28" s="60" t="s">
        <v>163</v>
      </c>
      <c r="H28" s="60" t="s">
        <v>81</v>
      </c>
      <c r="I28" s="61" t="s">
        <v>696</v>
      </c>
      <c r="J28" s="62" t="s">
        <v>697</v>
      </c>
      <c r="K28" s="103" t="str">
        <f t="shared" si="1"/>
        <v>[TASK] Teach through a practical Python - HTTPX project following the micro-learning methodology, acting as a supportive tutor, creating a project about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#20 | Stage 1 | Python - HTTPX | 📊 Level: Intermediate | 🌐 Coding5s.com
**Project:** Project 3: Complete CRUD Manager with Pagination &amp; Timeouts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8"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complete CRUD manager application that takes user terminal commands as input, processes data modifications across paginated API endpoints using secure httpx methods with strict network timeouts, and outputs execution status confirmations for each operation. Topics applied in this project: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Project objective: Project 3: Complete CRUD Manager with Pagination &amp; Timeouts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#20 | Practice | Python - HTTPX | 📊 Level: Intermediate
**Project:** Build a complete CRUD manager application that takes user terminal commands as input, processes data modifications across paginated API endpoints using secure httpx methods with strict network timeouts, and outputs execution status confirmations for each operation
---
 | [FOOTER RULE - STRICT] End your response with: '--- ⚡ *Coding5s Mentor System — Eliminating Epistemic Debt*' | </v>
      </c>
      <c r="M28" s="52">
        <v>0</v>
      </c>
      <c r="N28" s="104" t="str">
        <f t="shared" si="3"/>
        <v>[ROLE] Careless Python Developer | [TASK] Generate debugging project in Python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[OUTPUT] Only header, dataset summary or statement (if any), email intro, objective, expected output, broken code, and footer | [HEADER RULE - STRICT] You MUST start your entire response EXACTLY with this markdown block (do not print anything before it):
### 🚀 Project #20 | Stage 2 | Python - HTTPX | 📊 Level: Intermediate | 🌐 Coding5s.com
Project: Project 3: Complete CRUD Manager with Pagination &amp; Timeouts
---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Amharic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complete CRUD manager application that takes user terminal commands as input, processes data modifications across paginated API endpoints using secure httpx methods with strict network timeouts, and outputs execution status confirmations for each operation. Topics involved: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Project objective: Project 3: Complete CRUD Manager with Pagination &amp; Timeouts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#20 | Debug | Python - HTTPX | 📊 Level: Intermediate
**Project:** Build a complete CRUD manager application that takes user terminal commands as input, processes data modifications across paginated API endpoints using secure httpx methods with strict network timeouts, and outputs execution status confirmations for each operation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4" t="str">
        <f t="shared" si="5"/>
        <v>[ROLE] Tech Lead | [TASK] Assign incomplete project script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#20 | Stage 3 | Python - HTTPX | 📊 Level: Intermediate | 🌐 Coding5s.com
**Project:** Project 3: Complete CRUD Manager with Pagination &amp; Timeouts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complete CRUD manager application that takes user terminal commands as input, processes data modifications across paginated API endpoints using secure httpx methods with strict network timeouts, and outputs execution status confirmations for each operation. Topics involved: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Project objective: Project 3: Complete CRUD Manager with Pagination &amp; Timeouts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#20 | Complete | Python - HTTPX | 📊 Level: Intermediate
**Project:** Build a complete CRUD manager application that takes user terminal commands as input, processes data modifications across paginated API endpoints using secure httpx methods with strict network timeouts, and outputs execution status confirmations for each operation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4" t="str">
        <f t="shared" si="7"/>
        <v>[ROLE] Tech Lead | [TASK] Provide a messy but functional project for refactoring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[PERSONA RULE] Act as a Tech Lead. A junior wrote this working but messy code. Tone: professional but exhausted | [HEADER RULE - STRICT] You MUST start your entire response EXACTLY with this markdown block (do not print anything before it):
### 🚀 Project #20 | Stage 4 | Python - HTTPX | 📊 Level: Intermediate | 🌐 Coding5s.com
**Project:** Project 3: Complete CRUD Manager with Pagination &amp; Timeouts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complete CRUD manager application that takes user terminal commands as input, processes data modifications across paginated API endpoints using secure httpx methods with strict network timeouts, and outputs execution status confirmations for each operation. Topics involved: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Project objective: Project 3: Complete CRUD Manager with Pagination &amp; Timeouts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#20 | Refactor | Python - HTTPX | 📊 Level: Intermediate
**Project:** Build a complete CRUD manager application that takes user terminal commands as input, processes data modifications across paginated API endpoints using secure httpx methods with strict network timeouts, and outputs execution status confirmations for each operation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8" t="str">
        <f t="shared" si="9"/>
        <v>[ROLE] Tech Product Manager assigning a Python Jira Ticket | [TASK] Provide a guided project implementation with full solution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[PERSONA RULE] Act as a professional Tech Product Manager defining a project ticket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#20 | Stage 5 | Python - HTTPX | 📊 Level: Intermediate | 🌐 Coding5s.com
**Project:** Project 3: Complete CRUD Manager with Pagination &amp; Timeouts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complete CRUD manager application that takes user terminal commands as input, processes data modifications across paginated API endpoints using secure httpx methods with strict network timeouts, and outputs execution status confirmations for each operation. Topics integrated: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Business Goal: Project 3: Complete CRUD Manager with Pagination &amp; Timeouts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#20 | Extend | Python - HTTPX | 📊 Level: Intermediate
**Project:** Build a complete CRUD manager application that takes user terminal commands as input, processes data modifications across paginated API endpoints using secure httpx methods with strict network timeouts, and outputs execution status confirmations for each operation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1"/>
        <v>[TASK] Teach through a practical Python - HTTPX project following the micro-learning methodology, acting as a supportive tutor, creating a project about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#20 | Stage 1 | Python - HTTPX | 📊 Level: Intermediate | 🌐 Coding5s.com
**Project:** Project 3: Complete CRUD Manager with Pagination &amp; Timeouts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8" s="56" t="str">
        <f t="shared" si="12"/>
        <v>[ROLE] Careless Python Developer | [TASK] Generate debugging project in Python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[OUTPUT] Only header, dataset summary or statement (if any), email intro, objective, expected output, broken code, and footer | [HEADER RULE - STRICT] You MUST start your entire response EXACTLY with this markdown block (do not print anything before it):
### 🚀 Project #20 | Stage 2 | Python - HTTPX | 📊 Level: Intermediate | 🌐 Coding5s.com
Project: Project 3: Complete CRUD Manager with Pagination &amp; Timeouts
---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Amharic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8" s="56" t="str">
        <f t="shared" si="13"/>
        <v>[ROLE] Tech Lead | [TASK] Assign incomplete project script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#20 | Stage 3 | Python - HTTPX | 📊 Level: Intermediate | 🌐 Coding5s.com
**Project:** Project 3: Complete CRUD Manager with Pagination &amp; Timeouts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8" s="56" t="str">
        <f t="shared" si="14"/>
        <v>[ROLE] Tech Lead | [TASK] Provide a messy but functional project for refactoring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[PERSONA RULE] Act as a Tech Lead. A junior wrote this working but messy code. Tone: professional but exhausted | [HEADER RULE - STRICT] You MUST start your entire response EXACTLY with this markdown block (do not print anything before it):
### 🚀 Project #20 | Stage 4 | Python - HTTPX | 📊 Level: Intermediate | 🌐 Coding5s.com
**Project:** Project 3: Complete CRUD Manager with Pagination &amp; Timeouts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8" s="56" t="str">
        <f t="shared" si="15"/>
        <v>[ROLE] Tech Product Manager assigning a Python Jira Ticket | [TASK] Provide a guided project implementation with full solution | [PROJECT] Build a complete CRUD manager application that takes user terminal commands as input, processes data modifications across paginated API endpoints using secure httpx methods with strict network timeouts, and outputs execution status confirmations for each operation | [TOPICS USED] 
- Transmit form-encoded data to remote servers by executing POST requests with httpx.post and passing a formatted Python dictionary to the data parameter
- Send structured JSON payloads to RESTful APIs by utilizing the json parameter in httpx.post requests to automatically serialize Python dictionaries and set correct headers
- Manipulate server-side resources by executing httpx.put, httpx.patch, and httpx.delete HTTP methods to update, modify, or permanently remove API data records
- Debug outgoing HTTP traffic by inspecting the .request.headers and .request.content attributes of a completed httpx response to verify the exact payload transmitted to the server
- Enforce strict network constraints by configuring the timeout parameter in httpx requests to prevent hanging connections and ensure predictable application execution times
- Implement robust error handling by wrapping httpx client calls in try-except blocks to gracefully catch and log specific network exceptions such as httpx.TimeoutException and httpx.RequestError
- Extract comprehensive datasets across multiple API pages by implementing while loops alongside httpx requests to systematically parse and follow pagination cursors or next-page link headers | [LEVEL] Intermediate | [PERSONA RULE] Act as a professional Tech Product Manager defining a project ticket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#20 | Stage 5 | Python - HTTPX | 📊 Level: Intermediate | 🌐 Coding5s.com
**Project:** Project 3: Complete CRUD Manager with Pagination &amp; Timeouts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8" s="40" t="s">
        <v>151</v>
      </c>
      <c r="AF28" s="40" t="s">
        <v>152</v>
      </c>
      <c r="AG28" s="40" t="s">
        <v>153</v>
      </c>
      <c r="AH28" s="56" t="str">
        <f t="shared" si="16"/>
        <v/>
      </c>
      <c r="AI28" s="54"/>
      <c r="AJ28" s="54"/>
      <c r="AK28" s="54">
        <v>20</v>
      </c>
      <c r="AL28" s="54" t="s">
        <v>113</v>
      </c>
      <c r="AM28" s="54" t="s">
        <v>114</v>
      </c>
    </row>
    <row r="29" spans="1:39">
      <c r="A29" s="96">
        <v>8</v>
      </c>
      <c r="B29" s="45" t="str" cm="1">
        <f t="array" ref="B29">IF(H29="PROJECT", CHAR(10) &amp; "- " &amp; _xlfn.TEXTJOIN(CHAR(10) &amp; "- ", TRUE, _xlfn._xlws.FILTER($I$9:$I$1000, ($C$9:$C$1000=C29) * ($H$9:$H$1000="Topic"))), "")</f>
        <v/>
      </c>
      <c r="C29" s="45">
        <f t="shared" si="0"/>
        <v>4</v>
      </c>
      <c r="D29" s="46">
        <v>4</v>
      </c>
      <c r="E29" s="58" t="s">
        <v>49</v>
      </c>
      <c r="F29" s="48">
        <v>21</v>
      </c>
      <c r="G29" s="49" t="s">
        <v>163</v>
      </c>
      <c r="H29" s="49" t="s">
        <v>51</v>
      </c>
      <c r="I29" s="50" t="s">
        <v>698</v>
      </c>
      <c r="J29" s="51" t="s">
        <v>699</v>
      </c>
      <c r="K29" s="103" t="str">
        <f t="shared" si="1"/>
        <v xml:space="preserve">[ROLE] Friendly tutor specializing in Python | [TOPIC] Control HTTP redirection behavior by toggling the follow_redirects parameter in httpx methods and logically tracing the routing sequence through the response.history list attribute | [LEVEL] Intermediate | [COUNT] 4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#21 | Stage 1 📖 Practice | Python - HTTPX | 📊 Level: Intermediate | 🌐 Coding5s.com
**Concept:** Managing HTTP Redirects (allow_redirects, response.history)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HTTP redirection behavior by toggling the follow_redirects parameter in httpx methods and logically tracing the routing sequence through the response.history list attribute. Topic details: Managing HTTP Redirects (allow_redirects, response.history)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 HTTPX | 📊 Level: Intermediate
**Topic:** Control HTTP redirection behavior by toggling the follow_redirects parameter in httpx methods and logically tracing the routing sequence through the response.history list attribute
---
 | [FOOTER RULE - STRICT] End your response with: '--- ⚡ *Coding5s Mentor System — Eliminating Epistemic Debt*' | </v>
      </c>
      <c r="M29" s="53">
        <v>0</v>
      </c>
      <c r="N29" s="104" t="str">
        <f t="shared" si="3"/>
        <v>[ROLE] Careless Python Developer | [TASK] Generate debugging challenges in Python | | [TOPIC] Control HTTP redirection behavior by toggling the follow_redirects parameter in httpx methods and logically tracing the routing sequence through the response.history list attribute | | [LEVEL] Intermediate |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#21 | Stage 2 🐛 Debug | Python - HTTPX | 📊 Level: Intermediate | 🌐 Coding5s.com
Concept: Managing HTTP Redirects (allow_redirects, response.history)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HTTP redirection behavior by toggling the follow_redirects parameter in httpx methods and logically tracing the routing sequence through the response.history list attribute. Topic details: Managing HTTP Redirects (allow_redirects, response.history)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 HTTPX | 📊 Level: Intermediate
**Topic:** Control HTTP redirection behavior by toggling the follow_redirects parameter in httpx methods and logically tracing the routing sequence through the response.history list attribute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4" t="str">
        <f t="shared" si="5"/>
        <v>[ROLE] Tech Lead | [TASK] Assign incomplete Python script challenges | [TOPIC] Control HTTP redirection behavior by toggling the follow_redirects parameter in httpx methods and logically tracing the routing sequence through the response.history list attribute | [LEVEL] Intermediate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#21 | Stage 3 🧩 Complete | Python - HTTPX | 📊 Level: Intermediate | 🌐 Coding5s.com
**Concept:** Managing HTTP Redirects (allow_redirects, response.history)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HTTP redirection behavior by toggling the follow_redirects parameter in httpx methods and logically tracing the routing sequence through the response.history list attribute.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HTTP redirection behavior by toggling the follow_redirects parameter in httpx methods and logically tracing the routing sequence through the response.history list attribute. Topic details: Managing HTTP Redirects (allow_redirects, response.history)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 HTTPX | 📊 Level: Intermediate
**Topic:** Control HTTP redirection behavior by toggling the follow_redirects parameter in httpx methods and logically tracing the routing sequence through the response.history list attribute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4" t="str">
        <f t="shared" si="7"/>
        <v>[ROLE] Tech Lead | [TASK] Provide intentionally messy but functional code for learning debugging and improvement | [TOPIC] Control HTTP redirection behavior by toggling the follow_redirects parameter in httpx methods and logically tracing the routing sequence through the response.history list attribute | [LEVEL] Intermediate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 HTTPX | 📊 Level: Intermediate | 🌐 Coding5s.com
**Concept:** Managing HTTP Redirects (allow_redirects, response.history)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Control HTTP redirection behavior by toggling the follow_redirects parameter in httpx methods and logically tracing the routing sequence through the response.history list attribute. Topic details: Managing HTTP Redirects (allow_redirects, response.history)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 HTTPX | 📊 Level: Intermediate
**Topic:** Control HTTP redirection behavior by toggling the follow_redirects parameter in httpx methods and logically tracing the routing sequence through the response.history list attribute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8" t="str">
        <f t="shared" si="9"/>
        <v>[ROLE] Tech Product Manager assigning a Python Jira Ticket | [TASK] Provide a guided implementation exercise with full solution for learning purposes | [TOPIC] Control HTTP redirection behavior by toggling the follow_redirects parameter in httpx methods and logically tracing the routing sequence through the response.history list attribute | [LEVEL] Intermediate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 HTTPX | 📊 Level: Intermediate | 🌐 Coding5s.com
**Concept:** Managing HTTP Redirects (allow_redirects, response.history)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HTTP redirection behavior by toggling the follow_redirects parameter in httpx methods and logically tracing the routing sequence through the response.history list attribute. Goal: Managing HTTP Redirects (allow_redirects, response.history)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 HTTPX | 📊 Level: Intermediate
**Topic:** Control HTTP redirection behavior by toggling the follow_redirects parameter in httpx methods and logically tracing the routing sequence through the response.history list attribute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1"/>
        <v/>
      </c>
      <c r="AA29" s="56" t="str">
        <f t="shared" si="12"/>
        <v/>
      </c>
      <c r="AB29" s="56" t="str">
        <f t="shared" si="13"/>
        <v/>
      </c>
      <c r="AC29" s="56" t="str">
        <f t="shared" si="14"/>
        <v/>
      </c>
      <c r="AD29" s="56" t="str">
        <f t="shared" si="15"/>
        <v/>
      </c>
      <c r="AE29" s="40" t="s">
        <v>154</v>
      </c>
      <c r="AF29" s="40" t="s">
        <v>155</v>
      </c>
      <c r="AG29" s="40" t="s">
        <v>156</v>
      </c>
      <c r="AH29" s="56" t="str">
        <f t="shared" si="16"/>
        <v/>
      </c>
      <c r="AI29" s="54"/>
      <c r="AJ29" s="54"/>
      <c r="AK29" s="54">
        <v>21</v>
      </c>
      <c r="AL29" s="54" t="s">
        <v>118</v>
      </c>
      <c r="AM29" s="54" t="s">
        <v>119</v>
      </c>
    </row>
    <row r="30" spans="1:39">
      <c r="A30" s="96">
        <v>10</v>
      </c>
      <c r="B30" s="45" t="str" cm="1">
        <f t="array" ref="B30">IF(H30="PROJECT", CHAR(10) &amp; "- " &amp; _xlfn.TEXTJOIN(CHAR(10) &amp; "- ", TRUE, _xlfn._xlws.FILTER($I$9:$I$1000, ($C$9:$C$1000=C30) * ($H$9:$H$1000="Topic"))), "")</f>
        <v/>
      </c>
      <c r="C30" s="45">
        <f t="shared" si="0"/>
        <v>4</v>
      </c>
      <c r="D30" s="57">
        <v>5</v>
      </c>
      <c r="E30" s="58" t="s">
        <v>667</v>
      </c>
      <c r="F30" s="59">
        <v>22</v>
      </c>
      <c r="G30" s="60" t="s">
        <v>163</v>
      </c>
      <c r="H30" s="60" t="s">
        <v>51</v>
      </c>
      <c r="I30" s="61" t="s">
        <v>700</v>
      </c>
      <c r="J30" s="62" t="s">
        <v>701</v>
      </c>
      <c r="K30" s="103" t="str">
        <f t="shared" si="1"/>
        <v xml:space="preserve">[ROLE] Friendly tutor specializing in Python | [TOPIC] Download massive binary files efficiently by utilizing the httpx .iter_bytes() method to stream and write data to disk in manageable chunk sizes without exhausting system RAM | [LEVEL] Intermediate | [COUNT] 5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#22 | Stage 1 📖 Practice | Python - HTTPX | 📊 Level: Intermediate | 🌐 Coding5s.com
**Concept:** Downloading Large/Binary Files in Chunks (iter_content)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Download massive binary files efficiently by utilizing the httpx .iter_bytes() method to stream and write data to disk in manageable chunk sizes without exhausting system RAM. Topic details: Downloading Large/Binary Files in Chunks (iter_content)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 HTTPX | 📊 Level: Intermediate
**Topic:** Download massive binary files efficiently by utilizing the httpx .iter_bytes() method to stream and write data to disk in manageable chunk sizes without exhausting system RAM
---
 | [FOOTER RULE - STRICT] End your response with: '--- ⚡ *Coding5s Mentor System — Eliminating Epistemic Debt*' | </v>
      </c>
      <c r="M30" s="52">
        <v>0</v>
      </c>
      <c r="N30" s="104" t="str">
        <f t="shared" si="3"/>
        <v>[ROLE] Careless Python Developer | [TASK] Generate debugging challenges in Python | | [TOPIC] Download massive binary files efficiently by utilizing the httpx .iter_bytes() method to stream and write data to disk in manageable chunk sizes without exhausting system RAM | | [LEVEL] Intermediate |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#22 | Stage 2 🐛 Debug | Python - HTTPX | 📊 Level: Intermediate | 🌐 Coding5s.com
Concept: Downloading Large/Binary Files in Chunks (iter_content)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Download massive binary files efficiently by utilizing the httpx .iter_bytes() method to stream and write data to disk in manageable chunk sizes without exhausting system RAM. Topic details: Downloading Large/Binary Files in Chunks (iter_content)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 HTTPX | 📊 Level: Intermediate
**Topic:** Download massive binary files efficiently by utilizing the httpx .iter_bytes() method to stream and write data to disk in manageable chunk sizes without exhausting system RAM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4" t="str">
        <f t="shared" si="5"/>
        <v>[ROLE] Tech Lead | [TASK] Assign incomplete Python script challenges | [TOPIC] Download massive binary files efficiently by utilizing the httpx .iter_bytes() method to stream and write data to disk in manageable chunk sizes without exhausting system RAM | [LEVEL] Intermediate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#22 | Stage 3 🧩 Complete | Python - HTTPX | 📊 Level: Intermediate | 🌐 Coding5s.com
**Concept:** Downloading Large/Binary Files in Chunks (iter_content)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Download massive binary files efficiently by utilizing the httpx .iter_bytes() method to stream and write data to disk in manageable chunk sizes without exhausting system RAM.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Download massive binary files efficiently by utilizing the httpx .iter_bytes() method to stream and write data to disk in manageable chunk sizes without exhausting system RAM. Topic details: Downloading Large/Binary Files in Chunks (iter_content)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 HTTPX | 📊 Level: Intermediate
**Topic:** Download massive binary files efficiently by utilizing the httpx .iter_bytes() method to stream and write data to disk in manageable chunk sizes without exhausting system RAM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4" t="str">
        <f t="shared" si="7"/>
        <v>[ROLE] Tech Lead | [TASK] Provide intentionally messy but functional code for learning debugging and improvement | [TOPIC] Download massive binary files efficiently by utilizing the httpx .iter_bytes() method to stream and write data to disk in manageable chunk sizes without exhausting system RAM | [LEVEL] Intermediate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 HTTPX | 📊 Level: Intermediate | 🌐 Coding5s.com
**Concept:** Downloading Large/Binary Files in Chunks (iter_content)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Download massive binary files efficiently by utilizing the httpx .iter_bytes() method to stream and write data to disk in manageable chunk sizes without exhausting system RAM. Topic details: Downloading Large/Binary Files in Chunks (iter_content)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 HTTPX | 📊 Level: Intermediate
**Topic:** Download massive binary files efficiently by utilizing the httpx .iter_bytes() method to stream and write data to disk in manageable chunk sizes without exhausting system RAM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8" t="str">
        <f t="shared" si="9"/>
        <v>[ROLE] Tech Product Manager assigning a Python Jira Ticket | [TASK] Provide a guided implementation exercise with full solution for learning purposes | [TOPIC] Download massive binary files efficiently by utilizing the httpx .iter_bytes() method to stream and write data to disk in manageable chunk sizes without exhausting system RAM | [LEVEL] Intermediate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 HTTPX | 📊 Level: Intermediate | 🌐 Coding5s.com
**Concept:** Downloading Large/Binary Files in Chunks (iter_content)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Download massive binary files efficiently by utilizing the httpx .iter_bytes() method to stream and write data to disk in manageable chunk sizes without exhausting system RAM. Goal: Downloading Large/Binary Files in Chunks (iter_content)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 HTTPX | 📊 Level: Intermediate
**Topic:** Download massive binary files efficiently by utilizing the httpx .iter_bytes() method to stream and write data to disk in manageable chunk sizes without exhausting system RAM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1"/>
        <v/>
      </c>
      <c r="AA30" s="56" t="str">
        <f t="shared" si="12"/>
        <v/>
      </c>
      <c r="AB30" s="56" t="str">
        <f t="shared" si="13"/>
        <v/>
      </c>
      <c r="AC30" s="56" t="str">
        <f t="shared" si="14"/>
        <v/>
      </c>
      <c r="AD30" s="56" t="str">
        <f t="shared" si="15"/>
        <v/>
      </c>
      <c r="AE30" s="40" t="s">
        <v>157</v>
      </c>
      <c r="AF30" s="40" t="s">
        <v>158</v>
      </c>
      <c r="AG30" s="40" t="s">
        <v>159</v>
      </c>
      <c r="AH30" s="56" t="str">
        <f t="shared" si="16"/>
        <v/>
      </c>
      <c r="AI30" s="54"/>
      <c r="AJ30" s="54"/>
      <c r="AK30" s="54">
        <v>22</v>
      </c>
      <c r="AL30" s="54" t="s">
        <v>123</v>
      </c>
      <c r="AM30" s="54" t="s">
        <v>124</v>
      </c>
    </row>
    <row r="31" spans="1:39">
      <c r="A31" s="96">
        <v>8</v>
      </c>
      <c r="B31" s="45" t="str" cm="1">
        <f t="array" ref="B31">IF(H31="PROJECT", CHAR(10) &amp; "- " &amp; _xlfn.TEXTJOIN(CHAR(10) &amp; "- ", TRUE, _xlfn._xlws.FILTER($I$9:$I$1000, ($C$9:$C$1000=C31) * ($H$9:$H$1000="Topic"))), "")</f>
        <v/>
      </c>
      <c r="C31" s="45">
        <f t="shared" si="0"/>
        <v>4</v>
      </c>
      <c r="D31" s="46">
        <v>5</v>
      </c>
      <c r="E31" s="58" t="s">
        <v>667</v>
      </c>
      <c r="F31" s="48">
        <v>23</v>
      </c>
      <c r="G31" s="49" t="s">
        <v>163</v>
      </c>
      <c r="H31" s="49" t="s">
        <v>51</v>
      </c>
      <c r="I31" s="50" t="s">
        <v>702</v>
      </c>
      <c r="J31" s="51" t="s">
        <v>703</v>
      </c>
      <c r="K31" s="103" t="str">
        <f t="shared" si="1"/>
        <v xml:space="preserve">[ROLE] Friendly tutor specializing in Python | [TOPIC] Upload individual files to remote servers by passing binary file objects created with open() to the files parameter within an httpx.post multipart form request | [LEVEL] Intermediate | [COUNT] 5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#23 | Stage 1 📖 Practice | Python - HTTPX | 📊 Level: Intermediate | 🌐 Coding5s.com
**Concept:** Uploading Single Files (files parameter with open())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Upload individual files to remote servers by passing binary file objects created with open() to the files parameter within an httpx.post multipart form request. Topic details: Uploading Single Files (files parameter with open())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 HTTPX | 📊 Level: Intermediate
**Topic:** Upload individual files to remote servers by passing binary file objects created with open() to the files parameter within an httpx.post multipart form request
---
 | [FOOTER RULE - STRICT] End your response with: '--- ⚡ *Coding5s Mentor System — Eliminating Epistemic Debt*' | </v>
      </c>
      <c r="M31" s="53">
        <v>0</v>
      </c>
      <c r="N31" s="104" t="str">
        <f t="shared" si="3"/>
        <v>[ROLE] Careless Python Developer | [TASK] Generate debugging challenges in Python | | [TOPIC] Upload individual files to remote servers by passing binary file objects created with open() to the files parameter within an httpx.post multipart form request | | [LEVEL] Intermediate |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#23 | Stage 2 🐛 Debug | Python - HTTPX | 📊 Level: Intermediate | 🌐 Coding5s.com
Concept: Uploading Single Files (files parameter with open())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Upload individual files to remote servers by passing binary file objects created with open() to the files parameter within an httpx.post multipart form request. Topic details: Uploading Single Files (files parameter with open())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 HTTPX | 📊 Level: Intermediate
**Topic:** Upload individual files to remote servers by passing binary file objects created with open() to the files parameter within an httpx.post multipart form request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4" t="str">
        <f t="shared" si="5"/>
        <v>[ROLE] Tech Lead | [TASK] Assign incomplete Python script challenges | [TOPIC] Upload individual files to remote servers by passing binary file objects created with open() to the files parameter within an httpx.post multipart form request | [LEVEL] Intermediate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#23 | Stage 3 🧩 Complete | Python - HTTPX | 📊 Level: Intermediate | 🌐 Coding5s.com
**Concept:** Uploading Single Files (files parameter with open())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Upload individual files to remote servers by passing binary file objects created with open() to the files parameter within an httpx.post multipart form request.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Upload individual files to remote servers by passing binary file objects created with open() to the files parameter within an httpx.post multipart form request. Topic details: Uploading Single Files (files parameter with open())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 HTTPX | 📊 Level: Intermediate
**Topic:** Upload individual files to remote servers by passing binary file objects created with open() to the files parameter within an httpx.post multipart form request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4" t="str">
        <f t="shared" si="7"/>
        <v>[ROLE] Tech Lead | [TASK] Provide intentionally messy but functional code for learning debugging and improvement | [TOPIC] Upload individual files to remote servers by passing binary file objects created with open() to the files parameter within an httpx.post multipart form request | [LEVEL] Intermediate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 HTTPX | 📊 Level: Intermediate | 🌐 Coding5s.com
**Concept:** Uploading Single Files (files parameter with open())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Upload individual files to remote servers by passing binary file objects created with open() to the files parameter within an httpx.post multipart form request. Topic details: Uploading Single Files (files parameter with open())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 HTTPX | 📊 Level: Intermediate
**Topic:** Upload individual files to remote servers by passing binary file objects created with open() to the files parameter within an httpx.post multipart form request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8" t="str">
        <f t="shared" si="9"/>
        <v>[ROLE] Tech Product Manager assigning a Python Jira Ticket | [TASK] Provide a guided implementation exercise with full solution for learning purposes | [TOPIC] Upload individual files to remote servers by passing binary file objects created with open() to the files parameter within an httpx.post multipart form request | [LEVEL] Intermediate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 HTTPX | 📊 Level: Intermediate | 🌐 Coding5s.com
**Concept:** Uploading Single Files (files parameter with open())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Upload individual files to remote servers by passing binary file objects created with open() to the files parameter within an httpx.post multipart form request. Goal: Uploading Single Files (files parameter with open())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 HTTPX | 📊 Level: Intermediate
**Topic:** Upload individual files to remote servers by passing binary file objects created with open() to the files parameter within an httpx.post multipart form request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1"/>
        <v/>
      </c>
      <c r="AA31" s="56" t="str">
        <f t="shared" si="12"/>
        <v/>
      </c>
      <c r="AB31" s="56" t="str">
        <f t="shared" si="13"/>
        <v/>
      </c>
      <c r="AC31" s="56" t="str">
        <f t="shared" si="14"/>
        <v/>
      </c>
      <c r="AD31" s="56" t="str">
        <f t="shared" si="15"/>
        <v/>
      </c>
      <c r="AE31" s="40" t="s">
        <v>160</v>
      </c>
      <c r="AF31" s="40" t="s">
        <v>161</v>
      </c>
      <c r="AG31" s="40" t="s">
        <v>162</v>
      </c>
      <c r="AH31" s="56" t="str">
        <f t="shared" si="16"/>
        <v/>
      </c>
      <c r="AI31" s="54"/>
      <c r="AJ31" s="54"/>
      <c r="AK31" s="54">
        <v>23</v>
      </c>
      <c r="AL31" s="54" t="s">
        <v>128</v>
      </c>
      <c r="AM31" s="54" t="s">
        <v>129</v>
      </c>
    </row>
    <row r="32" spans="1:39">
      <c r="A32" s="96">
        <v>10</v>
      </c>
      <c r="B32" s="45" t="str" cm="1">
        <f t="array" ref="B32">IF(H32="PROJECT", CHAR(10) &amp; "- " &amp; _xlfn.TEXTJOIN(CHAR(10) &amp; "- ", TRUE, _xlfn._xlws.FILTER($I$9:$I$1000, ($C$9:$C$1000=C32) * ($H$9:$H$1000="Topic"))), "")</f>
        <v/>
      </c>
      <c r="C32" s="45">
        <f t="shared" si="0"/>
        <v>4</v>
      </c>
      <c r="D32" s="57">
        <v>5</v>
      </c>
      <c r="E32" s="58" t="s">
        <v>667</v>
      </c>
      <c r="F32" s="59">
        <v>24</v>
      </c>
      <c r="G32" s="60" t="s">
        <v>163</v>
      </c>
      <c r="H32" s="60" t="s">
        <v>51</v>
      </c>
      <c r="I32" s="61" t="s">
        <v>704</v>
      </c>
      <c r="J32" s="62" t="s">
        <v>705</v>
      </c>
      <c r="K32" s="103" t="str">
        <f t="shared" si="1"/>
        <v xml:space="preserve">[ROLE] Friendly tutor specializing in Python | [TOPIC] Construct complex multipart/form-data requests in httpx by transmitting multiple binary file objects alongside supplementary string-based form data dictionaries simultaneously in a single POST operation | [LEVEL] Intermediate | [COUNT] 5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#24 | Stage 1 📖 Practice | Python - HTTPX | 📊 Level: Intermediate | 🌐 Coding5s.com
**Concept:** Uploading Multiple Files and Form Data Simultaneously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2"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complex multipart/form-data requests in httpx by transmitting multiple binary file objects alongside supplementary string-based form data dictionaries simultaneously in a single POST operation. Topic details: Uploading Multiple Files and Form Data Simultaneously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Python - HTTPX | 📊 Level: Intermediate
**Topic:** Construct complex multipart/form-data requests in httpx by transmitting multiple binary file objects alongside supplementary string-based form data dictionaries simultaneously in a single POST operation
---
 | [FOOTER RULE - STRICT] End your response with: '--- ⚡ *Coding5s Mentor System — Eliminating Epistemic Debt*' | </v>
      </c>
      <c r="M32" s="52">
        <v>0</v>
      </c>
      <c r="N32" s="104" t="str">
        <f t="shared" si="3"/>
        <v>[ROLE] Careless Python Developer | [TASK] Generate debugging challenges in Python | | [TOPIC] Construct complex multipart/form-data requests in httpx by transmitting multiple binary file objects alongside supplementary string-based form data dictionaries simultaneously in a single POST operation | | [LEVEL] Intermediate |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#24 | Stage 2 🐛 Debug | Python - HTTPX | 📊 Level: Intermediate | 🌐 Coding5s.com
Concept: Uploading Multiple Files and Form Data Simultaneously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complex multipart/form-data requests in httpx by transmitting multiple binary file objects alongside supplementary string-based form data dictionaries simultaneously in a single POST operation. Topic details: Uploading Multiple Files and Form Data Simultaneously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Python - HTTPX | 📊 Level: Intermediate
**Topic:** Construct complex multipart/form-data requests in httpx by transmitting multiple binary file objects alongside supplementary string-based form data dictionaries simultaneously in a single POST operation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4" t="str">
        <f t="shared" si="5"/>
        <v>[ROLE] Tech Lead | [TASK] Assign incomplete Python script challenges | [TOPIC] Construct complex multipart/form-data requests in httpx by transmitting multiple binary file objects alongside supplementary string-based form data dictionaries simultaneously in a single POST operation | [LEVEL] Intermediate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#24 | Stage 3 🧩 Complete | Python - HTTPX | 📊 Level: Intermediate | 🌐 Coding5s.com
**Concept:** Uploading Multiple Files and Form Data Simultaneously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complex multipart/form-data requests in httpx by transmitting multiple binary file objects alongside supplementary string-based form data dictionaries simultaneously in a single POST operation.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complex multipart/form-data requests in httpx by transmitting multiple binary file objects alongside supplementary string-based form data dictionaries simultaneously in a single POST operation. Topic details: Uploading Multiple Files and Form Data Simultaneously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Python - HTTPX | 📊 Level: Intermediate
**Topic:** Construct complex multipart/form-data requests in httpx by transmitting multiple binary file objects alongside supplementary string-based form data dictionaries simultaneously in a single POST operation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4" t="str">
        <f t="shared" si="7"/>
        <v>[ROLE] Tech Lead | [TASK] Provide intentionally messy but functional code for learning debugging and improvement | [TOPIC] Construct complex multipart/form-data requests in httpx by transmitting multiple binary file objects alongside supplementary string-based form data dictionaries simultaneously in a single POST operation | [LEVEL] Intermediate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Python - HTTPX | 📊 Level: Intermediate | 🌐 Coding5s.com
**Concept:** Uploading Multiple Files and Form Data Simultaneously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complex multipart/form-data requests in httpx by transmitting multiple binary file objects alongside supplementary string-based form data dictionaries simultaneously in a single POST operation. Topic details: Uploading Multiple Files and Form Data Simultaneously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Python - HTTPX | 📊 Level: Intermediate
**Topic:** Construct complex multipart/form-data requests in httpx by transmitting multiple binary file objects alongside supplementary string-based form data dictionaries simultaneously in a single POST operation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8" t="str">
        <f t="shared" si="9"/>
        <v>[ROLE] Tech Product Manager assigning a Python Jira Ticket | [TASK] Provide a guided implementation exercise with full solution for learning purposes | [TOPIC] Construct complex multipart/form-data requests in httpx by transmitting multiple binary file objects alongside supplementary string-based form data dictionaries simultaneously in a single POST operation | [LEVEL] Intermediate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Python - HTTPX | 📊 Level: Intermediate | 🌐 Coding5s.com
**Concept:** Uploading Multiple Files and Form Data Simultaneously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complex multipart/form-data requests in httpx by transmitting multiple binary file objects alongside supplementary string-based form data dictionaries simultaneously in a single POST operation. Goal: Uploading Multiple Files and Form Data Simultaneously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Python - HTTPX | 📊 Level: Intermediate
**Topic:** Construct complex multipart/form-data requests in httpx by transmitting multiple binary file objects alongside supplementary string-based form data dictionaries simultaneously in a single POST operation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1"/>
        <v/>
      </c>
      <c r="AA32" s="56" t="str">
        <f t="shared" si="12"/>
        <v/>
      </c>
      <c r="AB32" s="56" t="str">
        <f t="shared" si="13"/>
        <v/>
      </c>
      <c r="AC32" s="56" t="str">
        <f t="shared" si="14"/>
        <v/>
      </c>
      <c r="AD32" s="56" t="str">
        <f t="shared" si="15"/>
        <v/>
      </c>
      <c r="AE32" s="40"/>
      <c r="AF32" s="40"/>
      <c r="AG32" s="40"/>
      <c r="AH32" s="56" t="str">
        <f t="shared" si="16"/>
        <v/>
      </c>
      <c r="AI32" s="54"/>
      <c r="AJ32" s="54"/>
      <c r="AK32" s="54">
        <v>24</v>
      </c>
      <c r="AL32" s="54" t="s">
        <v>133</v>
      </c>
      <c r="AM32" s="54" t="s">
        <v>134</v>
      </c>
    </row>
    <row r="33" spans="1:39">
      <c r="A33" s="96" t="s">
        <v>80</v>
      </c>
      <c r="B33" s="45" t="str" cm="1">
        <f t="array" ref="B33">IF(H33="PROJECT", CHAR(10) &amp; "- " &amp; _xlfn.TEXTJOIN(CHAR(10) &amp; "- ", TRUE, _xlfn._xlws.FILTER($I$9:$I$1000, ($C$9:$C$1000=C33) * ($H$9:$H$1000="Topic"))), "")</f>
        <v xml:space="preserve">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v>
      </c>
      <c r="C33" s="45">
        <f t="shared" si="0"/>
        <v>4</v>
      </c>
      <c r="D33" s="46">
        <v>0</v>
      </c>
      <c r="E33" s="58" t="s">
        <v>667</v>
      </c>
      <c r="F33" s="48">
        <v>25</v>
      </c>
      <c r="G33" s="49" t="s">
        <v>163</v>
      </c>
      <c r="H33" s="49" t="s">
        <v>81</v>
      </c>
      <c r="I33" s="50" t="s">
        <v>706</v>
      </c>
      <c r="J33" s="51" t="s">
        <v>707</v>
      </c>
      <c r="K33" s="103" t="str">
        <f t="shared" si="1"/>
        <v>[TASK] Teach through a practical Python - HTTPX project following the micro-learning methodology, acting as a supportive tutor, creating a project about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 HTTPX | 📊 Level: Intermediate | 🌐 Coding5s.com
**Project:** Project 4: Robust File Transfer Utility (Chunked downloads, uploads)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3"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robust bidirectional file transfer utility that takes local file paths and remote destination URLs as input, processes chunked byte streams for both network downloads and uploads utilizing httpx, and outputs real-time visual progress indicators to the user. Topics applied in this project: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Project objective: Project 4: Robust File Transfer Utility (Chunked downloads, uploads)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#25 | Practice | Python - HTTPX | 📊 Level: Intermediate
**Project:** Build a robust bidirectional file transfer utility that takes local file paths and remote destination URLs as input, processes chunked byte streams for both network downloads and uploads utilizing httpx, and outputs real-time visual progress indicators to the user
---
 | [FOOTER RULE - STRICT] End your response with: '--- ⚡ *Coding5s Mentor System — Eliminating Epistemic Debt*' | </v>
      </c>
      <c r="M33" s="53">
        <v>0</v>
      </c>
      <c r="N33" s="104" t="str">
        <f t="shared" si="3"/>
        <v>[ROLE] Careless Python Developer | [TASK] Generate debugging project in Python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[OUTPUT] Only header, dataset summary or statement (if any), email intro, objective, expected output, broken code, and footer | [HEADER RULE - STRICT] You MUST start your entire response EXACTLY with this markdown block (do not print anything before it):
### 🚀 Project #25 | Stage 2 | Python - HTTPX | 📊 Level: Intermediate | 🌐 Coding5s.com
Project: Project 4: Robust File Transfer Utility (Chunked downloads, uploads)
---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robust bidirectional file transfer utility that takes local file paths and remote destination URLs as input, processes chunked byte streams for both network downloads and uploads utilizing httpx, and outputs real-time visual progress indicators to the user. Topics involved: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Project objective: Project 4: Robust File Transfer Utility (Chunked downloads, uploads)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#25 | Debug | Python - HTTPX | 📊 Level: Intermediate
**Project:** Build a robust bidirectional file transfer utility that takes local file paths and remote destination URLs as input, processes chunked byte streams for both network downloads and uploads utilizing httpx, and outputs real-time visual progress indicators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4" t="str">
        <f t="shared" si="5"/>
        <v>[ROLE] Tech Lead | [TASK] Assign incomplete project script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 HTTPX | 📊 Level: Intermediate | 🌐 Coding5s.com
**Project:** Project 4: Robust File Transfer Utility (Chunked downloads, uploads)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robust bidirectional file transfer utility that takes local file paths and remote destination URLs as input, processes chunked byte streams for both network downloads and uploads utilizing httpx, and outputs real-time visual progress indicators to the user. Topics involved: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Project objective: Project 4: Robust File Transfer Utility (Chunked downloads, uploads)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#25 | Complete | Python - HTTPX | 📊 Level: Intermediate
**Project:** Build a robust bidirectional file transfer utility that takes local file paths and remote destination URLs as input, processes chunked byte streams for both network downloads and uploads utilizing httpx, and outputs real-time visual progress indicators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4" t="str">
        <f t="shared" si="7"/>
        <v>[ROLE] Tech Lead | [TASK] Provide a messy but functional project for refactoring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[PERSONA RULE] Act as a Tech Lead. A junior wrote this working but messy code. Tone: professional but exhausted | [HEADER RULE - STRICT] You MUST start your entire response EXACTLY with this markdown block (do not print anything before it):
### 🚀 Project #25 | Stage 4 | Python - HTTPX | 📊 Level: Intermediate | 🌐 Coding5s.com
**Project:** Project 4: Robust File Transfer Utility (Chunked downloads, uploads)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robust bidirectional file transfer utility that takes local file paths and remote destination URLs as input, processes chunked byte streams for both network downloads and uploads utilizing httpx, and outputs real-time visual progress indicators to the user. Topics involved: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Project objective: Project 4: Robust File Transfer Utility (Chunked downloads, uploads)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#25 | Refactor | Python - HTTPX | 📊 Level: Intermediate
**Project:** Build a robust bidirectional file transfer utility that takes local file paths and remote destination URLs as input, processes chunked byte streams for both network downloads and uploads utilizing httpx, and outputs real-time visual progress indicators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8" t="str">
        <f t="shared" si="9"/>
        <v>[ROLE] Tech Product Manager assigning a Python Jira Ticket | [TASK] Provide a guided project implementation with full solution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[PERSONA RULE] Act as a professional Tech Product Manager defining a project ticket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#25 | Stage 5 | Python - HTTPX | 📊 Level: Intermediate | 🌐 Coding5s.com
**Project:** Project 4: Robust File Transfer Utility (Chunked downloads, uploads)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robust bidirectional file transfer utility that takes local file paths and remote destination URLs as input, processes chunked byte streams for both network downloads and uploads utilizing httpx, and outputs real-time visual progress indicators to the user. Topics integrated: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Business Goal: Project 4: Robust File Transfer Utility (Chunked downloads, uploads)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#25 | Extend | Python - HTTPX | 📊 Level: Intermediate
**Project:** Build a robust bidirectional file transfer utility that takes local file paths and remote destination URLs as input, processes chunked byte streams for both network downloads and uploads utilizing httpx, and outputs real-time visual progress indicators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1"/>
        <v>[TASK] Teach through a practical Python - HTTPX project following the micro-learning methodology, acting as a supportive tutor, creating a project about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 HTTPX | 📊 Level: Intermediate | 🌐 Coding5s.com
**Project:** Project 4: Robust File Transfer Utility (Chunked downloads, uploads)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3" s="56" t="str">
        <f t="shared" si="12"/>
        <v>[ROLE] Careless Python Developer | [TASK] Generate debugging project in Python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[OUTPUT] Only header, dataset summary or statement (if any), email intro, objective, expected output, broken code, and footer | [HEADER RULE - STRICT] You MUST start your entire response EXACTLY with this markdown block (do not print anything before it):
### 🚀 Project #25 | Stage 2 | Python - HTTPX | 📊 Level: Intermediate | 🌐 Coding5s.com
Project: Project 4: Robust File Transfer Utility (Chunked downloads, uploads)
---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3" s="56" t="str">
        <f t="shared" si="13"/>
        <v>[ROLE] Tech Lead | [TASK] Assign incomplete project script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 HTTPX | 📊 Level: Intermediate | 🌐 Coding5s.com
**Project:** Project 4: Robust File Transfer Utility (Chunked downloads, uploads)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3" s="56" t="str">
        <f t="shared" si="14"/>
        <v>[ROLE] Tech Lead | [TASK] Provide a messy but functional project for refactoring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[PERSONA RULE] Act as a Tech Lead. A junior wrote this working but messy code. Tone: professional but exhausted | [HEADER RULE - STRICT] You MUST start your entire response EXACTLY with this markdown block (do not print anything before it):
### 🚀 Project #25 | Stage 4 | Python - HTTPX | 📊 Level: Intermediate | 🌐 Coding5s.com
**Project:** Project 4: Robust File Transfer Utility (Chunked downloads, uploads)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3" s="56" t="str">
        <f t="shared" si="15"/>
        <v>[ROLE] Tech Product Manager assigning a Python Jira Ticket | [TASK] Provide a guided project implementation with full solution | [PROJECT] Build a robust bidirectional file transfer utility that takes local file paths and remote destination URLs as input, processes chunked byte streams for both network downloads and uploads utilizing httpx, and outputs real-time visual progress indicators to the user | [TOPICS USED] 
- Control HTTP redirection behavior by toggling the follow_redirects parameter in httpx methods and logically tracing the routing sequence through the response.history list attribute
- Download massive binary files efficiently by utilizing the httpx .iter_bytes() method to stream and write data to disk in manageable chunk sizes without exhausting system RAM
- Upload individual files to remote servers by passing binary file objects created with open() to the files parameter within an httpx.post multipart form request
- Construct complex multipart/form-data requests in httpx by transmitting multiple binary file objects alongside supplementary string-based form data dictionaries simultaneously in a single POST operation | [LEVEL] Intermediate | [PERSONA RULE] Act as a professional Tech Product Manager defining a project ticket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#25 | Stage 5 | Python - HTTPX | 📊 Level: Intermediate | 🌐 Coding5s.com
**Project:** Project 4: Robust File Transfer Utility (Chunked downloads, uploads)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3" s="40"/>
      <c r="AF33" s="40"/>
      <c r="AG33" s="40"/>
      <c r="AH33" s="56" t="str">
        <f t="shared" si="16"/>
        <v/>
      </c>
      <c r="AI33" s="54"/>
      <c r="AJ33" s="54"/>
      <c r="AK33" s="54">
        <v>25</v>
      </c>
      <c r="AL33" s="54" t="s">
        <v>138</v>
      </c>
      <c r="AM33" s="54" t="s">
        <v>139</v>
      </c>
    </row>
    <row r="34" spans="1:39">
      <c r="A34" s="96">
        <v>8</v>
      </c>
      <c r="B34" s="45" t="str" cm="1">
        <f t="array" ref="B34">IF(H34="PROJECT", CHAR(10) &amp; "- " &amp; _xlfn.TEXTJOIN(CHAR(10) &amp; "- ", TRUE, _xlfn._xlws.FILTER($I$9:$I$1000, ($C$9:$C$1000=C34) * ($H$9:$H$1000="Topic"))), "")</f>
        <v/>
      </c>
      <c r="C34" s="45">
        <f t="shared" si="0"/>
        <v>5</v>
      </c>
      <c r="D34" s="57">
        <v>5</v>
      </c>
      <c r="E34" s="58" t="s">
        <v>49</v>
      </c>
      <c r="F34" s="59">
        <v>26</v>
      </c>
      <c r="G34" s="60" t="s">
        <v>164</v>
      </c>
      <c r="H34" s="60" t="s">
        <v>51</v>
      </c>
      <c r="I34" s="61" t="s">
        <v>708</v>
      </c>
      <c r="J34" s="62" t="s">
        <v>709</v>
      </c>
      <c r="K34" s="103" t="str">
        <f t="shared" si="1"/>
        <v xml:space="preserve">[ROLE] Friendly tutor specializing in Python | [TOPIC] Optimize HTTP performance and implement underlying connection pooling by initializing an httpx.Client() instance to persist TCP connections across multiple sequential network requests | [LEVEL] Advanced | [COUNT] 5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#26 | Stage 1 📖 Practice | Python - HTTPX | 📊 Level: Advanced | 🌐 Coding5s.com
**Concept:** Initializing Connection Pooling and State (requests.Session())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HTTP performance and implement underlying connection pooling by initializing an httpx.Client() instance to persist TCP connections across multiple sequential network requests. Topic details: Initializing Connection Pooling and State (requests.Session())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 HTTPX | 📊 Level: Advanced
**Topic:** Optimize HTTP performance and implement underlying connection pooling by initializing an httpx.Client() instance to persist TCP connections across multiple sequential network requests
---
 | [FOOTER RULE - STRICT] End your response with: '--- ⚡ *Coding5s Mentor System — Eliminating Epistemic Debt*' | </v>
      </c>
      <c r="M34" s="52">
        <v>0</v>
      </c>
      <c r="N34" s="104" t="str">
        <f t="shared" si="3"/>
        <v>[ROLE] Careless Python Developer | [TASK] Generate debugging challenges in Python | | [TOPIC] Optimize HTTP performance and implement underlying connection pooling by initializing an httpx.Client() instance to persist TCP connections across multiple sequential network requests | | [LEVEL] Advanced |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#26 | Stage 2 🐛 Debug | Python - HTTPX | 📊 Level: Advanced | 🌐 Coding5s.com
Concept: Initializing Connection Pooling and State (requests.Session())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HTTP performance and implement underlying connection pooling by initializing an httpx.Client() instance to persist TCP connections across multiple sequential network requests. Topic details: Initializing Connection Pooling and State (requests.Session())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 HTTPX | 📊 Level: Advanced
**Topic:** Optimize HTTP performance and implement underlying connection pooling by initializing an httpx.Client() instance to persist TCP connections across multiple sequential network requests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4" t="str">
        <f t="shared" si="5"/>
        <v>[ROLE] Tech Lead | [TASK] Assign incomplete Python script challenges | [TOPIC] Optimize HTTP performance and implement underlying connection pooling by initializing an httpx.Client() instance to persist TCP connections across multiple sequential network requests | [LEVEL] Advanced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#26 | Stage 3 🧩 Complete | Python - HTTPX | 📊 Level: Advanced | 🌐 Coding5s.com
**Concept:** Initializing Connection Pooling and State (requests.Session())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HTTP performance and implement underlying connection pooling by initializing an httpx.Client() instance to persist TCP connections across multiple sequential network requests.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HTTP performance and implement underlying connection pooling by initializing an httpx.Client() instance to persist TCP connections across multiple sequential network requests. Topic details: Initializing Connection Pooling and State (requests.Session())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 HTTPX | 📊 Level: Advanced
**Topic:** Optimize HTTP performance and implement underlying connection pooling by initializing an httpx.Client() instance to persist TCP connections across multiple sequential network requests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4" t="str">
        <f t="shared" si="7"/>
        <v>[ROLE] Tech Lead | [TASK] Provide intentionally messy but functional code for learning debugging and improvement | [TOPIC] Optimize HTTP performance and implement underlying connection pooling by initializing an httpx.Client() instance to persist TCP connections across multiple sequential network requests | [LEVEL] Advanced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 HTTPX | 📊 Level: Advanced | 🌐 Coding5s.com
**Concept:** Initializing Connection Pooling and State (requests.Session())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HTTP performance and implement underlying connection pooling by initializing an httpx.Client() instance to persist TCP connections across multiple sequential network requests. Topic details: Initializing Connection Pooling and State (requests.Session())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 HTTPX | 📊 Level: Advanced
**Topic:** Optimize HTTP performance and implement underlying connection pooling by initializing an httpx.Client() instance to persist TCP connections across multiple sequential network requests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8" t="str">
        <f t="shared" si="9"/>
        <v>[ROLE] Tech Product Manager assigning a Python Jira Ticket | [TASK] Provide a guided implementation exercise with full solution for learning purposes | [TOPIC] Optimize HTTP performance and implement underlying connection pooling by initializing an httpx.Client() instance to persist TCP connections across multiple sequential network requests | [LEVEL] Advanced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 HTTPX | 📊 Level: Advanced | 🌐 Coding5s.com
**Concept:** Initializing Connection Pooling and State (requests.Session())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HTTP performance and implement underlying connection pooling by initializing an httpx.Client() instance to persist TCP connections across multiple sequential network requests. Goal: Initializing Connection Pooling and State (requests.Session())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 HTTPX | 📊 Level: Advanced
**Topic:** Optimize HTTP performance and implement underlying connection pooling by initializing an httpx.Client() instance to persist TCP connections across multiple sequential network requests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1"/>
        <v/>
      </c>
      <c r="AA34" s="56" t="str">
        <f t="shared" si="12"/>
        <v/>
      </c>
      <c r="AB34" s="56" t="str">
        <f t="shared" si="13"/>
        <v/>
      </c>
      <c r="AC34" s="56" t="str">
        <f t="shared" si="14"/>
        <v/>
      </c>
      <c r="AD34" s="56" t="str">
        <f t="shared" si="15"/>
        <v/>
      </c>
      <c r="AE34" s="40"/>
      <c r="AF34" s="40"/>
      <c r="AG34" s="40"/>
      <c r="AH34" s="56" t="str">
        <f t="shared" si="16"/>
        <v/>
      </c>
      <c r="AI34" s="54"/>
      <c r="AJ34" s="54"/>
      <c r="AK34" s="54">
        <v>26</v>
      </c>
      <c r="AL34" s="54" t="s">
        <v>143</v>
      </c>
      <c r="AM34" s="54" t="s">
        <v>144</v>
      </c>
    </row>
    <row r="35" spans="1:39">
      <c r="A35" s="96">
        <v>10</v>
      </c>
      <c r="B35" s="45" t="str" cm="1">
        <f t="array" ref="B35">IF(H35="PROJECT", CHAR(10) &amp; "- " &amp; _xlfn.TEXTJOIN(CHAR(10) &amp; "- ", TRUE, _xlfn._xlws.FILTER($I$9:$I$1000, ($C$9:$C$1000=C35) * ($H$9:$H$1000="Topic"))), "")</f>
        <v/>
      </c>
      <c r="C35" s="45">
        <f t="shared" si="0"/>
        <v>5</v>
      </c>
      <c r="D35" s="46">
        <v>5</v>
      </c>
      <c r="E35" s="58" t="s">
        <v>49</v>
      </c>
      <c r="F35" s="48">
        <v>27</v>
      </c>
      <c r="G35" s="49" t="s">
        <v>164</v>
      </c>
      <c r="H35" s="49" t="s">
        <v>51</v>
      </c>
      <c r="I35" s="50" t="s">
        <v>710</v>
      </c>
      <c r="J35" s="51" t="s">
        <v>711</v>
      </c>
      <c r="K35" s="103" t="str">
        <f t="shared" si="1"/>
        <v xml:space="preserve">[ROLE] Friendly tutor specializing in Python | [TOPIC] Configure client-level network defaults by assigning base URLs, default authentication schemas, and universal headers to an httpx.Client() object to standardize parameters across all outbound application requests | [LEVEL] Advanced | [COUNT] 5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#27 | Stage 1 📖 Practice | Python - HTTPX | 📊 Level: Advanced | 🌐 Coding5s.com
**Concept:** Configuring Session-Level Defaults (Default headers, default auth)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client-level network defaults by assigning base URLs, default authentication schemas, and universal headers to an httpx.Client() object to standardize parameters across all outbound application requests. Topic details: Configuring Session-Level Defaults (Default headers, default auth)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 HTTPX | 📊 Level: Advanced
**Topic:** Configure client-level network defaults by assigning base URLs, default authentication schemas, and universal headers to an httpx.Client() object to standardize parameters across all outbound application requests
---
 | [FOOTER RULE - STRICT] End your response with: '--- ⚡ *Coding5s Mentor System — Eliminating Epistemic Debt*' | </v>
      </c>
      <c r="M35" s="53">
        <v>0</v>
      </c>
      <c r="N35" s="104" t="str">
        <f t="shared" si="3"/>
        <v>[ROLE] Careless Python Developer | [TASK] Generate debugging challenges in Python | | [TOPIC] Configure client-level network defaults by assigning base URLs, default authentication schemas, and universal headers to an httpx.Client() object to standardize parameters across all outbound application requests | | [LEVEL] Advanced |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#27 | Stage 2 🐛 Debug | Python - HTTPX | 📊 Level: Advanced | 🌐 Coding5s.com
Concept: Configuring Session-Level Defaults (Default headers, default auth)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client-level network defaults by assigning base URLs, default authentication schemas, and universal headers to an httpx.Client() object to standardize parameters across all outbound application requests. Topic details: Configuring Session-Level Defaults (Default headers, default auth)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 HTTPX | 📊 Level: Advanced
**Topic:** Configure client-level network defaults by assigning base URLs, default authentication schemas, and universal headers to an httpx.Client() object to standardize parameters across all outbound application requests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4" t="str">
        <f t="shared" si="5"/>
        <v>[ROLE] Tech Lead | [TASK] Assign incomplete Python script challenges | [TOPIC] Configure client-level network defaults by assigning base URLs, default authentication schemas, and universal headers to an httpx.Client() object to standardize parameters across all outbound application requests | [LEVEL] Advanced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#27 | Stage 3 🧩 Complete | Python - HTTPX | 📊 Level: Advanced | 🌐 Coding5s.com
**Concept:** Configuring Session-Level Defaults (Default headers, default auth)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client-level network defaults by assigning base URLs, default authentication schemas, and universal headers to an httpx.Client() object to standardize parameters across all outbound application requests.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client-level network defaults by assigning base URLs, default authentication schemas, and universal headers to an httpx.Client() object to standardize parameters across all outbound application requests. Topic details: Configuring Session-Level Defaults (Default headers, default auth)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 HTTPX | 📊 Level: Advanced
**Topic:** Configure client-level network defaults by assigning base URLs, default authentication schemas, and universal headers to an httpx.Client() object to standardize parameters across all outbound application requests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4" t="str">
        <f t="shared" si="7"/>
        <v>[ROLE] Tech Lead | [TASK] Provide intentionally messy but functional code for learning debugging and improvement | [TOPIC] Configure client-level network defaults by assigning base URLs, default authentication schemas, and universal headers to an httpx.Client() object to standardize parameters across all outbound application requests | [LEVEL] Advanced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 HTTPX | 📊 Level: Advanced | 🌐 Coding5s.com
**Concept:** Configuring Session-Level Defaults (Default headers, default auth)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Configure client-level network defaults by assigning base URLs, default authentication schemas, and universal headers to an httpx.Client() object to standardize parameters across all outbound application requests. Topic details: Configuring Session-Level Defaults (Default headers, default auth)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 HTTPX | 📊 Level: Advanced
**Topic:** Configure client-level network defaults by assigning base URLs, default authentication schemas, and universal headers to an httpx.Client() object to standardize parameters across all outbound application requests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8" t="str">
        <f t="shared" si="9"/>
        <v>[ROLE] Tech Product Manager assigning a Python Jira Ticket | [TASK] Provide a guided implementation exercise with full solution for learning purposes | [TOPIC] Configure client-level network defaults by assigning base URLs, default authentication schemas, and universal headers to an httpx.Client() object to standardize parameters across all outbound application requests | [LEVEL] Advanced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 HTTPX | 📊 Level: Advanced | 🌐 Coding5s.com
**Concept:** Configuring Session-Level Defaults (Default headers, default auth)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client-level network defaults by assigning base URLs, default authentication schemas, and universal headers to an httpx.Client() object to standardize parameters across all outbound application requests. Goal: Configuring Session-Level Defaults (Default headers, default auth)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 HTTPX | 📊 Level: Advanced
**Topic:** Configure client-level network defaults by assigning base URLs, default authentication schemas, and universal headers to an httpx.Client() object to standardize parameters across all outbound application requests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1"/>
        <v/>
      </c>
      <c r="AA35" s="56" t="str">
        <f t="shared" si="12"/>
        <v/>
      </c>
      <c r="AB35" s="56" t="str">
        <f t="shared" si="13"/>
        <v/>
      </c>
      <c r="AC35" s="56" t="str">
        <f t="shared" si="14"/>
        <v/>
      </c>
      <c r="AD35" s="56" t="str">
        <f t="shared" si="15"/>
        <v/>
      </c>
      <c r="AE35" s="40"/>
      <c r="AF35" s="40"/>
      <c r="AG35" s="40"/>
      <c r="AH35" s="56" t="str">
        <f t="shared" si="16"/>
        <v/>
      </c>
      <c r="AI35" s="54"/>
      <c r="AJ35" s="54"/>
      <c r="AK35" s="54">
        <v>27</v>
      </c>
      <c r="AL35" s="54" t="s">
        <v>148</v>
      </c>
      <c r="AM35" s="54" t="s">
        <v>149</v>
      </c>
    </row>
    <row r="36" spans="1:39">
      <c r="A36" s="96">
        <v>8</v>
      </c>
      <c r="B36" s="45" t="str" cm="1">
        <f t="array" ref="B36">IF(H36="PROJECT", CHAR(10) &amp; "- " &amp; _xlfn.TEXTJOIN(CHAR(10) &amp; "- ", TRUE, _xlfn._xlws.FILTER($I$9:$I$1000, ($C$9:$C$1000=C36) * ($H$9:$H$1000="Topic"))), "")</f>
        <v/>
      </c>
      <c r="C36" s="45">
        <f t="shared" si="0"/>
        <v>5</v>
      </c>
      <c r="D36" s="57">
        <v>5</v>
      </c>
      <c r="E36" s="58" t="s">
        <v>49</v>
      </c>
      <c r="F36" s="59">
        <v>28</v>
      </c>
      <c r="G36" s="60" t="s">
        <v>164</v>
      </c>
      <c r="H36" s="60" t="s">
        <v>51</v>
      </c>
      <c r="I36" s="61" t="s">
        <v>712</v>
      </c>
      <c r="J36" s="62" t="s">
        <v>713</v>
      </c>
      <c r="K36" s="103" t="str">
        <f t="shared" si="1"/>
        <v xml:space="preserve">[ROLE] Friendly tutor specializing in Python | [TOPIC] Manage persistent HTTP states by manipulating the cookies parameter, extracting response.cookies, and utilizing the httpx.Cookies class to dynamically handle and inject server-issued session identifiers | [LEVEL] Advanced | [COUNT] 5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#28 | Stage 1 📖 Practice | Python - HTTPX | 📊 Level: Advanced | 🌐 Coding5s.com
**Concept:** Managing Cookies (cookies param, response.cookies, RequestsCookieJar)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persistent HTTP states by manipulating the cookies parameter, extracting response.cookies, and utilizing the httpx.Cookies class to dynamically handle and inject server-issued session identifiers. Topic details: Managing Cookies (cookies param, response.cookies, RequestsCookieJar)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 HTTPX | 📊 Level: Advanced
**Topic:** Manage persistent HTTP states by manipulating the cookies parameter, extracting response.cookies, and utilizing the httpx.Cookies class to dynamically handle and inject server-issued session identifiers
---
 | [FOOTER RULE - STRICT] End your response with: '--- ⚡ *Coding5s Mentor System — Eliminating Epistemic Debt*' | </v>
      </c>
      <c r="M36" s="52">
        <v>0</v>
      </c>
      <c r="N36" s="104" t="str">
        <f t="shared" si="3"/>
        <v>[ROLE] Careless Python Developer | [TASK] Generate debugging challenges in Python | | [TOPIC] Manage persistent HTTP states by manipulating the cookies parameter, extracting response.cookies, and utilizing the httpx.Cookies class to dynamically handle and inject server-issued session identifiers | | [LEVEL] Advanced |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#28 | Stage 2 🐛 Debug | Python - HTTPX | 📊 Level: Advanced | 🌐 Coding5s.com
Concept: Managing Cookies (cookies param, response.cookies, RequestsCookieJar)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persistent HTTP states by manipulating the cookies parameter, extracting response.cookies, and utilizing the httpx.Cookies class to dynamically handle and inject server-issued session identifiers. Topic details: Managing Cookies (cookies param, response.cookies, RequestsCookieJar)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 HTTPX | 📊 Level: Advanced
**Topic:** Manage persistent HTTP states by manipulating the cookies parameter, extracting response.cookies, and utilizing the httpx.Cookies class to dynamically handle and inject server-issued session identifiers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4" t="str">
        <f t="shared" si="5"/>
        <v>[ROLE] Tech Lead | [TASK] Assign incomplete Python script challenges | [TOPIC] Manage persistent HTTP states by manipulating the cookies parameter, extracting response.cookies, and utilizing the httpx.Cookies class to dynamically handle and inject server-issued session identifiers | [LEVEL] Advanced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#28 | Stage 3 🧩 Complete | Python - HTTPX | 📊 Level: Advanced | 🌐 Coding5s.com
**Concept:** Managing Cookies (cookies param, response.cookies, RequestsCookieJar)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persistent HTTP states by manipulating the cookies parameter, extracting response.cookies, and utilizing the httpx.Cookies class to dynamically handle and inject server-issued session identifiers.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persistent HTTP states by manipulating the cookies parameter, extracting response.cookies, and utilizing the httpx.Cookies class to dynamically handle and inject server-issued session identifiers. Topic details: Managing Cookies (cookies param, response.cookies, RequestsCookieJar)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 HTTPX | 📊 Level: Advanced
**Topic:** Manage persistent HTTP states by manipulating the cookies parameter, extracting response.cookies, and utilizing the httpx.Cookies class to dynamically handle and inject server-issued session identifiers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4" t="str">
        <f t="shared" si="7"/>
        <v>[ROLE] Tech Lead | [TASK] Provide intentionally messy but functional code for learning debugging and improvement | [TOPIC] Manage persistent HTTP states by manipulating the cookies parameter, extracting response.cookies, and utilizing the httpx.Cookies class to dynamically handle and inject server-issued session identifiers | [LEVEL] Advanced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 HTTPX | 📊 Level: Advanced | 🌐 Coding5s.com
**Concept:** Managing Cookies (cookies param, response.cookies, RequestsCookieJar)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persistent HTTP states by manipulating the cookies parameter, extracting response.cookies, and utilizing the httpx.Cookies class to dynamically handle and inject server-issued session identifiers. Topic details: Managing Cookies (cookies param, response.cookies, RequestsCookieJar)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 HTTPX | 📊 Level: Advanced
**Topic:** Manage persistent HTTP states by manipulating the cookies parameter, extracting response.cookies, and utilizing the httpx.Cookies class to dynamically handle and inject server-issued session identifiers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8" t="str">
        <f t="shared" si="9"/>
        <v>[ROLE] Tech Product Manager assigning a Python Jira Ticket | [TASK] Provide a guided implementation exercise with full solution for learning purposes | [TOPIC] Manage persistent HTTP states by manipulating the cookies parameter, extracting response.cookies, and utilizing the httpx.Cookies class to dynamically handle and inject server-issued session identifiers | [LEVEL] Advanced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 HTTPX | 📊 Level: Advanced | 🌐 Coding5s.com
**Concept:** Managing Cookies (cookies param, response.cookies, RequestsCookieJar)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persistent HTTP states by manipulating the cookies parameter, extracting response.cookies, and utilizing the httpx.Cookies class to dynamically handle and inject server-issued session identifiers. Goal: Managing Cookies (cookies param, response.cookies, RequestsCookieJar)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 HTTPX | 📊 Level: Advanced
**Topic:** Manage persistent HTTP states by manipulating the cookies parameter, extracting response.cookies, and utilizing the httpx.Cookies class to dynamically handle and inject server-issued session identifiers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1"/>
        <v/>
      </c>
      <c r="AA36" s="56" t="str">
        <f t="shared" si="12"/>
        <v/>
      </c>
      <c r="AB36" s="56" t="str">
        <f t="shared" si="13"/>
        <v/>
      </c>
      <c r="AC36" s="56" t="str">
        <f t="shared" si="14"/>
        <v/>
      </c>
      <c r="AD36" s="56" t="str">
        <f t="shared" si="15"/>
        <v/>
      </c>
      <c r="AE36" s="40"/>
      <c r="AF36" s="40"/>
      <c r="AG36" s="40"/>
      <c r="AH36" s="56" t="str">
        <f t="shared" si="16"/>
        <v/>
      </c>
      <c r="AI36" s="54"/>
      <c r="AJ36" s="54"/>
      <c r="AK36" s="54">
        <v>28</v>
      </c>
      <c r="AL36" s="54" t="s">
        <v>151</v>
      </c>
      <c r="AM36" s="54" t="s">
        <v>152</v>
      </c>
    </row>
    <row r="37" spans="1:39">
      <c r="A37" s="96">
        <v>10</v>
      </c>
      <c r="B37" s="45" t="str" cm="1">
        <f t="array" ref="B37">IF(H37="PROJECT", CHAR(10) &amp; "- " &amp; _xlfn.TEXTJOIN(CHAR(10) &amp; "- ", TRUE, _xlfn._xlws.FILTER($I$9:$I$1000, ($C$9:$C$1000=C37) * ($H$9:$H$1000="Topic"))), "")</f>
        <v/>
      </c>
      <c r="C37" s="45">
        <f t="shared" si="0"/>
        <v>5</v>
      </c>
      <c r="D37" s="46">
        <v>4</v>
      </c>
      <c r="E37" s="58" t="s">
        <v>49</v>
      </c>
      <c r="F37" s="48">
        <v>29</v>
      </c>
      <c r="G37" s="49" t="s">
        <v>164</v>
      </c>
      <c r="H37" s="49" t="s">
        <v>51</v>
      </c>
      <c r="I37" s="50" t="s">
        <v>714</v>
      </c>
      <c r="J37" s="51" t="s">
        <v>715</v>
      </c>
      <c r="K37" s="103" t="str">
        <f t="shared" si="1"/>
        <v xml:space="preserve">[ROLE] Friendly tutor specializing in Python | [TOPIC] Obfuscate origin IP addresses and securely route network traffic by configuring the proxy or proxies parameter in httpx clients to forward outgoing requests through designated HTTP/HTTPS proxy servers | [LEVEL] Advanced | [COUNT] 4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#29 | Stage 1 📖 Practice | Python - HTTPX | 📊 Level: Advanced | 🌐 Coding5s.com
**Concept:** Routing Traffic through Proxies (proxies dictionary)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Obfuscate origin IP addresses and securely route network traffic by configuring the proxy or proxies parameter in httpx clients to forward outgoing requests through designated HTTP/HTTPS proxy servers. Topic details: Routing Traffic through Proxies (proxies dictionary)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 HTTPX | 📊 Level: Advanced
**Topic:** Obfuscate origin IP addresses and securely route network traffic by configuring the proxy or proxies parameter in httpx clients to forward outgoing requests through designated HTTP/HTTPS proxy servers
---
 | [FOOTER RULE - STRICT] End your response with: '--- ⚡ *Coding5s Mentor System — Eliminating Epistemic Debt*' | </v>
      </c>
      <c r="M37" s="53">
        <v>0</v>
      </c>
      <c r="N37" s="104" t="str">
        <f t="shared" si="3"/>
        <v>[ROLE] Careless Python Developer | [TASK] Generate debugging challenges in Python | | [TOPIC] Obfuscate origin IP addresses and securely route network traffic by configuring the proxy or proxies parameter in httpx clients to forward outgoing requests through designated HTTP/HTTPS proxy servers | | [LEVEL] Advanced |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#29 | Stage 2 🐛 Debug | Python - HTTPX | 📊 Level: Advanced | 🌐 Coding5s.com
Concept: Routing Traffic through Proxies (proxies dictionary)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Obfuscate origin IP addresses and securely route network traffic by configuring the proxy or proxies parameter in httpx clients to forward outgoing requests through designated HTTP/HTTPS proxy servers. Topic details: Routing Traffic through Proxies (proxies dictionary)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 HTTPX | 📊 Level: Advanced
**Topic:** Obfuscate origin IP addresses and securely route network traffic by configuring the proxy or proxies parameter in httpx clients to forward outgoing requests through designated HTTP/HTTPS proxy servers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4" t="str">
        <f t="shared" si="5"/>
        <v>[ROLE] Tech Lead | [TASK] Assign incomplete Python script challenges | [TOPIC] Obfuscate origin IP addresses and securely route network traffic by configuring the proxy or proxies parameter in httpx clients to forward outgoing requests through designated HTTP/HTTPS proxy servers | [LEVEL] Advanced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#29 | Stage 3 🧩 Complete | Python - HTTPX | 📊 Level: Advanced | 🌐 Coding5s.com
**Concept:** Routing Traffic through Proxies (proxies dictionary)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Obfuscate origin IP addresses and securely route network traffic by configuring the proxy or proxies parameter in httpx clients to forward outgoing requests through designated HTTP/HTTPS proxy servers.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Obfuscate origin IP addresses and securely route network traffic by configuring the proxy or proxies parameter in httpx clients to forward outgoing requests through designated HTTP/HTTPS proxy servers. Topic details: Routing Traffic through Proxies (proxies dictionary)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 HTTPX | 📊 Level: Advanced
**Topic:** Obfuscate origin IP addresses and securely route network traffic by configuring the proxy or proxies parameter in httpx clients to forward outgoing requests through designated HTTP/HTTPS proxy servers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4" t="str">
        <f t="shared" si="7"/>
        <v>[ROLE] Tech Lead | [TASK] Provide intentionally messy but functional code for learning debugging and improvement | [TOPIC] Obfuscate origin IP addresses and securely route network traffic by configuring the proxy or proxies parameter in httpx clients to forward outgoing requests through designated HTTP/HTTPS proxy servers | [LEVEL] Advanced | [COUNT] 4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 HTTPX | 📊 Level: Advanced | 🌐 Coding5s.com
**Concept:** Routing Traffic through Proxies (proxies dictionary)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Obfuscate origin IP addresses and securely route network traffic by configuring the proxy or proxies parameter in httpx clients to forward outgoing requests through designated HTTP/HTTPS proxy servers. Topic details: Routing Traffic through Proxies (proxies dictionary)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 HTTPX | 📊 Level: Advanced
**Topic:** Obfuscate origin IP addresses and securely route network traffic by configuring the proxy or proxies parameter in httpx clients to forward outgoing requests through designated HTTP/HTTPS proxy servers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8" t="str">
        <f t="shared" si="9"/>
        <v>[ROLE] Tech Product Manager assigning a Python Jira Ticket | [TASK] Provide a guided implementation exercise with full solution for learning purposes | [TOPIC] Obfuscate origin IP addresses and securely route network traffic by configuring the proxy or proxies parameter in httpx clients to forward outgoing requests through designated HTTP/HTTPS proxy servers | [LEVEL] Advanced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 HTTPX | 📊 Level: Advanced | 🌐 Coding5s.com
**Concept:** Routing Traffic through Proxies (proxies dictionary)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Obfuscate origin IP addresses and securely route network traffic by configuring the proxy or proxies parameter in httpx clients to forward outgoing requests through designated HTTP/HTTPS proxy servers. Goal: Routing Traffic through Proxies (proxies dictionary)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 HTTPX | 📊 Level: Advanced
**Topic:** Obfuscate origin IP addresses and securely route network traffic by configuring the proxy or proxies parameter in httpx clients to forward outgoing requests through designated HTTP/HTTPS proxy servers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1"/>
        <v/>
      </c>
      <c r="AA37" s="56" t="str">
        <f t="shared" si="12"/>
        <v/>
      </c>
      <c r="AB37" s="56" t="str">
        <f t="shared" si="13"/>
        <v/>
      </c>
      <c r="AC37" s="56" t="str">
        <f t="shared" si="14"/>
        <v/>
      </c>
      <c r="AD37" s="56" t="str">
        <f t="shared" si="15"/>
        <v/>
      </c>
      <c r="AE37" s="40"/>
      <c r="AF37" s="40"/>
      <c r="AG37" s="40"/>
      <c r="AH37" s="56" t="str">
        <f t="shared" si="16"/>
        <v/>
      </c>
      <c r="AI37" s="54"/>
      <c r="AJ37" s="54"/>
      <c r="AK37" s="54">
        <v>29</v>
      </c>
      <c r="AL37" s="54" t="s">
        <v>154</v>
      </c>
      <c r="AM37" s="54" t="s">
        <v>155</v>
      </c>
    </row>
    <row r="38" spans="1:39">
      <c r="A38" s="96">
        <v>8</v>
      </c>
      <c r="B38" s="45" t="str" cm="1">
        <f t="array" ref="B38">IF(H38="PROJECT", CHAR(10) &amp; "- " &amp; _xlfn.TEXTJOIN(CHAR(10) &amp; "- ", TRUE, _xlfn._xlws.FILTER($I$9:$I$1000, ($C$9:$C$1000=C38) * ($H$9:$H$1000="Topic"))), "")</f>
        <v/>
      </c>
      <c r="C38" s="45">
        <f t="shared" si="0"/>
        <v>5</v>
      </c>
      <c r="D38" s="57">
        <v>3</v>
      </c>
      <c r="E38" s="58" t="s">
        <v>49</v>
      </c>
      <c r="F38" s="59">
        <v>30</v>
      </c>
      <c r="G38" s="60" t="s">
        <v>164</v>
      </c>
      <c r="H38" s="60" t="s">
        <v>51</v>
      </c>
      <c r="I38" s="61" t="s">
        <v>716</v>
      </c>
      <c r="J38" s="62" t="s">
        <v>717</v>
      </c>
      <c r="K38" s="103" t="str">
        <f t="shared" si="1"/>
        <v xml:space="preserve">[ROLE] Friendly tutor specializing in Python | [TOPIC] Manage secure socket layer constraints by adjusting the verify parameter in httpx to either enforce strict SSL certificate validation or explicitly bypass security checks for custom internal network certificates | [LEVEL] Advanced | [COUNT] 3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#30 | Stage 1 📖 Practice | Python - HTTPX | 📊 Level: Advanced | 🌐 Coding5s.com
**Concept:** Managing SSL Certificate Verification (verify parameter)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secure socket layer constraints by adjusting the verify parameter in httpx to either enforce strict SSL certificate validation or explicitly bypass security checks for custom internal network certificates. Topic details: Managing SSL Certificate Verification (verify parameter)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 HTTPX | 📊 Level: Advanced
**Topic:** Manage secure socket layer constraints by adjusting the verify parameter in httpx to either enforce strict SSL certificate validation or explicitly bypass security checks for custom internal network certificates
---
 | [FOOTER RULE - STRICT] End your response with: '--- ⚡ *Coding5s Mentor System — Eliminating Epistemic Debt*' | </v>
      </c>
      <c r="M38" s="52">
        <v>0</v>
      </c>
      <c r="N38" s="104" t="str">
        <f t="shared" si="3"/>
        <v>[ROLE] Careless Python Developer | [TASK] Generate debugging challenges in Python | | [TOPIC] Manage secure socket layer constraints by adjusting the verify parameter in httpx to either enforce strict SSL certificate validation or explicitly bypass security checks for custom internal network certificates | | [LEVEL] Advanced | | [COUNT] 3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#30 | Stage 2 🐛 Debug | Python - HTTPX | 📊 Level: Advanced | 🌐 Coding5s.com
Concept: Managing SSL Certificate Verification (verify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secure socket layer constraints by adjusting the verify parameter in httpx to either enforce strict SSL certificate validation or explicitly bypass security checks for custom internal network certificates. Topic details: Managing SSL Certificate Verification (verify parameter)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 HTTPX | 📊 Level: Advanced
**Topic:** Manage secure socket layer constraints by adjusting the verify parameter in httpx to either enforce strict SSL certificate validation or explicitly bypass security checks for custom internal network certificates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4" t="str">
        <f t="shared" si="5"/>
        <v>[ROLE] Tech Lead | [TASK] Assign incomplete Python script challenges | [TOPIC] Manage secure socket layer constraints by adjusting the verify parameter in httpx to either enforce strict SSL certificate validation or explicitly bypass security checks for custom internal network certificates | [LEVEL] Advanced | [COUNT] 3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#30 | Stage 3 🧩 Complete | Python - HTTPX | 📊 Level: Advanced | 🌐 Coding5s.com
**Concept:** Managing SSL Certificate Verification (verify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secure socket layer constraints by adjusting the verify parameter in httpx to either enforce strict SSL certificate validation or explicitly bypass security checks for custom internal network certificates.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secure socket layer constraints by adjusting the verify parameter in httpx to either enforce strict SSL certificate validation or explicitly bypass security checks for custom internal network certificates. Topic details: Managing SSL Certificate Verification (verify parameter)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 HTTPX | 📊 Level: Advanced
**Topic:** Manage secure socket layer constraints by adjusting the verify parameter in httpx to either enforce strict SSL certificate validation or explicitly bypass security checks for custom internal network certificates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4" t="str">
        <f t="shared" si="7"/>
        <v>[ROLE] Tech Lead | [TASK] Provide intentionally messy but functional code for learning debugging and improvement | [TOPIC] Manage secure socket layer constraints by adjusting the verify parameter in httpx to either enforce strict SSL certificate validation or explicitly bypass security checks for custom internal network certificates | [LEVEL] Advanced | [COUNT] 3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 HTTPX | 📊 Level: Advanced | 🌐 Coding5s.com
**Concept:** Managing SSL Certificate Verification (verify parameter)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secure socket layer constraints by adjusting the verify parameter in httpx to either enforce strict SSL certificate validation or explicitly bypass security checks for custom internal network certificates. Topic details: Managing SSL Certificate Verification (verify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 HTTPX | 📊 Level: Advanced
**Topic:** Manage secure socket layer constraints by adjusting the verify parameter in httpx to either enforce strict SSL certificate validation or explicitly bypass security checks for custom internal network certificates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8" t="str">
        <f t="shared" si="9"/>
        <v>[ROLE] Tech Product Manager assigning a Python Jira Ticket | [TASK] Provide a guided implementation exercise with full solution for learning purposes | [TOPIC] Manage secure socket layer constraints by adjusting the verify parameter in httpx to either enforce strict SSL certificate validation or explicitly bypass security checks for custom internal network certificates | [LEVEL] Advanced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 HTTPX | 📊 Level: Advanced | 🌐 Coding5s.com
**Concept:** Managing SSL Certificate Verification (verify parameter)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secure socket layer constraints by adjusting the verify parameter in httpx to either enforce strict SSL certificate validation or explicitly bypass security checks for custom internal network certificates. Goal: Managing SSL Certificate Verification (verify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 HTTPX | 📊 Level: Advanced
**Topic:** Manage secure socket layer constraints by adjusting the verify parameter in httpx to either enforce strict SSL certificate validation or explicitly bypass security checks for custom internal network certificates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1"/>
        <v/>
      </c>
      <c r="AA38" s="56" t="str">
        <f t="shared" si="12"/>
        <v/>
      </c>
      <c r="AB38" s="56" t="str">
        <f t="shared" si="13"/>
        <v/>
      </c>
      <c r="AC38" s="56" t="str">
        <f t="shared" si="14"/>
        <v/>
      </c>
      <c r="AD38" s="56" t="str">
        <f t="shared" si="15"/>
        <v/>
      </c>
      <c r="AE38" s="40"/>
      <c r="AF38" s="40"/>
      <c r="AG38" s="40"/>
      <c r="AH38" s="56" t="str">
        <f t="shared" si="16"/>
        <v/>
      </c>
      <c r="AI38" s="54"/>
      <c r="AJ38" s="54"/>
      <c r="AK38" s="54">
        <v>30</v>
      </c>
      <c r="AL38" s="54" t="s">
        <v>157</v>
      </c>
      <c r="AM38" s="54" t="s">
        <v>158</v>
      </c>
    </row>
    <row r="39" spans="1:39">
      <c r="A39" s="96" t="s">
        <v>80</v>
      </c>
      <c r="B39" s="45" t="str" cm="1">
        <f t="array" ref="B39">IF(H39="PROJECT", CHAR(10) &amp; "- " &amp; _xlfn.TEXTJOIN(CHAR(10) &amp; "- ", TRUE, _xlfn._xlws.FILTER($I$9:$I$1000, ($C$9:$C$1000=C39) * ($H$9:$H$1000="Topic"))), "")</f>
        <v xml:space="preserve">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v>
      </c>
      <c r="C39" s="45">
        <f t="shared" si="0"/>
        <v>5</v>
      </c>
      <c r="D39" s="46">
        <v>0</v>
      </c>
      <c r="E39" s="58" t="s">
        <v>667</v>
      </c>
      <c r="F39" s="48">
        <v>31</v>
      </c>
      <c r="G39" s="49" t="s">
        <v>164</v>
      </c>
      <c r="H39" s="49" t="s">
        <v>81</v>
      </c>
      <c r="I39" s="50" t="s">
        <v>718</v>
      </c>
      <c r="J39" s="51" t="s">
        <v>719</v>
      </c>
      <c r="K39" s="103" t="str">
        <f t="shared" si="1"/>
        <v>[TASK] Teach through a practical Python - HTTPX project following the micro-learning methodology, acting as a supportive tutor, creating a project about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#31 | Stage 1 | Python - HTTPX | 📊 Level: Advanced | 🌐 Coding5s.com
**Project:** Project 5: Stateful API Crawler (Sessions, persistence, proxy rotation)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9"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Topics applied in this project: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Project objective: Project 5: Stateful API Crawler (Sessions, persistence, proxy rotation)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#31 | Practice | Python - HTTPX | 📊 Level: Advanced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 [FOOTER RULE - STRICT] End your response with: '--- ⚡ *Coding5s Mentor System — Eliminating Epistemic Debt*' | </v>
      </c>
      <c r="M39" s="53">
        <v>0</v>
      </c>
      <c r="N39" s="104" t="str">
        <f t="shared" si="3"/>
        <v>[ROLE] Careless Python Developer | [TASK] Generate debugging project in Python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[OUTPUT] Only header, dataset summary or statement (if any), email intro, objective, expected output, broken code, and footer | [HEADER RULE - STRICT] You MUST start your entire response EXACTLY with this markdown block (do not print anything before it):
### 🚀 Project #31 | Stage 2 | Python - HTTPX | 📊 Level: Advanced | 🌐 Coding5s.com
Project: Project 5: Stateful API Crawler (Sessions, persistence, proxy rotation)
---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Topics involved: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Project objective: Project 5: Stateful API Crawler (Sessions, persistence, proxy rotation)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#31 | Debug | Python - HTTPX | 📊 Level: Advanced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4" t="str">
        <f t="shared" si="5"/>
        <v>[ROLE] Tech Lead | [TASK] Assign incomplete project script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#31 | Stage 3 | Python - HTTPX | 📊 Level: Advanced | 🌐 Coding5s.com
**Project:** Project 5: Stateful API Crawler (Sessions, persistence, proxy rotation)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Topics involved: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Project objective: Project 5: Stateful API Crawler (Sessions, persistence, proxy rotation)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#31 | Complete | Python - HTTPX | 📊 Level: Advanced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4" t="str">
        <f t="shared" si="7"/>
        <v>[ROLE] Tech Lead | [TASK] Provide a messy but functional project for refactoring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[PERSONA RULE] Act as a Tech Lead. A junior wrote this working but messy code. Tone: professional but exhausted | [HEADER RULE - STRICT] You MUST start your entire response EXACTLY with this markdown block (do not print anything before it):
### 🚀 Project #31 | Stage 4 | Python - HTTPX | 📊 Level: Advanced | 🌐 Coding5s.com
**Project:** Project 5: Stateful API Crawler (Sessions, persistence, proxy rotation)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Topics involved: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Project objective: Project 5: Stateful API Crawler (Sessions, persistence, proxy rotation)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#31 | Refactor | Python - HTTPX | 📊 Level: Advanced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8" t="str">
        <f t="shared" si="9"/>
        <v>[ROLE] Tech Product Manager assigning a Python Jira Ticket | [TASK] Provide a guided project implementation with full solution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[PERSONA RULE] Act as a professional Tech Product Manager defining a project ticket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#31 | Stage 5 | Python - HTTPX | 📊 Level: Advanced | 🌐 Coding5s.com
**Project:** Project 5: Stateful API Crawler (Sessions, persistence, proxy rotation)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Topics integrated: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Business Goal: Project 5: Stateful API Crawler (Sessions, persistence, proxy rotation)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#31 | Extend | Python - HTTPX | 📊 Level: Advanced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1"/>
        <v>[TASK] Teach through a practical Python - HTTPX project following the micro-learning methodology, acting as a supportive tutor, creating a project about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#31 | Stage 1 | Python - HTTPX | 📊 Level: Advanced | 🌐 Coding5s.com
**Project:** Project 5: Stateful API Crawler (Sessions, persistence, proxy rotation)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9" s="56" t="str">
        <f t="shared" si="12"/>
        <v>[ROLE] Careless Python Developer | [TASK] Generate debugging project in Python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[OUTPUT] Only header, dataset summary or statement (if any), email intro, objective, expected output, broken code, and footer | [HEADER RULE - STRICT] You MUST start your entire response EXACTLY with this markdown block (do not print anything before it):
### 🚀 Project #31 | Stage 2 | Python - HTTPX | 📊 Level: Advanced | 🌐 Coding5s.com
Project: Project 5: Stateful API Crawler (Sessions, persistence, proxy rotation)
---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9" s="56" t="str">
        <f t="shared" si="13"/>
        <v>[ROLE] Tech Lead | [TASK] Assign incomplete project script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#31 | Stage 3 | Python - HTTPX | 📊 Level: Advanced | 🌐 Coding5s.com
**Project:** Project 5: Stateful API Crawler (Sessions, persistence, proxy rotation)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9" s="56" t="str">
        <f t="shared" si="14"/>
        <v>[ROLE] Tech Lead | [TASK] Provide a messy but functional project for refactoring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[PERSONA RULE] Act as a Tech Lead. A junior wrote this working but messy code. Tone: professional but exhausted | [HEADER RULE - STRICT] You MUST start your entire response EXACTLY with this markdown block (do not print anything before it):
### 🚀 Project #31 | Stage 4 | Python - HTTPX | 📊 Level: Advanced | 🌐 Coding5s.com
**Project:** Project 5: Stateful API Crawler (Sessions, persistence, proxy rotation)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9" s="56" t="str">
        <f t="shared" si="15"/>
        <v>[ROLE] Tech Product Manager assigning a Python Jira Ticket | [TASK] Provide a guided project implementation with full solution | [PROJECT] Build an advanced stateful API crawler that takes target domains and external proxy lists as input, processes repetitive requests through a persistent httpx.Client() featuring automatic proxy rotation and cookie management, and outputs structured scraped data to local storage | [TOPICS USED] 
- Optimize HTTP performance and implement underlying connection pooling by initializing an httpx.Client() instance to persist TCP connections across multiple sequential network requests
- Configure client-level network defaults by assigning base URLs, default authentication schemas, and universal headers to an httpx.Client() object to standardize parameters across all outbound application requests
- Manage persistent HTTP states by manipulating the cookies parameter, extracting response.cookies, and utilizing the httpx.Cookies class to dynamically handle and inject server-issued session identifiers
- Obfuscate origin IP addresses and securely route network traffic by configuring the proxy or proxies parameter in httpx clients to forward outgoing requests through designated HTTP/HTTPS proxy servers
- Manage secure socket layer constraints by adjusting the verify parameter in httpx to either enforce strict SSL certificate validation or explicitly bypass security checks for custom internal network certificates | [LEVEL] Advanced | [PERSONA RULE] Act as a professional Tech Product Manager defining a project ticket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#31 | Stage 5 | Python - HTTPX | 📊 Level: Advanced | 🌐 Coding5s.com
**Project:** Project 5: Stateful API Crawler (Sessions, persistence, proxy rotation)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9" s="40"/>
      <c r="AF39" s="40"/>
      <c r="AG39" s="40"/>
      <c r="AH39" s="56" t="str">
        <f t="shared" si="16"/>
        <v/>
      </c>
      <c r="AI39" s="54"/>
      <c r="AJ39" s="54"/>
      <c r="AK39" s="54">
        <v>31</v>
      </c>
      <c r="AL39" s="54" t="s">
        <v>52</v>
      </c>
      <c r="AM39" s="54" t="s">
        <v>53</v>
      </c>
    </row>
    <row r="40" spans="1:39">
      <c r="A40" s="96">
        <v>10</v>
      </c>
      <c r="B40" s="45" t="str" cm="1">
        <f t="array" ref="B40">IF(H40="PROJECT", CHAR(10) &amp; "- " &amp; _xlfn.TEXTJOIN(CHAR(10) &amp; "- ", TRUE, _xlfn._xlws.FILTER($I$9:$I$1000, ($C$9:$C$1000=C40) * ($H$9:$H$1000="Topic"))), "")</f>
        <v/>
      </c>
      <c r="C40" s="45">
        <f t="shared" si="0"/>
        <v>6</v>
      </c>
      <c r="D40" s="57">
        <v>5</v>
      </c>
      <c r="E40" s="58" t="s">
        <v>667</v>
      </c>
      <c r="F40" s="59">
        <v>32</v>
      </c>
      <c r="G40" s="60" t="s">
        <v>164</v>
      </c>
      <c r="H40" s="60" t="s">
        <v>51</v>
      </c>
      <c r="I40" s="61" t="s">
        <v>720</v>
      </c>
      <c r="J40" s="62" t="s">
        <v>721</v>
      </c>
      <c r="K40" s="103" t="str">
        <f t="shared" si="1"/>
        <v xml:space="preserve">[ROLE] Friendly tutor specializing in Python | [TOPIC] Consume continuous Server-Sent Events (SSE) and live text streams by utilizing the httpx.stream() context manager and continuously iterating over the active response using the .iter_lines() generator method | [LEVEL] Advanced | [COUNT] 5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#32 | Stage 1 📖 Practice | Python - HTTPX | 📊 Level: Advanced | 🌐 Coding5s.com
**Concept:** Streaming Text Lines and SSE (stream=True, .iter_lines())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0"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Consume continuous Server-Sent Events (SSE) and live text streams by utilizing the httpx.stream() context manager and continuously iterating over the active response using the .iter_lines() generator method. Topic details: Streaming Text Lines and SSE (stream=True, .iter_lines())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 HTTPX | 📊 Level: Advanced
**Topic:** Consume continuous Server-Sent Events (SSE) and live text streams by utilizing the httpx.stream() context manager and continuously iterating over the active response using the .iter_lines() generator method
---
 | [FOOTER RULE - STRICT] End your response with: '--- ⚡ *Coding5s Mentor System — Eliminating Epistemic Debt*' | </v>
      </c>
      <c r="M40" s="52">
        <v>0</v>
      </c>
      <c r="N40" s="104" t="str">
        <f t="shared" si="3"/>
        <v>[ROLE] Careless Python Developer | [TASK] Generate debugging challenges in Python | | [TOPIC] Consume continuous Server-Sent Events (SSE) and live text streams by utilizing the httpx.stream() context manager and continuously iterating over the active response using the .iter_lines() generator method | | [LEVEL] Advanced |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#32 | Stage 2 🐛 Debug | Python - HTTPX | 📊 Level: Advanced | 🌐 Coding5s.com
Concept: Streaming Text Lines and SSE (stream=True, .iter_lines())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Consume continuous Server-Sent Events (SSE) and live text streams by utilizing the httpx.stream() context manager and continuously iterating over the active response using the .iter_lines() generator method. Topic details: Streaming Text Lines and SSE (stream=True, .iter_lines())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 HTTPX | 📊 Level: Advanced
**Topic:** Consume continuous Server-Sent Events (SSE) and live text streams by utilizing the httpx.stream() context manager and continuously iterating over the active response using the .iter_lines() generator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4" t="str">
        <f t="shared" si="5"/>
        <v>[ROLE] Tech Lead | [TASK] Assign incomplete Python script challenges | [TOPIC] Consume continuous Server-Sent Events (SSE) and live text streams by utilizing the httpx.stream() context manager and continuously iterating over the active response using the .iter_lines() generator method | [LEVEL] Advanced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#32 | Stage 3 🧩 Complete | Python - HTTPX | 📊 Level: Advanced | 🌐 Coding5s.com
**Concept:** Streaming Text Lines and SSE (stream=True, .iter_lines())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Consume continuous Server-Sent Events (SSE) and live text streams by utilizing the httpx.stream() context manager and continuously iterating over the active response using the .iter_lines() generator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Consume continuous Server-Sent Events (SSE) and live text streams by utilizing the httpx.stream() context manager and continuously iterating over the active response using the .iter_lines() generator method. Topic details: Streaming Text Lines and SSE (stream=True, .iter_lines())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 HTTPX | 📊 Level: Advanced
**Topic:** Consume continuous Server-Sent Events (SSE) and live text streams by utilizing the httpx.stream() context manager and continuously iterating over the active response using the .iter_lines() generator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4" t="str">
        <f t="shared" si="7"/>
        <v>[ROLE] Tech Lead | [TASK] Provide intentionally messy but functional code for learning debugging and improvement | [TOPIC] Consume continuous Server-Sent Events (SSE) and live text streams by utilizing the httpx.stream() context manager and continuously iterating over the active response using the .iter_lines() generator method | [LEVEL] Advanced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Python - HTTPX | 📊 Level: Advanced | 🌐 Coding5s.com
**Concept:** Streaming Text Lines and SSE (stream=True, .iter_lines())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Consume continuous Server-Sent Events (SSE) and live text streams by utilizing the httpx.stream() context manager and continuously iterating over the active response using the .iter_lines() generator method. Topic details: Streaming Text Lines and SSE (stream=True, .iter_lines())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 HTTPX | 📊 Level: Advanced
**Topic:** Consume continuous Server-Sent Events (SSE) and live text streams by utilizing the httpx.stream() context manager and continuously iterating over the active response using the .iter_lines() generator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8" t="str">
        <f t="shared" si="9"/>
        <v>[ROLE] Tech Product Manager assigning a Python Jira Ticket | [TASK] Provide a guided implementation exercise with full solution for learning purposes | [TOPIC] Consume continuous Server-Sent Events (SSE) and live text streams by utilizing the httpx.stream() context manager and continuously iterating over the active response using the .iter_lines() generator method | [LEVEL] Advanced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 HTTPX | 📊 Level: Advanced | 🌐 Coding5s.com
**Concept:** Streaming Text Lines and SSE (stream=True, .iter_lines())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Consume continuous Server-Sent Events (SSE) and live text streams by utilizing the httpx.stream() context manager and continuously iterating over the active response using the .iter_lines() generator method. Goal: Streaming Text Lines and SSE (stream=True, .iter_lines())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 HTTPX | 📊 Level: Advanced
**Topic:** Consume continuous Server-Sent Events (SSE) and live text streams by utilizing the httpx.stream() context manager and continuously iterating over the active response using the .iter_lines() generator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1"/>
        <v/>
      </c>
      <c r="AA40" s="56" t="str">
        <f t="shared" si="12"/>
        <v/>
      </c>
      <c r="AB40" s="56" t="str">
        <f t="shared" si="13"/>
        <v/>
      </c>
      <c r="AC40" s="56" t="str">
        <f t="shared" si="14"/>
        <v/>
      </c>
      <c r="AD40" s="56" t="str">
        <f t="shared" si="15"/>
        <v/>
      </c>
      <c r="AE40" s="40"/>
      <c r="AF40" s="40"/>
      <c r="AG40" s="40"/>
      <c r="AH40" s="56" t="str">
        <f t="shared" si="16"/>
        <v/>
      </c>
      <c r="AI40" s="54"/>
      <c r="AJ40" s="54"/>
      <c r="AK40" s="54">
        <v>32</v>
      </c>
      <c r="AL40" s="54" t="s">
        <v>58</v>
      </c>
      <c r="AM40" s="54" t="s">
        <v>59</v>
      </c>
    </row>
    <row r="41" spans="1:39">
      <c r="A41" s="96">
        <v>10</v>
      </c>
      <c r="B41" s="45" t="str" cm="1">
        <f t="array" ref="B41">IF(H41="PROJECT", CHAR(10) &amp; "- " &amp; _xlfn.TEXTJOIN(CHAR(10) &amp; "- ", TRUE, _xlfn._xlws.FILTER($I$9:$I$1000, ($C$9:$C$1000=C41) * ($H$9:$H$1000="Topic"))), "")</f>
        <v/>
      </c>
      <c r="C41" s="45">
        <f t="shared" si="0"/>
        <v>6</v>
      </c>
      <c r="D41" s="46">
        <v>5</v>
      </c>
      <c r="E41" s="58" t="s">
        <v>49</v>
      </c>
      <c r="F41" s="48">
        <v>33</v>
      </c>
      <c r="G41" s="49" t="s">
        <v>164</v>
      </c>
      <c r="H41" s="49" t="s">
        <v>51</v>
      </c>
      <c r="I41" s="50" t="s">
        <v>722</v>
      </c>
      <c r="J41" s="51" t="s">
        <v>723</v>
      </c>
      <c r="K41" s="103" t="str">
        <f t="shared" si="1"/>
        <v xml:space="preserve">[ROLE] Friendly tutor specializing in Python | [TOPIC] Instrument advanced network monitoring by attaching custom Python callback functions to the event_hooks dictionary in httpx clients to automatically log, measure, or inspect HTTP responses asynchronously immediately upon receipt | [LEVEL] Advanced | [COUNT] 5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#33 | Stage 1 📖 Practice | Python - HTTPX | 📊 Level: Advanced | 🌐 Coding5s.com
**Concept:** Attaching Callbacks to Responses (hooks={'response': callback_function})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1"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Instrument advanced network monitoring by attaching custom Python callback functions to the event_hooks dictionary in httpx clients to automatically log, measure, or inspect HTTP responses asynchronously immediately upon receipt. Topic details: Attaching Callbacks to Responses (hooks={'response': callback_function})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 HTTPX | 📊 Level: Advanced
**Topic:** Instrument advanced network monitoring by attaching custom Python callback functions to the event_hooks dictionary in httpx clients to automatically log, measure, or inspect HTTP responses asynchronously immediately upon receipt
---
 | [FOOTER RULE - STRICT] End your response with: '--- ⚡ *Coding5s Mentor System — Eliminating Epistemic Debt*' | </v>
      </c>
      <c r="M41" s="53">
        <v>0</v>
      </c>
      <c r="N41" s="104" t="str">
        <f t="shared" si="3"/>
        <v>[ROLE] Careless Python Developer | [TASK] Generate debugging challenges in Python | | [TOPIC] Instrument advanced network monitoring by attaching custom Python callback functions to the event_hooks dictionary in httpx clients to automatically log, measure, or inspect HTTP responses asynchronously immediately upon receipt | | [LEVEL] Advanced |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#33 | Stage 2 🐛 Debug | Python - HTTPX | 📊 Level: Advanced | 🌐 Coding5s.com
Concept: Attaching Callbacks to Responses (hooks={'response': callback_function})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Instrument advanced network monitoring by attaching custom Python callback functions to the event_hooks dictionary in httpx clients to automatically log, measure, or inspect HTTP responses asynchronously immediately upon receipt. Topic details: Attaching Callbacks to Responses (hooks={'response': callback_function})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 HTTPX | 📊 Level: Advanced
**Topic:** Instrument advanced network monitoring by attaching custom Python callback functions to the event_hooks dictionary in httpx clients to automatically log, measure, or inspect HTTP responses asynchronously immediately upon receipt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4" t="str">
        <f t="shared" si="5"/>
        <v>[ROLE] Tech Lead | [TASK] Assign incomplete Python script challenges | [TOPIC] Instrument advanced network monitoring by attaching custom Python callback functions to the event_hooks dictionary in httpx clients to automatically log, measure, or inspect HTTP responses asynchronously immediately upon receipt | [LEVEL] Advanced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#33 | Stage 3 🧩 Complete | Python - HTTPX | 📊 Level: Advanced | 🌐 Coding5s.com
**Concept:** Attaching Callbacks to Responses (hooks={'response': callback_function})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Instrument advanced network monitoring by attaching custom Python callback functions to the event_hooks dictionary in httpx clients to automatically log, measure, or inspect HTTP responses asynchronously immediately upon receipt.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Instrument advanced network monitoring by attaching custom Python callback functions to the event_hooks dictionary in httpx clients to automatically log, measure, or inspect HTTP responses asynchronously immediately upon receipt. Topic details: Attaching Callbacks to Responses (hooks={'response': callback_function})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 HTTPX | 📊 Level: Advanced
**Topic:** Instrument advanced network monitoring by attaching custom Python callback functions to the event_hooks dictionary in httpx clients to automatically log, measure, or inspect HTTP responses asynchronously immediately upon receipt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4" t="str">
        <f t="shared" si="7"/>
        <v>[ROLE] Tech Lead | [TASK] Provide intentionally messy but functional code for learning debugging and improvement | [TOPIC] Instrument advanced network monitoring by attaching custom Python callback functions to the event_hooks dictionary in httpx clients to automatically log, measure, or inspect HTTP responses asynchronously immediately upon receipt | [LEVEL] Advanced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Python - HTTPX | 📊 Level: Advanced | 🌐 Coding5s.com
**Concept:** Attaching Callbacks to Responses (hooks={'response': callback_function})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Instrument advanced network monitoring by attaching custom Python callback functions to the event_hooks dictionary in httpx clients to automatically log, measure, or inspect HTTP responses asynchronously immediately upon receipt. Topic details: Attaching Callbacks to Responses (hooks={'response': callback_function})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 HTTPX | 📊 Level: Advanced
**Topic:** Instrument advanced network monitoring by attaching custom Python callback functions to the event_hooks dictionary in httpx clients to automatically log, measure, or inspect HTTP responses asynchronously immediately upon receipt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8" t="str">
        <f t="shared" si="9"/>
        <v>[ROLE] Tech Product Manager assigning a Python Jira Ticket | [TASK] Provide a guided implementation exercise with full solution for learning purposes | [TOPIC] Instrument advanced network monitoring by attaching custom Python callback functions to the event_hooks dictionary in httpx clients to automatically log, measure, or inspect HTTP responses asynchronously immediately upon receipt | [LEVEL] Advanced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Python - HTTPX | 📊 Level: Advanced | 🌐 Coding5s.com
**Concept:** Attaching Callbacks to Responses (hooks={'response': callback_function})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Instrument advanced network monitoring by attaching custom Python callback functions to the event_hooks dictionary in httpx clients to automatically log, measure, or inspect HTTP responses asynchronously immediately upon receipt. Goal: Attaching Callbacks to Responses (hooks={'response': callback_function})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 HTTPX | 📊 Level: Advanced
**Topic:** Instrument advanced network monitoring by attaching custom Python callback functions to the event_hooks dictionary in httpx clients to automatically log, measure, or inspect HTTP responses asynchronously immediately upon receipt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1"/>
        <v/>
      </c>
      <c r="AA41" s="56" t="str">
        <f t="shared" si="12"/>
        <v/>
      </c>
      <c r="AB41" s="56" t="str">
        <f t="shared" si="13"/>
        <v/>
      </c>
      <c r="AC41" s="56" t="str">
        <f t="shared" si="14"/>
        <v/>
      </c>
      <c r="AD41" s="56" t="str">
        <f t="shared" si="15"/>
        <v/>
      </c>
      <c r="AE41" s="40"/>
      <c r="AF41" s="40"/>
      <c r="AG41" s="40"/>
      <c r="AH41" s="56" t="str">
        <f t="shared" si="16"/>
        <v/>
      </c>
      <c r="AI41" s="54"/>
      <c r="AJ41" s="54"/>
      <c r="AK41" s="54">
        <v>33</v>
      </c>
      <c r="AL41" s="54" t="s">
        <v>63</v>
      </c>
      <c r="AM41" s="54" t="s">
        <v>64</v>
      </c>
    </row>
    <row r="42" spans="1:39">
      <c r="A42" s="96">
        <v>10</v>
      </c>
      <c r="B42" s="45" t="str" cm="1">
        <f t="array" ref="B42">IF(H42="PROJECT", CHAR(10) &amp; "- " &amp; _xlfn.TEXTJOIN(CHAR(10) &amp; "- ", TRUE, _xlfn._xlws.FILTER($I$9:$I$1000, ($C$9:$C$1000=C42) * ($H$9:$H$1000="Topic"))), "")</f>
        <v/>
      </c>
      <c r="C42" s="45">
        <f t="shared" si="0"/>
        <v>6</v>
      </c>
      <c r="D42" s="57">
        <v>5</v>
      </c>
      <c r="E42" s="58" t="s">
        <v>49</v>
      </c>
      <c r="F42" s="59">
        <v>34</v>
      </c>
      <c r="G42" s="60" t="s">
        <v>164</v>
      </c>
      <c r="H42" s="60" t="s">
        <v>51</v>
      </c>
      <c r="I42" s="61" t="s">
        <v>724</v>
      </c>
      <c r="J42" s="62" t="s">
        <v>725</v>
      </c>
      <c r="K42" s="103" t="str">
        <f t="shared" si="1"/>
        <v xml:space="preserve">[ROLE] Friendly tutor specializing in Python | [TOPIC] Craft and construct HTTP requests manually by instantiating raw httpx.Request objects and explicitly dispatching them using the client.send() method to achieve granular programmatic control over the entire network transmission lifecycle | [LEVEL] Advanced | [COUNT] 5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#34 | Stage 1 📖 Practice | Python - HTTPX | 📊 Level: Advanced | 🌐 Coding5s.com
**Concept:** Manual Request Crafting (Request, Session.prepare_request, Session.send)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2"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Craft and construct HTTP requests manually by instantiating raw httpx.Request objects and explicitly dispatching them using the client.send() method to achieve granular programmatic control over the entire network transmission lifecycle. Topic details: Manual Request Crafting (Request, Session.prepare_request, Session.send)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 HTTPX | 📊 Level: Advanced
**Topic:** Craft and construct HTTP requests manually by instantiating raw httpx.Request objects and explicitly dispatching them using the client.send() method to achieve granular programmatic control over the entire network transmission lifecycle
---
 | [FOOTER RULE - STRICT] End your response with: '--- ⚡ *Coding5s Mentor System — Eliminating Epistemic Debt*' | </v>
      </c>
      <c r="M42" s="52">
        <v>0</v>
      </c>
      <c r="N42" s="104" t="str">
        <f t="shared" si="3"/>
        <v>[ROLE] Careless Python Developer | [TASK] Generate debugging challenges in Python | | [TOPIC] Craft and construct HTTP requests manually by instantiating raw httpx.Request objects and explicitly dispatching them using the client.send() method to achieve granular programmatic control over the entire network transmission lifecycle | | [LEVEL] Advanced |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#34 | Stage 2 🐛 Debug | Python - HTTPX | 📊 Level: Advanced | 🌐 Coding5s.com
Concept: Manual Request Crafting (Request, Session.prepare_request, Session.send)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Craft and construct HTTP requests manually by instantiating raw httpx.Request objects and explicitly dispatching them using the client.send() method to achieve granular programmatic control over the entire network transmission lifecycle. Topic details: Manual Request Crafting (Request, Session.prepare_request, Session.send)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 HTTPX | 📊 Level: Advanced
**Topic:** Craft and construct HTTP requests manually by instantiating raw httpx.Request objects and explicitly dispatching them using the client.send() method to achieve granular programmatic control over the entire network transmission lifecycle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4" t="str">
        <f t="shared" si="5"/>
        <v>[ROLE] Tech Lead | [TASK] Assign incomplete Python script challenges | [TOPIC] Craft and construct HTTP requests manually by instantiating raw httpx.Request objects and explicitly dispatching them using the client.send() method to achieve granular programmatic control over the entire network transmission lifecycle | [LEVEL] Advanced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#34 | Stage 3 🧩 Complete | Python - HTTPX | 📊 Level: Advanced | 🌐 Coding5s.com
**Concept:** Manual Request Crafting (Request, Session.prepare_request, Session.send)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Craft and construct HTTP requests manually by instantiating raw httpx.Request objects and explicitly dispatching them using the client.send() method to achieve granular programmatic control over the entire network transmission lifecycle.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Craft and construct HTTP requests manually by instantiating raw httpx.Request objects and explicitly dispatching them using the client.send() method to achieve granular programmatic control over the entire network transmission lifecycle. Topic details: Manual Request Crafting (Request, Session.prepare_request, Session.send)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 HTTPX | 📊 Level: Advanced
**Topic:** Craft and construct HTTP requests manually by instantiating raw httpx.Request objects and explicitly dispatching them using the client.send() method to achieve granular programmatic control over the entire network transmission lifecycle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4" t="str">
        <f t="shared" si="7"/>
        <v>[ROLE] Tech Lead | [TASK] Provide intentionally messy but functional code for learning debugging and improvement | [TOPIC] Craft and construct HTTP requests manually by instantiating raw httpx.Request objects and explicitly dispatching them using the client.send() method to achieve granular programmatic control over the entire network transmission lifecycle | [LEVEL] Advanced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Python - HTTPX | 📊 Level: Advanced | 🌐 Coding5s.com
**Concept:** Manual Request Crafting (Request, Session.prepare_request, Session.send)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Craft and construct HTTP requests manually by instantiating raw httpx.Request objects and explicitly dispatching them using the client.send() method to achieve granular programmatic control over the entire network transmission lifecycle. Topic details: Manual Request Crafting (Request, Session.prepare_request, Session.send)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 HTTPX | 📊 Level: Advanced
**Topic:** Craft and construct HTTP requests manually by instantiating raw httpx.Request objects and explicitly dispatching them using the client.send() method to achieve granular programmatic control over the entire network transmission lifecycle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8" t="str">
        <f t="shared" si="9"/>
        <v>[ROLE] Tech Product Manager assigning a Python Jira Ticket | [TASK] Provide a guided implementation exercise with full solution for learning purposes | [TOPIC] Craft and construct HTTP requests manually by instantiating raw httpx.Request objects and explicitly dispatching them using the client.send() method to achieve granular programmatic control over the entire network transmission lifecycle | [LEVEL] Advanced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Python - HTTPX | 📊 Level: Advanced | 🌐 Coding5s.com
**Concept:** Manual Request Crafting (Request, Session.prepare_request, Session.send)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Craft and construct HTTP requests manually by instantiating raw httpx.Request objects and explicitly dispatching them using the client.send() method to achieve granular programmatic control over the entire network transmission lifecycle. Goal: Manual Request Crafting (Request, Session.prepare_request, Session.send)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 HTTPX | 📊 Level: Advanced
**Topic:** Craft and construct HTTP requests manually by instantiating raw httpx.Request objects and explicitly dispatching them using the client.send() method to achieve granular programmatic control over the entire network transmission lifecycle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1"/>
        <v/>
      </c>
      <c r="AA42" s="56" t="str">
        <f t="shared" si="12"/>
        <v/>
      </c>
      <c r="AB42" s="56" t="str">
        <f t="shared" si="13"/>
        <v/>
      </c>
      <c r="AC42" s="56" t="str">
        <f t="shared" si="14"/>
        <v/>
      </c>
      <c r="AD42" s="56" t="str">
        <f t="shared" si="15"/>
        <v/>
      </c>
      <c r="AE42" s="40"/>
      <c r="AF42" s="40"/>
      <c r="AG42" s="40"/>
      <c r="AH42" s="56" t="str">
        <f t="shared" si="16"/>
        <v/>
      </c>
      <c r="AI42" s="54"/>
      <c r="AJ42" s="54"/>
      <c r="AK42" s="54">
        <v>34</v>
      </c>
      <c r="AL42" s="54" t="s">
        <v>69</v>
      </c>
      <c r="AM42" s="54" t="s">
        <v>70</v>
      </c>
    </row>
    <row r="43" spans="1:39">
      <c r="A43" s="96">
        <v>12</v>
      </c>
      <c r="B43" s="45" t="str" cm="1">
        <f t="array" ref="B43">IF(H43="PROJECT", CHAR(10) &amp; "- " &amp; _xlfn.TEXTJOIN(CHAR(10) &amp; "- ", TRUE, _xlfn._xlws.FILTER($I$9:$I$1000, ($C$9:$C$1000=C43) * ($H$9:$H$1000="Topic"))), "")</f>
        <v/>
      </c>
      <c r="C43" s="45">
        <f t="shared" si="0"/>
        <v>6</v>
      </c>
      <c r="D43" s="46">
        <v>5</v>
      </c>
      <c r="E43" s="58" t="s">
        <v>49</v>
      </c>
      <c r="F43" s="48">
        <v>35</v>
      </c>
      <c r="G43" s="49" t="s">
        <v>164</v>
      </c>
      <c r="H43" s="49" t="s">
        <v>51</v>
      </c>
      <c r="I43" s="50" t="s">
        <v>726</v>
      </c>
      <c r="J43" s="51" t="s">
        <v>727</v>
      </c>
      <c r="K43" s="103" t="str">
        <f t="shared" si="1"/>
        <v xml:space="preserve">[ROLE] Friendly tutor specializing in Python | [TOPIC] Enhance application resilience by configuring procedural network retries utilizing httpx.HTTPTransport parameters to automatically re-attempt failed connections based on specific HTTP status codes or unexpected TCP connection drops | [LEVEL] Advanced | [COUNT] 5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#35 | Stage 1 📖 Practice | Python - HTTPX | 📊 Level: Advanced | 🌐 Coding5s.com
**Concept:** Configuring Procedural Retries (urllib3.util.Retry, HTTPAdapter, mount)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application resilience by configuring procedural network retries utilizing httpx.HTTPTransport parameters to automatically re-attempt failed connections based on specific HTTP status codes or unexpected TCP connection drops. Topic details: Configuring Procedural Retries (urllib3.util.Retry, HTTPAdapter, mount)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 HTTPX | 📊 Level: Advanced
**Topic:** Enhance application resilience by configuring procedural network retries utilizing httpx.HTTPTransport parameters to automatically re-attempt failed connections based on specific HTTP status codes or unexpected TCP connection drops
---
 | [FOOTER RULE - STRICT] End your response with: '--- ⚡ *Coding5s Mentor System — Eliminating Epistemic Debt*' | </v>
      </c>
      <c r="M43" s="53">
        <v>0</v>
      </c>
      <c r="N43" s="104" t="str">
        <f t="shared" si="3"/>
        <v>[ROLE] Careless Python Developer | [TASK] Generate debugging challenges in Python | | [TOPIC] Enhance application resilience by configuring procedural network retries utilizing httpx.HTTPTransport parameters to automatically re-attempt failed connections based on specific HTTP status codes or unexpected TCP connection drops | | [LEVEL] Advanced |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#35 | Stage 2 🐛 Debug | Python - HTTPX | 📊 Level: Advanced | 🌐 Coding5s.com
Concept: Configuring Procedural Retries (urllib3.util.Retry, HTTPAdapter, mount)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application resilience by configuring procedural network retries utilizing httpx.HTTPTransport parameters to automatically re-attempt failed connections based on specific HTTP status codes or unexpected TCP connection drops. Topic details: Configuring Procedural Retries (urllib3.util.Retry, HTTPAdapter, mount)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 HTTPX | 📊 Level: Advanced
**Topic:** Enhance application resilience by configuring procedural network retries utilizing httpx.HTTPTransport parameters to automatically re-attempt failed connections based on specific HTTP status codes or unexpected TCP connection drops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4" t="str">
        <f t="shared" si="5"/>
        <v>[ROLE] Tech Lead | [TASK] Assign incomplete Python script challenges | [TOPIC] Enhance application resilience by configuring procedural network retries utilizing httpx.HTTPTransport parameters to automatically re-attempt failed connections based on specific HTTP status codes or unexpected TCP connection drops | [LEVEL] Advanced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#35 | Stage 3 🧩 Complete | Python - HTTPX | 📊 Level: Advanced | 🌐 Coding5s.com
**Concept:** Configuring Procedural Retries (urllib3.util.Retry, HTTPAdapter, mount)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Enhance application resilience by configuring procedural network retries utilizing httpx.HTTPTransport parameters to automatically re-attempt failed connections based on specific HTTP status codes or unexpected TCP connection drops.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application resilience by configuring procedural network retries utilizing httpx.HTTPTransport parameters to automatically re-attempt failed connections based on specific HTTP status codes or unexpected TCP connection drops. Topic details: Configuring Procedural Retries (urllib3.util.Retry, HTTPAdapter, mount)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 HTTPX | 📊 Level: Advanced
**Topic:** Enhance application resilience by configuring procedural network retries utilizing httpx.HTTPTransport parameters to automatically re-attempt failed connections based on specific HTTP status codes or unexpected TCP connection drops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4" t="str">
        <f t="shared" si="7"/>
        <v>[ROLE] Tech Lead | [TASK] Provide intentionally messy but functional code for learning debugging and improvement | [TOPIC] Enhance application resilience by configuring procedural network retries utilizing httpx.HTTPTransport parameters to automatically re-attempt failed connections based on specific HTTP status codes or unexpected TCP connection drops | [LEVEL] Advanced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 HTTPX | 📊 Level: Advanced | 🌐 Coding5s.com
**Concept:** Configuring Procedural Retries (urllib3.util.Retry, HTTPAdapter, mount)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Enhance application resilience by configuring procedural network retries utilizing httpx.HTTPTransport parameters to automatically re-attempt failed connections based on specific HTTP status codes or unexpected TCP connection drops. Topic details: Configuring Procedural Retries (urllib3.util.Retry, HTTPAdapter, mount)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 HTTPX | 📊 Level: Advanced
**Topic:** Enhance application resilience by configuring procedural network retries utilizing httpx.HTTPTransport parameters to automatically re-attempt failed connections based on specific HTTP status codes or unexpected TCP connection drops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8" t="str">
        <f t="shared" si="9"/>
        <v>[ROLE] Tech Product Manager assigning a Python Jira Ticket | [TASK] Provide a guided implementation exercise with full solution for learning purposes | [TOPIC] Enhance application resilience by configuring procedural network retries utilizing httpx.HTTPTransport parameters to automatically re-attempt failed connections based on specific HTTP status codes or unexpected TCP connection drops | [LEVEL] Advanced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 HTTPX | 📊 Level: Advanced | 🌐 Coding5s.com
**Concept:** Configuring Procedural Retries (urllib3.util.Retry, HTTPAdapter, mount)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application resilience by configuring procedural network retries utilizing httpx.HTTPTransport parameters to automatically re-attempt failed connections based on specific HTTP status codes or unexpected TCP connection drops. Goal: Configuring Procedural Retries (urllib3.util.Retry, HTTPAdapter, mount)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 HTTPX | 📊 Level: Advanced
**Topic:** Enhance application resilience by configuring procedural network retries utilizing httpx.HTTPTransport parameters to automatically re-attempt failed connections based on specific HTTP status codes or unexpected TCP connection drops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1"/>
        <v/>
      </c>
      <c r="AA43" s="56" t="str">
        <f t="shared" si="12"/>
        <v/>
      </c>
      <c r="AB43" s="56" t="str">
        <f t="shared" si="13"/>
        <v/>
      </c>
      <c r="AC43" s="56" t="str">
        <f t="shared" si="14"/>
        <v/>
      </c>
      <c r="AD43" s="56" t="str">
        <f t="shared" si="15"/>
        <v/>
      </c>
      <c r="AE43" s="40"/>
      <c r="AF43" s="40"/>
      <c r="AG43" s="40"/>
      <c r="AH43" s="56" t="str">
        <f t="shared" si="16"/>
        <v/>
      </c>
      <c r="AI43" s="54"/>
      <c r="AJ43" s="54"/>
      <c r="AK43" s="54">
        <v>35</v>
      </c>
      <c r="AL43" s="54" t="s">
        <v>75</v>
      </c>
      <c r="AM43" s="54" t="s">
        <v>76</v>
      </c>
    </row>
    <row r="44" spans="1:39">
      <c r="A44" s="96">
        <v>12</v>
      </c>
      <c r="B44" s="45" t="str" cm="1">
        <f t="array" ref="B44">IF(H44="PROJECT", CHAR(10) &amp; "- " &amp; _xlfn.TEXTJOIN(CHAR(10) &amp; "- ", TRUE, _xlfn._xlws.FILTER($I$9:$I$1000, ($C$9:$C$1000=C44) * ($H$9:$H$1000="Topic"))), "")</f>
        <v/>
      </c>
      <c r="C44" s="45">
        <f t="shared" si="0"/>
        <v>6</v>
      </c>
      <c r="D44" s="57">
        <v>5</v>
      </c>
      <c r="E44" s="58" t="s">
        <v>667</v>
      </c>
      <c r="F44" s="59">
        <v>36</v>
      </c>
      <c r="G44" s="60" t="s">
        <v>164</v>
      </c>
      <c r="H44" s="60" t="s">
        <v>51</v>
      </c>
      <c r="I44" s="61" t="s">
        <v>728</v>
      </c>
      <c r="J44" s="62" t="s">
        <v>729</v>
      </c>
      <c r="K44" s="103" t="str">
        <f t="shared" si="1"/>
        <v xml:space="preserve">[ROLE] Friendly tutor specializing in Python | [TOPIC] Access low-level network socket data by reading raw byte streams directly from an active httpx response stream to completely bypass standard library decoders and manipulate unaltered network payloads | [LEVEL] Advanced | [COUNT] 5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#36 | Stage 1 📖 Practice | Python - HTTPX | 📊 Level: Advanced | 🌐 Coding5s.com
**Concept:** Accessing the Underlying Socket Response (response.raw, decode_content)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4"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low-level network socket data by reading raw byte streams directly from an active httpx response stream to completely bypass standard library decoders and manipulate unaltered network payloads. Topic details: Accessing the Underlying Socket Response (response.raw, decode_content)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 HTTPX | 📊 Level: Advanced
**Topic:** Access low-level network socket data by reading raw byte streams directly from an active httpx response stream to completely bypass standard library decoders and manipulate unaltered network payloads
---
 | [FOOTER RULE - STRICT] End your response with: '--- ⚡ *Coding5s Mentor System — Eliminating Epistemic Debt*' | </v>
      </c>
      <c r="M44" s="52">
        <v>0</v>
      </c>
      <c r="N44" s="104" t="str">
        <f t="shared" si="3"/>
        <v>[ROLE] Careless Python Developer | [TASK] Generate debugging challenges in Python | | [TOPIC] Access low-level network socket data by reading raw byte streams directly from an active httpx response stream to completely bypass standard library decoders and manipulate unaltered network payloads | | [LEVEL] Advanced |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#36 | Stage 2 🐛 Debug | Python - HTTPX | 📊 Level: Advanced | 🌐 Coding5s.com
Concept: Accessing the Underlying Socket Response (response.raw, decode_content)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low-level network socket data by reading raw byte streams directly from an active httpx response stream to completely bypass standard library decoders and manipulate unaltered network payloads. Topic details: Accessing the Underlying Socket Response (response.raw, decode_content)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 HTTPX | 📊 Level: Advanced
**Topic:** Access low-level network socket data by reading raw byte streams directly from an active httpx response stream to completely bypass standard library decoders and manipulate unaltered network payloads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4" t="str">
        <f t="shared" si="5"/>
        <v>[ROLE] Tech Lead | [TASK] Assign incomplete Python script challenges | [TOPIC] Access low-level network socket data by reading raw byte streams directly from an active httpx response stream to completely bypass standard library decoders and manipulate unaltered network payloads | [LEVEL] Advanced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#36 | Stage 3 🧩 Complete | Python - HTTPX | 📊 Level: Advanced | 🌐 Coding5s.com
**Concept:** Accessing the Underlying Socket Response (response.raw, decode_content)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low-level network socket data by reading raw byte streams directly from an active httpx response stream to completely bypass standard library decoders and manipulate unaltered network payloads.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low-level network socket data by reading raw byte streams directly from an active httpx response stream to completely bypass standard library decoders and manipulate unaltered network payloads. Topic details: Accessing the Underlying Socket Response (response.raw, decode_content)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 HTTPX | 📊 Level: Advanced
**Topic:** Access low-level network socket data by reading raw byte streams directly from an active httpx response stream to completely bypass standard library decoders and manipulate unaltered network payloads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4" t="str">
        <f t="shared" si="7"/>
        <v>[ROLE] Tech Lead | [TASK] Provide intentionally messy but functional code for learning debugging and improvement | [TOPIC] Access low-level network socket data by reading raw byte streams directly from an active httpx response stream to completely bypass standard library decoders and manipulate unaltered network payloads | [LEVEL] Advanced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Python - HTTPX | 📊 Level: Advanced | 🌐 Coding5s.com
**Concept:** Accessing the Underlying Socket Response (response.raw, decode_content)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Access low-level network socket data by reading raw byte streams directly from an active httpx response stream to completely bypass standard library decoders and manipulate unaltered network payloads. Topic details: Accessing the Underlying Socket Response (response.raw, decode_content)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 HTTPX | 📊 Level: Advanced
**Topic:** Access low-level network socket data by reading raw byte streams directly from an active httpx response stream to completely bypass standard library decoders and manipulate unaltered network payloads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8" t="str">
        <f t="shared" si="9"/>
        <v>[ROLE] Tech Product Manager assigning a Python Jira Ticket | [TASK] Provide a guided implementation exercise with full solution for learning purposes | [TOPIC] Access low-level network socket data by reading raw byte streams directly from an active httpx response stream to completely bypass standard library decoders and manipulate unaltered network payloads | [LEVEL] Advanced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 HTTPX | 📊 Level: Advanced | 🌐 Coding5s.com
**Concept:** Accessing the Underlying Socket Response (response.raw, decode_content)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low-level network socket data by reading raw byte streams directly from an active httpx response stream to completely bypass standard library decoders and manipulate unaltered network payloads. Goal: Accessing the Underlying Socket Response (response.raw, decode_content)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 HTTPX | 📊 Level: Advanced
**Topic:** Access low-level network socket data by reading raw byte streams directly from an active httpx response stream to completely bypass standard library decoders and manipulate unaltered network payloads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1"/>
        <v/>
      </c>
      <c r="AA44" s="56" t="str">
        <f t="shared" si="12"/>
        <v/>
      </c>
      <c r="AB44" s="56" t="str">
        <f t="shared" si="13"/>
        <v/>
      </c>
      <c r="AC44" s="56" t="str">
        <f t="shared" si="14"/>
        <v/>
      </c>
      <c r="AD44" s="56" t="str">
        <f t="shared" si="15"/>
        <v/>
      </c>
      <c r="AE44" s="40"/>
      <c r="AF44" s="40"/>
      <c r="AG44" s="40"/>
      <c r="AH44" s="56" t="str">
        <f t="shared" si="16"/>
        <v/>
      </c>
      <c r="AI44" s="54"/>
      <c r="AJ44" s="54"/>
      <c r="AK44" s="54">
        <v>36</v>
      </c>
      <c r="AL44" s="54" t="s">
        <v>82</v>
      </c>
      <c r="AM44" s="54" t="s">
        <v>83</v>
      </c>
    </row>
    <row r="45" spans="1:39">
      <c r="A45" s="96">
        <v>12</v>
      </c>
      <c r="B45" s="45" t="str" cm="1">
        <f t="array" ref="B45">IF(H45="PROJECT", CHAR(10) &amp; "- " &amp; _xlfn.TEXTJOIN(CHAR(10) &amp; "- ", TRUE, _xlfn._xlws.FILTER($I$9:$I$1000, ($C$9:$C$1000=C45) * ($H$9:$H$1000="Topic"))), "")</f>
        <v/>
      </c>
      <c r="C45" s="45">
        <f t="shared" si="0"/>
        <v>6</v>
      </c>
      <c r="D45" s="46">
        <v>5</v>
      </c>
      <c r="E45" s="58" t="s">
        <v>667</v>
      </c>
      <c r="F45" s="48">
        <v>37</v>
      </c>
      <c r="G45" s="49" t="s">
        <v>164</v>
      </c>
      <c r="H45" s="49" t="s">
        <v>51</v>
      </c>
      <c r="I45" s="50" t="s">
        <v>730</v>
      </c>
      <c r="J45" s="51" t="s">
        <v>731</v>
      </c>
      <c r="K45" s="103" t="str">
        <f t="shared" si="1"/>
        <v xml:space="preserve">[ROLE] Friendly tutor specializing in Python | [TOPIC] Implement deterministic unit tests for network operations by utilizing mocking libraries like respx or pytest-httpx to intercept outgoing httpx requests and inject simulated JSON responses without hitting live endpoints | [LEVEL] Advanced | [COUNT] 5 examples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#37 | Stage 1 📖 Practice | Python - HTTPX | 📊 Level: Advanced | 🌐 Coding5s.com
**Concept:** Testing and Mocking Requests (Using the responses library)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deterministic unit tests for network operations by utilizing mocking libraries like respx or pytest-httpx to intercept outgoing httpx requests and inject simulated JSON responses without hitting live endpoints. Topic details: Testing and Mocking Requests (Using the responses library)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 HTTPX | 📊 Level: Advanced
**Topic:** Implement deterministic unit tests for network operations by utilizing mocking libraries like respx or pytest-httpx to intercept outgoing httpx requests and inject simulated JSON responses without hitting live endpoints
---
 | [FOOTER RULE - STRICT] End your response with: '--- ⚡ *Coding5s Mentor System — Eliminating Epistemic Debt*' | </v>
      </c>
      <c r="M45" s="53">
        <v>0</v>
      </c>
      <c r="N45" s="104" t="str">
        <f t="shared" si="3"/>
        <v>[ROLE] Careless Python Developer | [TASK] Generate debugging challenges in Python | | [TOPIC] Implement deterministic unit tests for network operations by utilizing mocking libraries like respx or pytest-httpx to intercept outgoing httpx requests and inject simulated JSON responses without hitting live endpoints | | [LEVEL] Advanced |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#37 | Stage 2 🐛 Debug | Python - HTTPX | 📊 Level: Advanced | 🌐 Coding5s.com
Concept: Testing and Mocking Requests (Using the responses library)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deterministic unit tests for network operations by utilizing mocking libraries like respx or pytest-httpx to intercept outgoing httpx requests and inject simulated JSON responses without hitting live endpoints. Topic details: Testing and Mocking Requests (Using the responses library)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 HTTPX | 📊 Level: Advanced
**Topic:** Implement deterministic unit tests for network operations by utilizing mocking libraries like respx or pytest-httpx to intercept outgoing httpx requests and inject simulated JSON responses without hitting live endpoints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4" t="str">
        <f t="shared" si="5"/>
        <v>[ROLE] Tech Lead | [TASK] Assign incomplete Python script challenges | [TOPIC] Implement deterministic unit tests for network operations by utilizing mocking libraries like respx or pytest-httpx to intercept outgoing httpx requests and inject simulated JSON responses without hitting live endpoints | [LEVEL] Advanced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#37 | Stage 3 🧩 Complete | Python - HTTPX | 📊 Level: Advanced | 🌐 Coding5s.com
**Concept:** Testing and Mocking Requests (Using the responses library)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deterministic unit tests for network operations by utilizing mocking libraries like respx or pytest-httpx to intercept outgoing httpx requests and inject simulated JSON responses without hitting live endpoints.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deterministic unit tests for network operations by utilizing mocking libraries like respx or pytest-httpx to intercept outgoing httpx requests and inject simulated JSON responses without hitting live endpoints. Topic details: Testing and Mocking Requests (Using the responses library)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 HTTPX | 📊 Level: Advanced
**Topic:** Implement deterministic unit tests for network operations by utilizing mocking libraries like respx or pytest-httpx to intercept outgoing httpx requests and inject simulated JSON responses without hitting live endpoints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4" t="str">
        <f t="shared" si="7"/>
        <v>[ROLE] Tech Lead | [TASK] Provide intentionally messy but functional code for learning debugging and improvement | [TOPIC] Implement deterministic unit tests for network operations by utilizing mocking libraries like respx or pytest-httpx to intercept outgoing httpx requests and inject simulated JSON responses without hitting live endpoints | [LEVEL] Advanced | [COUNT] 5 challenges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Python - HTTPX | 📊 Level: Advanced | 🌐 Coding5s.com
**Concept:** Testing and Mocking Requests (Using the responses library)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deterministic unit tests for network operations by utilizing mocking libraries like respx or pytest-httpx to intercept outgoing httpx requests and inject simulated JSON responses without hitting live endpoints. Topic details: Testing and Mocking Requests (Using the responses library)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 HTTPX | 📊 Level: Advanced
**Topic:** Implement deterministic unit tests for network operations by utilizing mocking libraries like respx or pytest-httpx to intercept outgoing httpx requests and inject simulated JSON responses without hitting live endpoints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8" t="str">
        <f t="shared" si="9"/>
        <v>[ROLE] Tech Product Manager assigning a Python Jira Ticket | [TASK] Provide a guided implementation exercise with full solution for learning purposes | [TOPIC] Implement deterministic unit tests for network operations by utilizing mocking libraries like respx or pytest-httpx to intercept outgoing httpx requests and inject simulated JSON responses without hitting live endpoints | [LEVEL] Advanced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 HTTPX | 📊 Level: Advanced | 🌐 Coding5s.com
**Concept:** Testing and Mocking Requests (Using the responses library)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deterministic unit tests for network operations by utilizing mocking libraries like respx or pytest-httpx to intercept outgoing httpx requests and inject simulated JSON responses without hitting live endpoints. Goal: Testing and Mocking Requests (Using the responses library)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 HTTPX | 📊 Level: Advanced
**Topic:** Implement deterministic unit tests for network operations by utilizing mocking libraries like respx or pytest-httpx to intercept outgoing httpx requests and inject simulated JSON responses without hitting live endpoints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11"/>
        <v/>
      </c>
      <c r="AA45" s="56" t="str">
        <f t="shared" si="12"/>
        <v/>
      </c>
      <c r="AB45" s="56" t="str">
        <f t="shared" si="13"/>
        <v/>
      </c>
      <c r="AC45" s="56" t="str">
        <f t="shared" si="14"/>
        <v/>
      </c>
      <c r="AD45" s="56" t="str">
        <f t="shared" si="15"/>
        <v/>
      </c>
      <c r="AE45" s="40"/>
      <c r="AF45" s="40"/>
      <c r="AG45" s="40"/>
      <c r="AH45" s="56" t="str">
        <f t="shared" si="16"/>
        <v/>
      </c>
      <c r="AI45" s="54"/>
      <c r="AJ45" s="54"/>
      <c r="AK45" s="54">
        <v>37</v>
      </c>
      <c r="AL45" s="54" t="s">
        <v>87</v>
      </c>
      <c r="AM45" s="54" t="s">
        <v>88</v>
      </c>
    </row>
    <row r="46" spans="1:39">
      <c r="A46" s="96" t="s">
        <v>80</v>
      </c>
      <c r="B46" s="45" t="str" cm="1">
        <f t="array" ref="B46">IF(H46="PROJECT", CHAR(10) &amp; "- " &amp; _xlfn.TEXTJOIN(CHAR(10) &amp; "- ", TRUE, _xlfn._xlws.FILTER($I$9:$I$1000, ($C$9:$C$1000=C46) * ($H$9:$H$1000="Topic"))), "")</f>
        <v xml:space="preserve">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v>
      </c>
      <c r="C46" s="45">
        <f t="shared" si="0"/>
        <v>6</v>
      </c>
      <c r="D46" s="57">
        <v>0</v>
      </c>
      <c r="E46" s="58" t="s">
        <v>667</v>
      </c>
      <c r="F46" s="59">
        <v>38</v>
      </c>
      <c r="G46" s="60" t="s">
        <v>164</v>
      </c>
      <c r="H46" s="60" t="s">
        <v>81</v>
      </c>
      <c r="I46" s="61" t="s">
        <v>732</v>
      </c>
      <c r="J46" s="62" t="s">
        <v>733</v>
      </c>
      <c r="K46" s="103" t="str">
        <f t="shared" si="1"/>
        <v>[TASK] Teach through a practical Python - HTTPX project following the micro-learning methodology, acting as a supportive tutor, creating a project about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#38 | Stage 1 | Python - HTTPX | 📊 Level: Advanced | 🌐 Coding5s.com
**Project:** Project 6: Resilient Data Pipeline (Prepared requests, hooks, retries, mocking)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6" s="105" t="str">
        <f t="shared" si="2"/>
        <v xml:space="preserve">[MENTOR_S1_SAFE_GUIDE] Act as 'The Safe Guide' (El Hermano Mayor) - a World-Class Elite Technical Mentor for Stage 1 Practice specializing in Python - HTTPX.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Topics applied in this project: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Project objective: Project 6: Resilient Data Pipeline (Prepared requests, hooks, retries, mocking)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#38 | Practice | Python - HTTPX | 📊 Level: Advanced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 [FOOTER RULE - STRICT] End your response with: '--- ⚡ *Coding5s Mentor System — Eliminating Epistemic Debt*' | </v>
      </c>
      <c r="M46" s="52">
        <v>0</v>
      </c>
      <c r="N46" s="104" t="str">
        <f t="shared" si="3"/>
        <v>[ROLE] Careless Python Developer | [TASK] Generate debugging project in Python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[OUTPUT] Only header, dataset summary or statement (if any), email intro, objective, expected output, broken code, and footer | [HEADER RULE - STRICT] You MUST start your entire response EXACTLY with this markdown block (do not print anything before it):
### 🚀 Project #38 | Stage 2 | Python - HTTPX | 📊 Level: Advanced | 🌐 Coding5s.com
Project: Project 6: Resilient Data Pipeline (Prepared requests, hooks, retries, mocking)
---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Topics involved: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Project objective: Project 6: Resilient Data Pipeline (Prepared requests, hooks, retries, mocking) | [TASK] Analyze the student's code, explanation, and error. If the code is already fixed and correct, recognize their 'debugging skill' and provide a 'Pro-Tip' for prevention.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#38 | Debug | Python - HTTPX | 📊 Level: Advanced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4" t="str">
        <f t="shared" si="5"/>
        <v>[ROLE] Tech Lead | [TASK] Assign incomplete project script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#38 | Stage 3 | Python - HTTPX | 📊 Level: Advanced | 🌐 Coding5s.com
**Project:** Project 6: Resilient Data Pipeline (Prepared requests, hooks, retries, mocking)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Topics involved: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Project objective: Project 6: Resilient Data Pipeline (Prepared requests, hooks, retries, mocking) | [TASK] Analyze the student's code and explanation. If they completed the data flow perfectly, celebrate the 'solid foundation' and offer a 'System Extension' challenge.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#38 | Complete | Python - HTTPX | 📊 Level: Advanced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4" t="str">
        <f t="shared" si="7"/>
        <v>[ROLE] Tech Lead | [TASK] Provide a messy but functional project for refactoring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[PERSONA RULE] Act as a Tech Lead. A junior wrote this working but messy code. Tone: professional but exhausted | [HEADER RULE - STRICT] You MUST start your entire response EXACTLY with this markdown block (do not print anything before it):
### 🚀 Project #38 | Stage 4 | Python - HTTPX | 📊 Level: Advanced | 🌐 Coding5s.com
**Project:** Project 6: Resilient Data Pipeline (Prepared requests, hooks, retries, mocking)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Topics involved: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Project objective: Project 6: Resilient Data Pipeline (Prepared requests, hooks, retries, mocking)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#38 | Refactor | Python - HTTPX | 📊 Level: Advanced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8" t="str">
        <f t="shared" si="9"/>
        <v>[ROLE] Tech Product Manager assigning a Python Jira Ticket | [TASK] Provide a guided project implementation with full solution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[PERSONA RULE] Act as a professional Tech Product Manager defining a project ticket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#38 | Stage 5 | Python - HTTPX | 📊 Level: Advanced | 🌐 Coding5s.com
**Project:** Project 6: Resilient Data Pipeline (Prepared requests, hooks, retries, mocking)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Topics integrated: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Business Goal: Project 6: Resilient Data Pipeline (Prepared requests, hooks, retries, mocking)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#38 | Extend | Python - HTTPX | 📊 Level: Advanced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11"/>
        <v>[TASK] Teach through a practical Python - HTTPX project following the micro-learning methodology, acting as a supportive tutor, creating a project about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#38 | Stage 1 | Python - HTTPX | 📊 Level: Advanced | 🌐 Coding5s.com
**Project:** Project 6: Resilient Data Pipeline (Prepared requests, hooks, retries, mocking)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6" s="56" t="str">
        <f t="shared" si="12"/>
        <v>[ROLE] Careless Python Developer | [TASK] Generate debugging project in Python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[OUTPUT] Only header, dataset summary or statement (if any), email intro, objective, expected output, broken code, and footer | [HEADER RULE - STRICT] You MUST start your entire response EXACTLY with this markdown block (do not print anything before it):
### 🚀 Project #38 | Stage 2 | Python - HTTPX | 📊 Level: Advanced | 🌐 Coding5s.com
Project: Project 6: Resilient Data Pipeline (Prepared requests, hooks, retries, mocking)
---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6" s="56" t="str">
        <f t="shared" si="13"/>
        <v>[ROLE] Tech Lead | [TASK] Assign incomplete project script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#38 | Stage 3 | Python - HTTPX | 📊 Level: Advanced | 🌐 Coding5s.com
**Project:** Project 6: Resilient Data Pipeline (Prepared requests, hooks, retries, mocking)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6" s="56" t="str">
        <f t="shared" si="14"/>
        <v>[ROLE] Tech Lead | [TASK] Provide a messy but functional project for refactoring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[PERSONA RULE] Act as a Tech Lead. A junior wrote this working but messy code. Tone: professional but exhausted | [HEADER RULE - STRICT] You MUST start your entire response EXACTLY with this markdown block (do not print anything before it):
### 🚀 Project #38 | Stage 4 | Python - HTTPX | 📊 Level: Advanced | 🌐 Coding5s.com
**Project:** Project 6: Resilient Data Pipeline (Prepared requests, hooks, retries, mocking)
---
 | [LIBRARY BEING LEARNED] HTTPX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6" s="56" t="str">
        <f t="shared" si="15"/>
        <v>[ROLE] Tech Product Manager assigning a Python Jira Ticket | [TASK] Provide a guided project implementation with full solution | [PROJECT] Build a highly resilient data pipeline architecture that takes configuration files as input, processes manually crafted httpx.Request objects featuring configured transport retries and event monitoring hooks, and outputs verified datasets validated entirely through comprehensive mocked network unit tests | [TOPICS USED] 
- Consume continuous Server-Sent Events (SSE) and live text streams by utilizing the httpx.stream() context manager and continuously iterating over the active response using the .iter_lines() generator method
- Instrument advanced network monitoring by attaching custom Python callback functions to the event_hooks dictionary in httpx clients to automatically log, measure, or inspect HTTP responses asynchronously immediately upon receipt
- Craft and construct HTTP requests manually by instantiating raw httpx.Request objects and explicitly dispatching them using the client.send() method to achieve granular programmatic control over the entire network transmission lifecycle
- Enhance application resilience by configuring procedural network retries utilizing httpx.HTTPTransport parameters to automatically re-attempt failed connections based on specific HTTP status codes or unexpected TCP connection drops
- Access low-level network socket data by reading raw byte streams directly from an active httpx response stream to completely bypass standard library decoders and manipulate unaltered network payloads
- Implement deterministic unit tests for network operations by utilizing mocking libraries like respx or pytest-httpx to intercept outgoing httpx requests and inject simulated JSON responses without hitting live endpoints | [LEVEL] Advanced | [PERSONA RULE] Act as a professional Tech Product Manager defining a project ticket | [LIBRARY BEING LEARNED] HTTPX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#38 | Stage 5 | Python - HTTPX | 📊 Level: Advanced | 🌐 Coding5s.com
**Project:** Project 6: Resilient Data Pipeline (Prepared requests, hooks, retries, mocking)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6" s="40"/>
      <c r="AF46" s="40"/>
      <c r="AG46" s="40"/>
      <c r="AH46" s="56" t="str">
        <f t="shared" si="16"/>
        <v/>
      </c>
      <c r="AI46" s="54"/>
      <c r="AJ46" s="54"/>
      <c r="AK46" s="54">
        <v>38</v>
      </c>
      <c r="AL46" s="54" t="s">
        <v>93</v>
      </c>
      <c r="AM46" s="54" t="s">
        <v>94</v>
      </c>
    </row>
    <row r="47" spans="1:39">
      <c r="A47" s="96"/>
      <c r="B47" s="45" t="str" cm="1">
        <f t="array" ref="B47">IF(H47="PROJECT", CHAR(10) &amp; "- " &amp; _xlfn.TEXTJOIN(CHAR(10) &amp; "- ", TRUE, _xlfn._xlws.FILTER($I$9:$I$1000, ($C$9:$C$1000=C47) * ($H$9:$H$1000="Topic"))), "")</f>
        <v/>
      </c>
      <c r="C47" s="45">
        <f t="shared" si="0"/>
        <v>7</v>
      </c>
      <c r="D47" s="46"/>
      <c r="E47" s="58"/>
      <c r="F47" s="48"/>
      <c r="G47" s="49"/>
      <c r="H47" s="49"/>
      <c r="I47" s="50"/>
      <c r="J47" s="51"/>
      <c r="K47" s="103" t="str">
        <f t="shared" si="1"/>
        <v/>
      </c>
      <c r="L47" s="105" t="str">
        <f t="shared" si="2"/>
        <v/>
      </c>
      <c r="M47" s="53">
        <v>0</v>
      </c>
      <c r="N47" s="104" t="str">
        <f t="shared" si="3"/>
        <v/>
      </c>
      <c r="O47" s="105" t="str">
        <f t="shared" si="4"/>
        <v/>
      </c>
      <c r="P47" s="53">
        <v>0</v>
      </c>
      <c r="Q47" s="104" t="str">
        <f t="shared" si="5"/>
        <v/>
      </c>
      <c r="R47" s="105" t="str">
        <f t="shared" si="6"/>
        <v/>
      </c>
      <c r="S47" s="53">
        <v>0</v>
      </c>
      <c r="T47" s="104" t="str">
        <f t="shared" si="7"/>
        <v/>
      </c>
      <c r="U47" s="105" t="str">
        <f t="shared" si="8"/>
        <v/>
      </c>
      <c r="V47" s="53">
        <v>0</v>
      </c>
      <c r="W47" s="88" t="str">
        <f t="shared" si="9"/>
        <v/>
      </c>
      <c r="X47" s="105" t="str">
        <f t="shared" si="10"/>
        <v/>
      </c>
      <c r="Y47" s="53">
        <v>0</v>
      </c>
      <c r="Z47" s="56" t="str">
        <f t="shared" si="11"/>
        <v/>
      </c>
      <c r="AA47" s="56" t="str">
        <f t="shared" si="12"/>
        <v/>
      </c>
      <c r="AB47" s="56" t="str">
        <f t="shared" si="13"/>
        <v/>
      </c>
      <c r="AC47" s="56" t="str">
        <f t="shared" si="14"/>
        <v/>
      </c>
      <c r="AD47" s="56" t="str">
        <f t="shared" si="15"/>
        <v/>
      </c>
      <c r="AE47" s="40"/>
      <c r="AF47" s="40"/>
      <c r="AG47" s="40"/>
      <c r="AH47" s="56" t="str">
        <f t="shared" si="16"/>
        <v/>
      </c>
      <c r="AI47" s="54"/>
      <c r="AJ47" s="54"/>
      <c r="AK47" s="54">
        <v>39</v>
      </c>
      <c r="AL47" s="54" t="s">
        <v>98</v>
      </c>
      <c r="AM47" s="54" t="s">
        <v>99</v>
      </c>
    </row>
    <row r="48" spans="1:39">
      <c r="A48" s="96"/>
      <c r="B48" s="45" t="str" cm="1">
        <f t="array" ref="B48">IF(H48="PROJECT", CHAR(10) &amp; "- " &amp; _xlfn.TEXTJOIN(CHAR(10) &amp; "- ", TRUE, _xlfn._xlws.FILTER($I$9:$I$1000, ($C$9:$C$1000=C48) * ($H$9:$H$1000="Topic"))), "")</f>
        <v/>
      </c>
      <c r="C48" s="45">
        <f t="shared" si="0"/>
        <v>8</v>
      </c>
      <c r="D48" s="57"/>
      <c r="E48" s="58"/>
      <c r="F48" s="59"/>
      <c r="G48" s="60"/>
      <c r="H48" s="60"/>
      <c r="I48" s="61"/>
      <c r="J48" s="62"/>
      <c r="K48" s="103" t="str">
        <f t="shared" si="1"/>
        <v/>
      </c>
      <c r="L48" s="105" t="str">
        <f t="shared" si="2"/>
        <v/>
      </c>
      <c r="M48" s="52">
        <v>0</v>
      </c>
      <c r="N48" s="104" t="str">
        <f t="shared" si="3"/>
        <v/>
      </c>
      <c r="O48" s="105" t="str">
        <f t="shared" si="4"/>
        <v/>
      </c>
      <c r="P48" s="52">
        <v>0</v>
      </c>
      <c r="Q48" s="104" t="str">
        <f t="shared" si="5"/>
        <v/>
      </c>
      <c r="R48" s="105" t="str">
        <f t="shared" si="6"/>
        <v/>
      </c>
      <c r="S48" s="52">
        <v>0</v>
      </c>
      <c r="T48" s="104" t="str">
        <f t="shared" si="7"/>
        <v/>
      </c>
      <c r="U48" s="105" t="str">
        <f t="shared" si="8"/>
        <v/>
      </c>
      <c r="V48" s="52">
        <v>0</v>
      </c>
      <c r="W48" s="88" t="str">
        <f t="shared" si="9"/>
        <v/>
      </c>
      <c r="X48" s="105" t="str">
        <f t="shared" si="10"/>
        <v/>
      </c>
      <c r="Y48" s="52">
        <v>0</v>
      </c>
      <c r="Z48" s="56" t="str">
        <f t="shared" si="11"/>
        <v/>
      </c>
      <c r="AA48" s="56" t="str">
        <f t="shared" si="12"/>
        <v/>
      </c>
      <c r="AB48" s="56" t="str">
        <f t="shared" si="13"/>
        <v/>
      </c>
      <c r="AC48" s="56" t="str">
        <f t="shared" si="14"/>
        <v/>
      </c>
      <c r="AD48" s="56" t="str">
        <f t="shared" si="15"/>
        <v/>
      </c>
      <c r="AE48" s="40"/>
      <c r="AF48" s="40"/>
      <c r="AG48" s="40"/>
      <c r="AH48" s="56" t="str">
        <f t="shared" si="16"/>
        <v/>
      </c>
      <c r="AI48" s="54"/>
      <c r="AJ48" s="54"/>
      <c r="AK48" s="54">
        <v>40</v>
      </c>
      <c r="AL48" s="54" t="s">
        <v>103</v>
      </c>
      <c r="AM48" s="54" t="s">
        <v>104</v>
      </c>
    </row>
    <row r="49" spans="1:39">
      <c r="A49" s="96"/>
      <c r="B49" s="45" t="str" cm="1">
        <f t="array" ref="B49">IF(H49="PROJECT", CHAR(10) &amp; "- " &amp; _xlfn.TEXTJOIN(CHAR(10) &amp; "- ", TRUE, _xlfn._xlws.FILTER($I$9:$I$1000, ($C$9:$C$1000=C49) * ($H$9:$H$1000="Topic"))), "")</f>
        <v/>
      </c>
      <c r="C49" s="45">
        <f t="shared" si="0"/>
        <v>9</v>
      </c>
      <c r="D49" s="46"/>
      <c r="E49" s="58"/>
      <c r="F49" s="48"/>
      <c r="G49" s="49"/>
      <c r="H49" s="49"/>
      <c r="I49" s="50"/>
      <c r="J49" s="51"/>
      <c r="K49" s="103" t="str">
        <f t="shared" si="1"/>
        <v/>
      </c>
      <c r="L49" s="105" t="str">
        <f t="shared" si="2"/>
        <v/>
      </c>
      <c r="M49" s="53">
        <v>0</v>
      </c>
      <c r="N49" s="104" t="str">
        <f t="shared" si="3"/>
        <v/>
      </c>
      <c r="O49" s="105" t="str">
        <f t="shared" si="4"/>
        <v/>
      </c>
      <c r="P49" s="53">
        <v>0</v>
      </c>
      <c r="Q49" s="104" t="str">
        <f t="shared" si="5"/>
        <v/>
      </c>
      <c r="R49" s="105" t="str">
        <f t="shared" si="6"/>
        <v/>
      </c>
      <c r="S49" s="53">
        <v>0</v>
      </c>
      <c r="T49" s="104" t="str">
        <f t="shared" si="7"/>
        <v/>
      </c>
      <c r="U49" s="105" t="str">
        <f t="shared" si="8"/>
        <v/>
      </c>
      <c r="V49" s="53">
        <v>0</v>
      </c>
      <c r="W49" s="88" t="str">
        <f t="shared" si="9"/>
        <v/>
      </c>
      <c r="X49" s="105" t="str">
        <f t="shared" si="10"/>
        <v/>
      </c>
      <c r="Y49" s="53">
        <v>0</v>
      </c>
      <c r="Z49" s="56" t="str">
        <f t="shared" si="11"/>
        <v/>
      </c>
      <c r="AA49" s="56" t="str">
        <f t="shared" si="12"/>
        <v/>
      </c>
      <c r="AB49" s="56" t="str">
        <f t="shared" si="13"/>
        <v/>
      </c>
      <c r="AC49" s="56" t="str">
        <f t="shared" si="14"/>
        <v/>
      </c>
      <c r="AD49" s="56" t="str">
        <f t="shared" si="15"/>
        <v/>
      </c>
      <c r="AE49" s="40"/>
      <c r="AF49" s="40"/>
      <c r="AG49" s="40"/>
      <c r="AH49" s="56" t="str">
        <f t="shared" si="16"/>
        <v/>
      </c>
      <c r="AI49" s="54"/>
      <c r="AJ49" s="54"/>
      <c r="AK49" s="54"/>
      <c r="AL49" s="54"/>
      <c r="AM49" s="54"/>
    </row>
    <row r="50" spans="1:39">
      <c r="A50" s="96"/>
      <c r="B50" s="45" t="str" cm="1">
        <f t="array" ref="B50">IF(H50="PROJECT", CHAR(10) &amp; "- " &amp; _xlfn.TEXTJOIN(CHAR(10) &amp; "- ", TRUE, _xlfn._xlws.FILTER($I$9:$I$1000, ($C$9:$C$1000=C50) * ($H$9:$H$1000="Topic"))), "")</f>
        <v/>
      </c>
      <c r="C50" s="45">
        <f t="shared" si="0"/>
        <v>10</v>
      </c>
      <c r="D50" s="57"/>
      <c r="E50" s="58"/>
      <c r="F50" s="59"/>
      <c r="G50" s="60"/>
      <c r="H50" s="60"/>
      <c r="I50" s="61"/>
      <c r="J50" s="62"/>
      <c r="K50" s="103" t="str">
        <f t="shared" si="1"/>
        <v/>
      </c>
      <c r="L50" s="105" t="str">
        <f t="shared" si="2"/>
        <v/>
      </c>
      <c r="M50" s="52">
        <v>0</v>
      </c>
      <c r="N50" s="104" t="str">
        <f t="shared" si="3"/>
        <v/>
      </c>
      <c r="O50" s="105" t="str">
        <f t="shared" si="4"/>
        <v/>
      </c>
      <c r="P50" s="52">
        <v>0</v>
      </c>
      <c r="Q50" s="104" t="str">
        <f t="shared" si="5"/>
        <v/>
      </c>
      <c r="R50" s="105" t="str">
        <f t="shared" si="6"/>
        <v/>
      </c>
      <c r="S50" s="52">
        <v>0</v>
      </c>
      <c r="T50" s="104" t="str">
        <f t="shared" si="7"/>
        <v/>
      </c>
      <c r="U50" s="105" t="str">
        <f t="shared" si="8"/>
        <v/>
      </c>
      <c r="V50" s="52">
        <v>0</v>
      </c>
      <c r="W50" s="88" t="str">
        <f t="shared" si="9"/>
        <v/>
      </c>
      <c r="X50" s="105" t="str">
        <f t="shared" si="10"/>
        <v/>
      </c>
      <c r="Y50" s="52">
        <v>0</v>
      </c>
      <c r="Z50" s="56" t="str">
        <f t="shared" si="11"/>
        <v/>
      </c>
      <c r="AA50" s="56" t="str">
        <f t="shared" si="12"/>
        <v/>
      </c>
      <c r="AB50" s="56" t="str">
        <f t="shared" si="13"/>
        <v/>
      </c>
      <c r="AC50" s="56" t="str">
        <f t="shared" si="14"/>
        <v/>
      </c>
      <c r="AD50" s="56" t="str">
        <f t="shared" si="15"/>
        <v/>
      </c>
      <c r="AE50" s="40"/>
      <c r="AF50" s="40"/>
      <c r="AG50" s="40"/>
      <c r="AH50" s="56" t="str">
        <f t="shared" si="16"/>
        <v/>
      </c>
      <c r="AI50" s="54"/>
      <c r="AJ50" s="54"/>
      <c r="AK50" s="54"/>
      <c r="AL50" s="54"/>
      <c r="AM50" s="54"/>
    </row>
    <row r="51" spans="1:39">
      <c r="A51" s="96"/>
      <c r="B51" s="45" t="str" cm="1">
        <f t="array" ref="B51">IF(H51="PROJECT", CHAR(10) &amp; "- " &amp; _xlfn.TEXTJOIN(CHAR(10) &amp; "- ", TRUE, _xlfn._xlws.FILTER($I$9:$I$1000, ($C$9:$C$1000=C51) * ($H$9:$H$1000="Topic"))), "")</f>
        <v/>
      </c>
      <c r="C51" s="45">
        <f t="shared" si="0"/>
        <v>11</v>
      </c>
      <c r="D51" s="46"/>
      <c r="E51" s="58"/>
      <c r="F51" s="48"/>
      <c r="G51" s="49"/>
      <c r="H51" s="49"/>
      <c r="I51" s="50"/>
      <c r="J51" s="51"/>
      <c r="K51" s="103" t="str">
        <f t="shared" si="1"/>
        <v/>
      </c>
      <c r="L51" s="105" t="str">
        <f t="shared" si="2"/>
        <v/>
      </c>
      <c r="M51" s="53">
        <v>0</v>
      </c>
      <c r="N51" s="104" t="str">
        <f t="shared" si="3"/>
        <v/>
      </c>
      <c r="O51" s="105" t="str">
        <f t="shared" si="4"/>
        <v/>
      </c>
      <c r="P51" s="53">
        <v>0</v>
      </c>
      <c r="Q51" s="104" t="str">
        <f t="shared" si="5"/>
        <v/>
      </c>
      <c r="R51" s="105" t="str">
        <f t="shared" si="6"/>
        <v/>
      </c>
      <c r="S51" s="53">
        <v>0</v>
      </c>
      <c r="T51" s="104" t="str">
        <f t="shared" si="7"/>
        <v/>
      </c>
      <c r="U51" s="105" t="str">
        <f t="shared" si="8"/>
        <v/>
      </c>
      <c r="V51" s="53">
        <v>0</v>
      </c>
      <c r="W51" s="88" t="str">
        <f t="shared" si="9"/>
        <v/>
      </c>
      <c r="X51" s="105" t="str">
        <f t="shared" si="10"/>
        <v/>
      </c>
      <c r="Y51" s="53">
        <v>0</v>
      </c>
      <c r="Z51" s="56" t="str">
        <f t="shared" si="11"/>
        <v/>
      </c>
      <c r="AA51" s="56" t="str">
        <f t="shared" si="12"/>
        <v/>
      </c>
      <c r="AB51" s="56" t="str">
        <f t="shared" si="13"/>
        <v/>
      </c>
      <c r="AC51" s="56" t="str">
        <f t="shared" si="14"/>
        <v/>
      </c>
      <c r="AD51" s="56" t="str">
        <f t="shared" si="15"/>
        <v/>
      </c>
      <c r="AE51" s="40"/>
      <c r="AF51" s="40"/>
      <c r="AG51" s="40"/>
      <c r="AH51" s="56" t="str">
        <f t="shared" si="16"/>
        <v/>
      </c>
      <c r="AI51" s="54"/>
      <c r="AJ51" s="54"/>
      <c r="AK51" s="54"/>
      <c r="AL51" s="54"/>
      <c r="AM51" s="54"/>
    </row>
    <row r="52" spans="1:39">
      <c r="A52" s="96"/>
      <c r="B52" s="45" t="str" cm="1">
        <f t="array" ref="B52">IF(H52="PROJECT", CHAR(10) &amp; "- " &amp; _xlfn.TEXTJOIN(CHAR(10) &amp; "- ", TRUE, _xlfn._xlws.FILTER($I$9:$I$1000, ($C$9:$C$1000=C52) * ($H$9:$H$1000="Topic"))), "")</f>
        <v/>
      </c>
      <c r="C52" s="45">
        <f t="shared" si="0"/>
        <v>12</v>
      </c>
      <c r="D52" s="57"/>
      <c r="E52" s="58"/>
      <c r="F52" s="59"/>
      <c r="G52" s="60"/>
      <c r="H52" s="60"/>
      <c r="I52" s="61"/>
      <c r="J52" s="62"/>
      <c r="K52" s="103" t="str">
        <f t="shared" si="1"/>
        <v/>
      </c>
      <c r="L52" s="105" t="str">
        <f t="shared" si="2"/>
        <v/>
      </c>
      <c r="M52" s="52">
        <v>0</v>
      </c>
      <c r="N52" s="104" t="str">
        <f t="shared" si="3"/>
        <v/>
      </c>
      <c r="O52" s="105" t="str">
        <f t="shared" si="4"/>
        <v/>
      </c>
      <c r="P52" s="52">
        <v>0</v>
      </c>
      <c r="Q52" s="104" t="str">
        <f t="shared" si="5"/>
        <v/>
      </c>
      <c r="R52" s="105" t="str">
        <f t="shared" si="6"/>
        <v/>
      </c>
      <c r="S52" s="52">
        <v>0</v>
      </c>
      <c r="T52" s="104" t="str">
        <f t="shared" si="7"/>
        <v/>
      </c>
      <c r="U52" s="105" t="str">
        <f t="shared" si="8"/>
        <v/>
      </c>
      <c r="V52" s="52">
        <v>0</v>
      </c>
      <c r="W52" s="88" t="str">
        <f t="shared" si="9"/>
        <v/>
      </c>
      <c r="X52" s="105" t="str">
        <f t="shared" si="10"/>
        <v/>
      </c>
      <c r="Y52" s="52">
        <v>0</v>
      </c>
      <c r="Z52" s="56" t="str">
        <f t="shared" si="11"/>
        <v/>
      </c>
      <c r="AA52" s="56" t="str">
        <f t="shared" si="12"/>
        <v/>
      </c>
      <c r="AB52" s="56" t="str">
        <f t="shared" si="13"/>
        <v/>
      </c>
      <c r="AC52" s="56" t="str">
        <f t="shared" si="14"/>
        <v/>
      </c>
      <c r="AD52" s="56" t="str">
        <f t="shared" si="15"/>
        <v/>
      </c>
      <c r="AE52" s="40"/>
      <c r="AF52" s="40"/>
      <c r="AG52" s="40"/>
      <c r="AH52" s="56" t="str">
        <f t="shared" si="16"/>
        <v/>
      </c>
      <c r="AI52" s="54"/>
      <c r="AJ52" s="54"/>
      <c r="AK52" s="54"/>
      <c r="AL52" s="54"/>
      <c r="AM52" s="54"/>
    </row>
    <row r="53" spans="1:39">
      <c r="A53" s="96"/>
      <c r="B53" s="45" t="str" cm="1">
        <f t="array" ref="B53">IF(H53="PROJECT", CHAR(10) &amp; "- " &amp; _xlfn.TEXTJOIN(CHAR(10) &amp; "- ", TRUE, _xlfn._xlws.FILTER($I$9:$I$1000, ($C$9:$C$1000=C53) * ($H$9:$H$1000="Topic"))), "")</f>
        <v/>
      </c>
      <c r="C53" s="45">
        <f t="shared" si="0"/>
        <v>13</v>
      </c>
      <c r="D53" s="46"/>
      <c r="E53" s="58"/>
      <c r="F53" s="48"/>
      <c r="G53" s="49"/>
      <c r="H53" s="49"/>
      <c r="I53" s="50"/>
      <c r="J53" s="51"/>
      <c r="K53" s="103" t="str">
        <f t="shared" si="1"/>
        <v/>
      </c>
      <c r="L53" s="105" t="str">
        <f t="shared" si="2"/>
        <v/>
      </c>
      <c r="M53" s="53">
        <v>0</v>
      </c>
      <c r="N53" s="104" t="str">
        <f t="shared" si="3"/>
        <v/>
      </c>
      <c r="O53" s="105" t="str">
        <f t="shared" si="4"/>
        <v/>
      </c>
      <c r="P53" s="53">
        <v>0</v>
      </c>
      <c r="Q53" s="104" t="str">
        <f t="shared" si="5"/>
        <v/>
      </c>
      <c r="R53" s="105" t="str">
        <f t="shared" si="6"/>
        <v/>
      </c>
      <c r="S53" s="53">
        <v>0</v>
      </c>
      <c r="T53" s="104" t="str">
        <f t="shared" si="7"/>
        <v/>
      </c>
      <c r="U53" s="105" t="str">
        <f t="shared" si="8"/>
        <v/>
      </c>
      <c r="V53" s="53">
        <v>0</v>
      </c>
      <c r="W53" s="88" t="str">
        <f t="shared" si="9"/>
        <v/>
      </c>
      <c r="X53" s="105" t="str">
        <f t="shared" si="10"/>
        <v/>
      </c>
      <c r="Y53" s="53">
        <v>0</v>
      </c>
      <c r="Z53" s="56" t="str">
        <f t="shared" si="11"/>
        <v/>
      </c>
      <c r="AA53" s="56" t="str">
        <f t="shared" si="12"/>
        <v/>
      </c>
      <c r="AB53" s="56" t="str">
        <f t="shared" si="13"/>
        <v/>
      </c>
      <c r="AC53" s="56" t="str">
        <f t="shared" si="14"/>
        <v/>
      </c>
      <c r="AD53" s="56" t="str">
        <f t="shared" si="15"/>
        <v/>
      </c>
      <c r="AE53" s="40"/>
      <c r="AF53" s="40"/>
      <c r="AG53" s="40"/>
      <c r="AH53" s="56" t="str">
        <f t="shared" si="16"/>
        <v/>
      </c>
      <c r="AI53" s="54"/>
      <c r="AJ53" s="54"/>
      <c r="AK53" s="54"/>
      <c r="AL53" s="54"/>
      <c r="AM53" s="54"/>
    </row>
    <row r="54" spans="1:39">
      <c r="A54" s="96"/>
      <c r="B54" s="45" t="str" cm="1">
        <f t="array" ref="B54">IF(H54="PROJECT", CHAR(10) &amp; "- " &amp; _xlfn.TEXTJOIN(CHAR(10) &amp; "- ", TRUE, _xlfn._xlws.FILTER($I$9:$I$1000, ($C$9:$C$1000=C54) * ($H$9:$H$1000="Topic"))), "")</f>
        <v/>
      </c>
      <c r="C54" s="45">
        <f t="shared" si="0"/>
        <v>14</v>
      </c>
      <c r="D54" s="57"/>
      <c r="E54" s="58"/>
      <c r="F54" s="59"/>
      <c r="G54" s="60"/>
      <c r="H54" s="60"/>
      <c r="I54" s="61"/>
      <c r="J54" s="62"/>
      <c r="K54" s="103" t="str">
        <f t="shared" si="1"/>
        <v/>
      </c>
      <c r="L54" s="105" t="str">
        <f t="shared" si="2"/>
        <v/>
      </c>
      <c r="M54" s="52">
        <v>0</v>
      </c>
      <c r="N54" s="104" t="str">
        <f t="shared" si="3"/>
        <v/>
      </c>
      <c r="O54" s="105" t="str">
        <f t="shared" si="4"/>
        <v/>
      </c>
      <c r="P54" s="52">
        <v>0</v>
      </c>
      <c r="Q54" s="104" t="str">
        <f t="shared" si="5"/>
        <v/>
      </c>
      <c r="R54" s="105" t="str">
        <f t="shared" si="6"/>
        <v/>
      </c>
      <c r="S54" s="52">
        <v>0</v>
      </c>
      <c r="T54" s="104" t="str">
        <f t="shared" si="7"/>
        <v/>
      </c>
      <c r="U54" s="105" t="str">
        <f t="shared" si="8"/>
        <v/>
      </c>
      <c r="V54" s="52">
        <v>0</v>
      </c>
      <c r="W54" s="88" t="str">
        <f t="shared" si="9"/>
        <v/>
      </c>
      <c r="X54" s="105" t="str">
        <f t="shared" si="10"/>
        <v/>
      </c>
      <c r="Y54" s="52">
        <v>0</v>
      </c>
      <c r="Z54" s="56" t="str">
        <f t="shared" si="11"/>
        <v/>
      </c>
      <c r="AA54" s="56" t="str">
        <f t="shared" si="12"/>
        <v/>
      </c>
      <c r="AB54" s="56" t="str">
        <f t="shared" si="13"/>
        <v/>
      </c>
      <c r="AC54" s="56" t="str">
        <f t="shared" si="14"/>
        <v/>
      </c>
      <c r="AD54" s="56" t="str">
        <f t="shared" si="15"/>
        <v/>
      </c>
      <c r="AE54" s="40"/>
      <c r="AF54" s="40"/>
      <c r="AG54" s="40"/>
      <c r="AH54" s="56" t="str">
        <f t="shared" si="16"/>
        <v/>
      </c>
      <c r="AI54" s="54"/>
      <c r="AJ54" s="54"/>
      <c r="AK54" s="54"/>
      <c r="AL54" s="54"/>
      <c r="AM54" s="54"/>
    </row>
    <row r="55" spans="1:39">
      <c r="A55" s="96"/>
      <c r="B55" s="45" t="str" cm="1">
        <f t="array" ref="B55">IF(H55="PROJECT", CHAR(10) &amp; "- " &amp; _xlfn.TEXTJOIN(CHAR(10) &amp; "- ", TRUE, _xlfn._xlws.FILTER($I$9:$I$1000, ($C$9:$C$1000=C55) * ($H$9:$H$1000="Topic"))), "")</f>
        <v/>
      </c>
      <c r="C55" s="45">
        <f t="shared" si="0"/>
        <v>15</v>
      </c>
      <c r="D55" s="46"/>
      <c r="E55" s="58"/>
      <c r="F55" s="48"/>
      <c r="G55" s="49"/>
      <c r="H55" s="49"/>
      <c r="I55" s="50"/>
      <c r="J55" s="51"/>
      <c r="K55" s="103" t="str">
        <f t="shared" si="1"/>
        <v/>
      </c>
      <c r="L55" s="105" t="str">
        <f t="shared" si="2"/>
        <v/>
      </c>
      <c r="M55" s="53">
        <v>0</v>
      </c>
      <c r="N55" s="104" t="str">
        <f t="shared" si="3"/>
        <v/>
      </c>
      <c r="O55" s="105" t="str">
        <f t="shared" si="4"/>
        <v/>
      </c>
      <c r="P55" s="53">
        <v>0</v>
      </c>
      <c r="Q55" s="104" t="str">
        <f t="shared" si="5"/>
        <v/>
      </c>
      <c r="R55" s="105" t="str">
        <f t="shared" si="6"/>
        <v/>
      </c>
      <c r="S55" s="53">
        <v>0</v>
      </c>
      <c r="T55" s="104" t="str">
        <f t="shared" si="7"/>
        <v/>
      </c>
      <c r="U55" s="105" t="str">
        <f t="shared" si="8"/>
        <v/>
      </c>
      <c r="V55" s="53">
        <v>0</v>
      </c>
      <c r="W55" s="88" t="str">
        <f t="shared" si="9"/>
        <v/>
      </c>
      <c r="X55" s="105" t="str">
        <f t="shared" si="10"/>
        <v/>
      </c>
      <c r="Y55" s="53">
        <v>0</v>
      </c>
      <c r="Z55" s="56" t="str">
        <f t="shared" si="11"/>
        <v/>
      </c>
      <c r="AA55" s="56" t="str">
        <f t="shared" si="12"/>
        <v/>
      </c>
      <c r="AB55" s="56" t="str">
        <f t="shared" si="13"/>
        <v/>
      </c>
      <c r="AC55" s="56" t="str">
        <f t="shared" si="14"/>
        <v/>
      </c>
      <c r="AD55" s="56" t="str">
        <f t="shared" si="15"/>
        <v/>
      </c>
      <c r="AE55" s="40"/>
      <c r="AF55" s="40"/>
      <c r="AG55" s="40"/>
      <c r="AH55" s="56" t="str">
        <f t="shared" si="16"/>
        <v/>
      </c>
      <c r="AI55" s="54"/>
      <c r="AJ55" s="54"/>
      <c r="AK55" s="54"/>
      <c r="AL55" s="54"/>
      <c r="AM55" s="54"/>
    </row>
    <row r="56" spans="1:39">
      <c r="A56" s="96"/>
      <c r="B56" s="45" t="str" cm="1">
        <f t="array" ref="B56">IF(H56="PROJECT", CHAR(10) &amp; "- " &amp; _xlfn.TEXTJOIN(CHAR(10) &amp; "- ", TRUE, _xlfn._xlws.FILTER($I$9:$I$1000, ($C$9:$C$1000=C56) * ($H$9:$H$1000="Topic"))), "")</f>
        <v/>
      </c>
      <c r="C56" s="45">
        <f t="shared" si="0"/>
        <v>16</v>
      </c>
      <c r="D56" s="57"/>
      <c r="E56" s="58"/>
      <c r="F56" s="63"/>
      <c r="G56" s="60"/>
      <c r="H56" s="64"/>
      <c r="I56" s="61"/>
      <c r="J56" s="62"/>
      <c r="K56" s="103" t="str">
        <f t="shared" si="1"/>
        <v/>
      </c>
      <c r="L56" s="105" t="str">
        <f t="shared" si="2"/>
        <v/>
      </c>
      <c r="M56" s="52">
        <v>0</v>
      </c>
      <c r="N56" s="104" t="str">
        <f t="shared" si="3"/>
        <v/>
      </c>
      <c r="O56" s="105" t="str">
        <f t="shared" si="4"/>
        <v/>
      </c>
      <c r="P56" s="52">
        <v>0</v>
      </c>
      <c r="Q56" s="104" t="str">
        <f t="shared" si="5"/>
        <v/>
      </c>
      <c r="R56" s="105" t="str">
        <f t="shared" si="6"/>
        <v/>
      </c>
      <c r="S56" s="52">
        <v>0</v>
      </c>
      <c r="T56" s="104" t="str">
        <f t="shared" si="7"/>
        <v/>
      </c>
      <c r="U56" s="105" t="str">
        <f t="shared" si="8"/>
        <v/>
      </c>
      <c r="V56" s="52">
        <v>0</v>
      </c>
      <c r="W56" s="88" t="str">
        <f t="shared" si="9"/>
        <v/>
      </c>
      <c r="X56" s="105" t="str">
        <f t="shared" si="10"/>
        <v/>
      </c>
      <c r="Y56" s="52">
        <v>0</v>
      </c>
      <c r="Z56" s="56" t="str">
        <f t="shared" si="11"/>
        <v/>
      </c>
      <c r="AA56" s="56" t="str">
        <f t="shared" si="12"/>
        <v/>
      </c>
      <c r="AB56" s="56" t="str">
        <f t="shared" si="13"/>
        <v/>
      </c>
      <c r="AC56" s="56" t="str">
        <f t="shared" si="14"/>
        <v/>
      </c>
      <c r="AD56" s="56" t="str">
        <f t="shared" si="15"/>
        <v/>
      </c>
      <c r="AE56" s="40"/>
      <c r="AF56" s="40"/>
      <c r="AG56" s="40"/>
      <c r="AH56" s="56" t="str">
        <f t="shared" si="16"/>
        <v/>
      </c>
      <c r="AI56" s="54"/>
      <c r="AJ56" s="54"/>
      <c r="AK56" s="54"/>
      <c r="AL56" s="54"/>
      <c r="AM56" s="54"/>
    </row>
    <row r="57" spans="1:39">
      <c r="A57" s="96"/>
      <c r="B57" s="45" t="str" cm="1">
        <f t="array" ref="B57">IF(H57="PROJECT", CHAR(10) &amp; "- " &amp; _xlfn.TEXTJOIN(CHAR(10) &amp; "- ", TRUE, _xlfn._xlws.FILTER($I$9:$I$1000, ($C$9:$C$1000=C57) * ($H$9:$H$1000="Topic"))), "")</f>
        <v/>
      </c>
      <c r="C57" s="45">
        <f t="shared" si="0"/>
        <v>17</v>
      </c>
      <c r="D57" s="46"/>
      <c r="E57" s="58"/>
      <c r="F57" s="65"/>
      <c r="G57" s="49"/>
      <c r="H57" s="66"/>
      <c r="I57" s="50"/>
      <c r="J57" s="51"/>
      <c r="K57" s="103" t="str">
        <f t="shared" si="1"/>
        <v/>
      </c>
      <c r="L57" s="105" t="str">
        <f t="shared" si="2"/>
        <v/>
      </c>
      <c r="M57" s="53">
        <v>0</v>
      </c>
      <c r="N57" s="104" t="str">
        <f t="shared" si="3"/>
        <v/>
      </c>
      <c r="O57" s="105" t="str">
        <f t="shared" si="4"/>
        <v/>
      </c>
      <c r="P57" s="53">
        <v>0</v>
      </c>
      <c r="Q57" s="104" t="str">
        <f t="shared" si="5"/>
        <v/>
      </c>
      <c r="R57" s="105" t="str">
        <f t="shared" si="6"/>
        <v/>
      </c>
      <c r="S57" s="53">
        <v>0</v>
      </c>
      <c r="T57" s="104" t="str">
        <f t="shared" si="7"/>
        <v/>
      </c>
      <c r="U57" s="105" t="str">
        <f t="shared" si="8"/>
        <v/>
      </c>
      <c r="V57" s="53">
        <v>0</v>
      </c>
      <c r="W57" s="88" t="str">
        <f t="shared" si="9"/>
        <v/>
      </c>
      <c r="X57" s="105" t="str">
        <f t="shared" si="10"/>
        <v/>
      </c>
      <c r="Y57" s="53">
        <v>0</v>
      </c>
      <c r="Z57" s="56" t="str">
        <f t="shared" si="11"/>
        <v/>
      </c>
      <c r="AA57" s="56" t="str">
        <f t="shared" si="12"/>
        <v/>
      </c>
      <c r="AB57" s="56" t="str">
        <f t="shared" si="13"/>
        <v/>
      </c>
      <c r="AC57" s="56" t="str">
        <f t="shared" si="14"/>
        <v/>
      </c>
      <c r="AD57" s="56" t="str">
        <f t="shared" si="15"/>
        <v/>
      </c>
      <c r="AE57" s="40"/>
      <c r="AF57" s="40"/>
      <c r="AG57" s="40"/>
      <c r="AH57" s="56" t="str">
        <f t="shared" si="16"/>
        <v/>
      </c>
      <c r="AI57" s="54"/>
      <c r="AJ57" s="54"/>
      <c r="AK57" s="54"/>
      <c r="AL57" s="54"/>
      <c r="AM57" s="54"/>
    </row>
    <row r="58" spans="1:39">
      <c r="A58" s="96"/>
      <c r="B58" s="45" t="str" cm="1">
        <f t="array" ref="B58">IF(H58="PROJECT", CHAR(10) &amp; "- " &amp; _xlfn.TEXTJOIN(CHAR(10) &amp; "- ", TRUE, _xlfn._xlws.FILTER($I$9:$I$1000, ($C$9:$C$1000=C58) * ($H$9:$H$1000="Topic"))), "")</f>
        <v/>
      </c>
      <c r="C58" s="45">
        <f t="shared" si="0"/>
        <v>18</v>
      </c>
      <c r="D58" s="57"/>
      <c r="E58" s="58"/>
      <c r="F58" s="63"/>
      <c r="G58" s="60"/>
      <c r="H58" s="64"/>
      <c r="I58" s="61"/>
      <c r="J58" s="62"/>
      <c r="K58" s="103" t="str">
        <f t="shared" si="1"/>
        <v/>
      </c>
      <c r="L58" s="105" t="str">
        <f t="shared" si="2"/>
        <v/>
      </c>
      <c r="M58" s="52">
        <v>0</v>
      </c>
      <c r="N58" s="104" t="str">
        <f t="shared" si="3"/>
        <v/>
      </c>
      <c r="O58" s="105" t="str">
        <f t="shared" si="4"/>
        <v/>
      </c>
      <c r="P58" s="52">
        <v>0</v>
      </c>
      <c r="Q58" s="104" t="str">
        <f t="shared" si="5"/>
        <v/>
      </c>
      <c r="R58" s="105" t="str">
        <f t="shared" si="6"/>
        <v/>
      </c>
      <c r="S58" s="52">
        <v>0</v>
      </c>
      <c r="T58" s="104" t="str">
        <f t="shared" si="7"/>
        <v/>
      </c>
      <c r="U58" s="105" t="str">
        <f t="shared" si="8"/>
        <v/>
      </c>
      <c r="V58" s="52">
        <v>0</v>
      </c>
      <c r="W58" s="88" t="str">
        <f t="shared" si="9"/>
        <v/>
      </c>
      <c r="X58" s="105" t="str">
        <f t="shared" si="10"/>
        <v/>
      </c>
      <c r="Y58" s="52">
        <v>0</v>
      </c>
      <c r="Z58" s="56" t="str">
        <f t="shared" si="11"/>
        <v/>
      </c>
      <c r="AA58" s="56" t="str">
        <f t="shared" si="12"/>
        <v/>
      </c>
      <c r="AB58" s="56" t="str">
        <f t="shared" si="13"/>
        <v/>
      </c>
      <c r="AC58" s="56" t="str">
        <f t="shared" si="14"/>
        <v/>
      </c>
      <c r="AD58" s="56" t="str">
        <f t="shared" si="15"/>
        <v/>
      </c>
      <c r="AE58" s="40"/>
      <c r="AF58" s="40"/>
      <c r="AG58" s="40"/>
      <c r="AH58" s="56" t="str">
        <f t="shared" si="16"/>
        <v/>
      </c>
      <c r="AI58" s="54"/>
      <c r="AJ58" s="54"/>
      <c r="AK58" s="54"/>
      <c r="AL58" s="54"/>
      <c r="AM58" s="54"/>
    </row>
    <row r="59" spans="1:39">
      <c r="A59" s="96"/>
      <c r="B59" s="45" t="str" cm="1">
        <f t="array" ref="B59">IF(H59="PROJECT", CHAR(10) &amp; "- " &amp; _xlfn.TEXTJOIN(CHAR(10) &amp; "- ", TRUE, _xlfn._xlws.FILTER($I$9:$I$1000, ($C$9:$C$1000=C59) * ($H$9:$H$1000="Topic"))), "")</f>
        <v/>
      </c>
      <c r="C59" s="45">
        <f t="shared" si="0"/>
        <v>19</v>
      </c>
      <c r="D59" s="46"/>
      <c r="E59" s="58"/>
      <c r="F59" s="65"/>
      <c r="G59" s="49"/>
      <c r="H59" s="66"/>
      <c r="I59" s="50"/>
      <c r="J59" s="51"/>
      <c r="K59" s="103" t="str">
        <f t="shared" si="1"/>
        <v/>
      </c>
      <c r="L59" s="105" t="str">
        <f t="shared" si="2"/>
        <v/>
      </c>
      <c r="M59" s="53">
        <v>0</v>
      </c>
      <c r="N59" s="104" t="str">
        <f t="shared" si="3"/>
        <v/>
      </c>
      <c r="O59" s="105" t="str">
        <f t="shared" si="4"/>
        <v/>
      </c>
      <c r="P59" s="53">
        <v>0</v>
      </c>
      <c r="Q59" s="104" t="str">
        <f t="shared" si="5"/>
        <v/>
      </c>
      <c r="R59" s="105" t="str">
        <f t="shared" si="6"/>
        <v/>
      </c>
      <c r="S59" s="53">
        <v>0</v>
      </c>
      <c r="T59" s="104" t="str">
        <f t="shared" si="7"/>
        <v/>
      </c>
      <c r="U59" s="105" t="str">
        <f t="shared" si="8"/>
        <v/>
      </c>
      <c r="V59" s="53">
        <v>0</v>
      </c>
      <c r="W59" s="88" t="str">
        <f t="shared" si="9"/>
        <v/>
      </c>
      <c r="X59" s="105" t="str">
        <f t="shared" si="10"/>
        <v/>
      </c>
      <c r="Y59" s="53">
        <v>0</v>
      </c>
      <c r="Z59" s="56" t="str">
        <f t="shared" si="11"/>
        <v/>
      </c>
      <c r="AA59" s="56" t="str">
        <f t="shared" si="12"/>
        <v/>
      </c>
      <c r="AB59" s="56" t="str">
        <f t="shared" si="13"/>
        <v/>
      </c>
      <c r="AC59" s="56" t="str">
        <f t="shared" si="14"/>
        <v/>
      </c>
      <c r="AD59" s="56" t="str">
        <f t="shared" si="15"/>
        <v/>
      </c>
      <c r="AE59" s="40"/>
      <c r="AF59" s="40"/>
      <c r="AG59" s="40"/>
      <c r="AH59" s="56" t="str">
        <f t="shared" si="16"/>
        <v/>
      </c>
      <c r="AI59" s="54"/>
      <c r="AJ59" s="54"/>
      <c r="AK59" s="54"/>
      <c r="AL59" s="54"/>
      <c r="AM59" s="54"/>
    </row>
    <row r="60" spans="1:39">
      <c r="A60" s="96"/>
      <c r="B60" s="45" t="str" cm="1">
        <f t="array" ref="B60">IF(H60="PROJECT", CHAR(10) &amp; "- " &amp; _xlfn.TEXTJOIN(CHAR(10) &amp; "- ", TRUE, _xlfn._xlws.FILTER($I$9:$I$1000, ($C$9:$C$1000=C60) * ($H$9:$H$1000="Topic"))), "")</f>
        <v/>
      </c>
      <c r="C60" s="45">
        <f t="shared" si="0"/>
        <v>20</v>
      </c>
      <c r="D60" s="57"/>
      <c r="E60" s="58"/>
      <c r="F60" s="63"/>
      <c r="G60" s="60"/>
      <c r="H60" s="64"/>
      <c r="I60" s="61"/>
      <c r="J60" s="62"/>
      <c r="K60" s="103" t="str">
        <f t="shared" si="1"/>
        <v/>
      </c>
      <c r="L60" s="105" t="str">
        <f t="shared" si="2"/>
        <v/>
      </c>
      <c r="M60" s="52">
        <v>0</v>
      </c>
      <c r="N60" s="104" t="str">
        <f t="shared" si="3"/>
        <v/>
      </c>
      <c r="O60" s="105" t="str">
        <f t="shared" si="4"/>
        <v/>
      </c>
      <c r="P60" s="52">
        <v>0</v>
      </c>
      <c r="Q60" s="104" t="str">
        <f t="shared" si="5"/>
        <v/>
      </c>
      <c r="R60" s="105" t="str">
        <f t="shared" si="6"/>
        <v/>
      </c>
      <c r="S60" s="52">
        <v>0</v>
      </c>
      <c r="T60" s="104" t="str">
        <f t="shared" si="7"/>
        <v/>
      </c>
      <c r="U60" s="105" t="str">
        <f t="shared" si="8"/>
        <v/>
      </c>
      <c r="V60" s="52">
        <v>0</v>
      </c>
      <c r="W60" s="88" t="str">
        <f t="shared" si="9"/>
        <v/>
      </c>
      <c r="X60" s="105" t="str">
        <f t="shared" si="10"/>
        <v/>
      </c>
      <c r="Y60" s="52">
        <v>0</v>
      </c>
      <c r="Z60" s="56" t="str">
        <f t="shared" si="11"/>
        <v/>
      </c>
      <c r="AA60" s="56" t="str">
        <f t="shared" si="12"/>
        <v/>
      </c>
      <c r="AB60" s="56" t="str">
        <f t="shared" si="13"/>
        <v/>
      </c>
      <c r="AC60" s="56" t="str">
        <f t="shared" si="14"/>
        <v/>
      </c>
      <c r="AD60" s="56" t="str">
        <f t="shared" si="15"/>
        <v/>
      </c>
      <c r="AE60" s="40"/>
      <c r="AF60" s="40"/>
      <c r="AG60" s="40"/>
      <c r="AH60" s="56" t="str">
        <f t="shared" si="16"/>
        <v/>
      </c>
      <c r="AI60" s="54"/>
      <c r="AJ60" s="54"/>
      <c r="AK60" s="54"/>
      <c r="AL60" s="54"/>
      <c r="AM60" s="54"/>
    </row>
    <row r="61" spans="1:39">
      <c r="A61" s="96"/>
      <c r="B61" s="45" t="str" cm="1">
        <f t="array" ref="B61">IF(H61="PROJECT", CHAR(10) &amp; "- " &amp; _xlfn.TEXTJOIN(CHAR(10) &amp; "- ", TRUE, _xlfn._xlws.FILTER($I$9:$I$1000, ($C$9:$C$1000=C61) * ($H$9:$H$1000="Topic"))), "")</f>
        <v/>
      </c>
      <c r="C61" s="45">
        <f t="shared" si="0"/>
        <v>21</v>
      </c>
      <c r="D61" s="46"/>
      <c r="E61" s="58"/>
      <c r="F61" s="65"/>
      <c r="G61" s="49"/>
      <c r="H61" s="66"/>
      <c r="I61" s="50"/>
      <c r="J61" s="51"/>
      <c r="K61" s="103" t="str">
        <f t="shared" si="1"/>
        <v/>
      </c>
      <c r="L61" s="105" t="str">
        <f t="shared" si="2"/>
        <v/>
      </c>
      <c r="M61" s="53">
        <v>0</v>
      </c>
      <c r="N61" s="104" t="str">
        <f t="shared" si="3"/>
        <v/>
      </c>
      <c r="O61" s="105" t="str">
        <f t="shared" si="4"/>
        <v/>
      </c>
      <c r="P61" s="53">
        <v>0</v>
      </c>
      <c r="Q61" s="104" t="str">
        <f t="shared" si="5"/>
        <v/>
      </c>
      <c r="R61" s="105" t="str">
        <f t="shared" si="6"/>
        <v/>
      </c>
      <c r="S61" s="53">
        <v>0</v>
      </c>
      <c r="T61" s="104" t="str">
        <f t="shared" si="7"/>
        <v/>
      </c>
      <c r="U61" s="105" t="str">
        <f t="shared" si="8"/>
        <v/>
      </c>
      <c r="V61" s="53">
        <v>0</v>
      </c>
      <c r="W61" s="88" t="str">
        <f t="shared" si="9"/>
        <v/>
      </c>
      <c r="X61" s="105" t="str">
        <f t="shared" si="10"/>
        <v/>
      </c>
      <c r="Y61" s="53">
        <v>0</v>
      </c>
      <c r="Z61" s="56" t="str">
        <f t="shared" si="11"/>
        <v/>
      </c>
      <c r="AA61" s="56" t="str">
        <f t="shared" si="12"/>
        <v/>
      </c>
      <c r="AB61" s="56" t="str">
        <f t="shared" si="13"/>
        <v/>
      </c>
      <c r="AC61" s="56" t="str">
        <f t="shared" si="14"/>
        <v/>
      </c>
      <c r="AD61" s="56" t="str">
        <f t="shared" si="15"/>
        <v/>
      </c>
      <c r="AE61" s="40"/>
      <c r="AF61" s="40"/>
      <c r="AG61" s="40"/>
      <c r="AH61" s="56" t="str">
        <f t="shared" si="16"/>
        <v/>
      </c>
      <c r="AI61" s="54"/>
      <c r="AJ61" s="54"/>
      <c r="AK61" s="54"/>
      <c r="AL61" s="54"/>
      <c r="AM61" s="54"/>
    </row>
    <row r="62" spans="1:39">
      <c r="A62" s="96"/>
      <c r="B62" s="45" t="str" cm="1">
        <f t="array" ref="B62">IF(H62="PROJECT", CHAR(10) &amp; "- " &amp; _xlfn.TEXTJOIN(CHAR(10) &amp; "- ", TRUE, _xlfn._xlws.FILTER($I$9:$I$1000, ($C$9:$C$1000=C62) * ($H$9:$H$1000="Topic"))), "")</f>
        <v/>
      </c>
      <c r="C62" s="45">
        <f t="shared" si="0"/>
        <v>22</v>
      </c>
      <c r="D62" s="57"/>
      <c r="E62" s="58"/>
      <c r="F62" s="63"/>
      <c r="G62" s="60"/>
      <c r="H62" s="64"/>
      <c r="I62" s="61"/>
      <c r="J62" s="62"/>
      <c r="K62" s="103" t="str">
        <f t="shared" si="1"/>
        <v/>
      </c>
      <c r="L62" s="105" t="str">
        <f t="shared" si="2"/>
        <v/>
      </c>
      <c r="M62" s="52">
        <v>0</v>
      </c>
      <c r="N62" s="104" t="str">
        <f t="shared" si="3"/>
        <v/>
      </c>
      <c r="O62" s="105" t="str">
        <f t="shared" si="4"/>
        <v/>
      </c>
      <c r="P62" s="52">
        <v>0</v>
      </c>
      <c r="Q62" s="104" t="str">
        <f t="shared" si="5"/>
        <v/>
      </c>
      <c r="R62" s="105" t="str">
        <f t="shared" si="6"/>
        <v/>
      </c>
      <c r="S62" s="52">
        <v>0</v>
      </c>
      <c r="T62" s="104" t="str">
        <f t="shared" si="7"/>
        <v/>
      </c>
      <c r="U62" s="105" t="str">
        <f t="shared" si="8"/>
        <v/>
      </c>
      <c r="V62" s="52">
        <v>0</v>
      </c>
      <c r="W62" s="88" t="str">
        <f t="shared" si="9"/>
        <v/>
      </c>
      <c r="X62" s="105" t="str">
        <f t="shared" si="10"/>
        <v/>
      </c>
      <c r="Y62" s="52">
        <v>0</v>
      </c>
      <c r="Z62" s="56" t="str">
        <f t="shared" si="11"/>
        <v/>
      </c>
      <c r="AA62" s="56" t="str">
        <f t="shared" si="12"/>
        <v/>
      </c>
      <c r="AB62" s="56" t="str">
        <f t="shared" si="13"/>
        <v/>
      </c>
      <c r="AC62" s="56" t="str">
        <f t="shared" si="14"/>
        <v/>
      </c>
      <c r="AD62" s="56" t="str">
        <f t="shared" si="15"/>
        <v/>
      </c>
      <c r="AE62" s="40"/>
      <c r="AF62" s="40"/>
      <c r="AG62" s="40"/>
      <c r="AH62" s="56" t="str">
        <f t="shared" si="16"/>
        <v/>
      </c>
      <c r="AI62" s="54"/>
      <c r="AJ62" s="54"/>
      <c r="AK62" s="54"/>
      <c r="AL62" s="54"/>
      <c r="AM62" s="54"/>
    </row>
    <row r="63" spans="1:39">
      <c r="A63" s="96"/>
      <c r="B63" s="45" t="str" cm="1">
        <f t="array" ref="B63">IF(H63="PROJECT", CHAR(10) &amp; "- " &amp; _xlfn.TEXTJOIN(CHAR(10) &amp; "- ", TRUE, _xlfn._xlws.FILTER($I$9:$I$1000, ($C$9:$C$1000=C63) * ($H$9:$H$1000="Topic"))), "")</f>
        <v/>
      </c>
      <c r="C63" s="45">
        <f t="shared" si="0"/>
        <v>23</v>
      </c>
      <c r="D63" s="46"/>
      <c r="E63" s="58"/>
      <c r="F63" s="65"/>
      <c r="G63" s="49"/>
      <c r="H63" s="66"/>
      <c r="I63" s="50"/>
      <c r="J63" s="51"/>
      <c r="K63" s="103" t="str">
        <f t="shared" si="1"/>
        <v/>
      </c>
      <c r="L63" s="105" t="str">
        <f t="shared" si="2"/>
        <v/>
      </c>
      <c r="M63" s="53">
        <v>0</v>
      </c>
      <c r="N63" s="104" t="str">
        <f t="shared" si="3"/>
        <v/>
      </c>
      <c r="O63" s="105" t="str">
        <f t="shared" si="4"/>
        <v/>
      </c>
      <c r="P63" s="53">
        <v>0</v>
      </c>
      <c r="Q63" s="104" t="str">
        <f t="shared" si="5"/>
        <v/>
      </c>
      <c r="R63" s="105" t="str">
        <f t="shared" si="6"/>
        <v/>
      </c>
      <c r="S63" s="53">
        <v>0</v>
      </c>
      <c r="T63" s="104" t="str">
        <f t="shared" si="7"/>
        <v/>
      </c>
      <c r="U63" s="105" t="str">
        <f t="shared" si="8"/>
        <v/>
      </c>
      <c r="V63" s="53">
        <v>0</v>
      </c>
      <c r="W63" s="88" t="str">
        <f t="shared" si="9"/>
        <v/>
      </c>
      <c r="X63" s="105" t="str">
        <f t="shared" si="10"/>
        <v/>
      </c>
      <c r="Y63" s="53">
        <v>0</v>
      </c>
      <c r="Z63" s="56" t="str">
        <f t="shared" si="11"/>
        <v/>
      </c>
      <c r="AA63" s="56" t="str">
        <f t="shared" si="12"/>
        <v/>
      </c>
      <c r="AB63" s="56" t="str">
        <f t="shared" si="13"/>
        <v/>
      </c>
      <c r="AC63" s="56" t="str">
        <f t="shared" si="14"/>
        <v/>
      </c>
      <c r="AD63" s="56" t="str">
        <f t="shared" si="15"/>
        <v/>
      </c>
      <c r="AE63" s="40"/>
      <c r="AF63" s="40"/>
      <c r="AG63" s="40"/>
      <c r="AH63" s="56" t="str">
        <f t="shared" si="16"/>
        <v/>
      </c>
      <c r="AI63" s="54"/>
      <c r="AJ63" s="54"/>
      <c r="AK63" s="54"/>
      <c r="AL63" s="54"/>
      <c r="AM63" s="54"/>
    </row>
    <row r="64" spans="1:39">
      <c r="A64" s="96"/>
      <c r="B64" s="45" t="str" cm="1">
        <f t="array" ref="B64">IF(H64="PROJECT", CHAR(10) &amp; "- " &amp; _xlfn.TEXTJOIN(CHAR(10) &amp; "- ", TRUE, _xlfn._xlws.FILTER($I$9:$I$1000, ($C$9:$C$1000=C64) * ($H$9:$H$1000="Topic"))), "")</f>
        <v/>
      </c>
      <c r="C64" s="45">
        <f t="shared" si="0"/>
        <v>24</v>
      </c>
      <c r="D64" s="57"/>
      <c r="E64" s="58"/>
      <c r="F64" s="63"/>
      <c r="G64" s="60"/>
      <c r="H64" s="64"/>
      <c r="I64" s="61"/>
      <c r="J64" s="62"/>
      <c r="K64" s="103" t="str">
        <f t="shared" si="1"/>
        <v/>
      </c>
      <c r="L64" s="105" t="str">
        <f t="shared" si="2"/>
        <v/>
      </c>
      <c r="M64" s="52">
        <v>0</v>
      </c>
      <c r="N64" s="104" t="str">
        <f t="shared" si="3"/>
        <v/>
      </c>
      <c r="O64" s="105" t="str">
        <f t="shared" si="4"/>
        <v/>
      </c>
      <c r="P64" s="52">
        <v>0</v>
      </c>
      <c r="Q64" s="104" t="str">
        <f t="shared" si="5"/>
        <v/>
      </c>
      <c r="R64" s="105" t="str">
        <f t="shared" si="6"/>
        <v/>
      </c>
      <c r="S64" s="52">
        <v>0</v>
      </c>
      <c r="T64" s="104" t="str">
        <f t="shared" si="7"/>
        <v/>
      </c>
      <c r="U64" s="105" t="str">
        <f t="shared" si="8"/>
        <v/>
      </c>
      <c r="V64" s="52">
        <v>0</v>
      </c>
      <c r="W64" s="88" t="str">
        <f t="shared" si="9"/>
        <v/>
      </c>
      <c r="X64" s="105" t="str">
        <f t="shared" si="10"/>
        <v/>
      </c>
      <c r="Y64" s="52">
        <v>0</v>
      </c>
      <c r="Z64" s="56" t="str">
        <f t="shared" si="11"/>
        <v/>
      </c>
      <c r="AA64" s="56" t="str">
        <f t="shared" si="12"/>
        <v/>
      </c>
      <c r="AB64" s="56" t="str">
        <f t="shared" si="13"/>
        <v/>
      </c>
      <c r="AC64" s="56" t="str">
        <f t="shared" si="14"/>
        <v/>
      </c>
      <c r="AD64" s="56" t="str">
        <f t="shared" si="15"/>
        <v/>
      </c>
      <c r="AE64" s="40"/>
      <c r="AF64" s="40"/>
      <c r="AG64" s="40"/>
      <c r="AH64" s="56" t="str">
        <f t="shared" si="16"/>
        <v/>
      </c>
      <c r="AI64" s="54"/>
      <c r="AJ64" s="54"/>
      <c r="AK64" s="54"/>
      <c r="AL64" s="54"/>
      <c r="AM64" s="54"/>
    </row>
    <row r="65" spans="1:39">
      <c r="A65" s="96"/>
      <c r="B65" s="45" t="str" cm="1">
        <f t="array" ref="B65">IF(H65="PROJECT", CHAR(10) &amp; "- " &amp; _xlfn.TEXTJOIN(CHAR(10) &amp; "- ", TRUE, _xlfn._xlws.FILTER($I$9:$I$1000, ($C$9:$C$1000=C65) * ($H$9:$H$1000="Topic"))), "")</f>
        <v/>
      </c>
      <c r="C65" s="45">
        <f t="shared" si="0"/>
        <v>25</v>
      </c>
      <c r="D65" s="46"/>
      <c r="E65" s="58"/>
      <c r="F65" s="65"/>
      <c r="G65" s="49"/>
      <c r="H65" s="66"/>
      <c r="I65" s="50"/>
      <c r="J65" s="51"/>
      <c r="K65" s="103" t="str">
        <f t="shared" si="1"/>
        <v/>
      </c>
      <c r="L65" s="105" t="str">
        <f t="shared" si="2"/>
        <v/>
      </c>
      <c r="M65" s="53">
        <v>0</v>
      </c>
      <c r="N65" s="104" t="str">
        <f t="shared" si="3"/>
        <v/>
      </c>
      <c r="O65" s="105" t="str">
        <f t="shared" si="4"/>
        <v/>
      </c>
      <c r="P65" s="53">
        <v>0</v>
      </c>
      <c r="Q65" s="104" t="str">
        <f t="shared" si="5"/>
        <v/>
      </c>
      <c r="R65" s="105" t="str">
        <f t="shared" si="6"/>
        <v/>
      </c>
      <c r="S65" s="53">
        <v>0</v>
      </c>
      <c r="T65" s="104" t="str">
        <f t="shared" si="7"/>
        <v/>
      </c>
      <c r="U65" s="105" t="str">
        <f t="shared" si="8"/>
        <v/>
      </c>
      <c r="V65" s="53">
        <v>0</v>
      </c>
      <c r="W65" s="88" t="str">
        <f t="shared" si="9"/>
        <v/>
      </c>
      <c r="X65" s="105" t="str">
        <f t="shared" si="10"/>
        <v/>
      </c>
      <c r="Y65" s="53">
        <v>0</v>
      </c>
      <c r="Z65" s="56" t="str">
        <f t="shared" si="11"/>
        <v/>
      </c>
      <c r="AA65" s="56" t="str">
        <f t="shared" si="12"/>
        <v/>
      </c>
      <c r="AB65" s="56" t="str">
        <f t="shared" si="13"/>
        <v/>
      </c>
      <c r="AC65" s="56" t="str">
        <f t="shared" si="14"/>
        <v/>
      </c>
      <c r="AD65" s="56" t="str">
        <f t="shared" si="15"/>
        <v/>
      </c>
      <c r="AE65" s="40"/>
      <c r="AF65" s="40"/>
      <c r="AG65" s="40"/>
      <c r="AH65" s="56" t="str">
        <f t="shared" si="16"/>
        <v/>
      </c>
      <c r="AI65" s="54"/>
      <c r="AJ65" s="54"/>
      <c r="AK65" s="54"/>
      <c r="AL65" s="54"/>
      <c r="AM65" s="54"/>
    </row>
    <row r="66" spans="1:39">
      <c r="A66" s="96"/>
      <c r="B66" s="45" t="str" cm="1">
        <f t="array" ref="B66">IF(H66="PROJECT", CHAR(10) &amp; "- " &amp; _xlfn.TEXTJOIN(CHAR(10) &amp; "- ", TRUE, _xlfn._xlws.FILTER($I$9:$I$1000, ($C$9:$C$1000=C66) * ($H$9:$H$1000="Topic"))), "")</f>
        <v/>
      </c>
      <c r="C66" s="45">
        <f t="shared" si="0"/>
        <v>26</v>
      </c>
      <c r="D66" s="57"/>
      <c r="E66" s="58"/>
      <c r="F66" s="63"/>
      <c r="G66" s="60"/>
      <c r="H66" s="64"/>
      <c r="I66" s="61"/>
      <c r="J66" s="62"/>
      <c r="K66" s="103" t="str">
        <f t="shared" si="1"/>
        <v/>
      </c>
      <c r="L66" s="105" t="str">
        <f t="shared" si="2"/>
        <v/>
      </c>
      <c r="M66" s="52">
        <v>0</v>
      </c>
      <c r="N66" s="104" t="str">
        <f t="shared" si="3"/>
        <v/>
      </c>
      <c r="O66" s="105" t="str">
        <f t="shared" si="4"/>
        <v/>
      </c>
      <c r="P66" s="52">
        <v>0</v>
      </c>
      <c r="Q66" s="104" t="str">
        <f t="shared" si="5"/>
        <v/>
      </c>
      <c r="R66" s="105" t="str">
        <f t="shared" si="6"/>
        <v/>
      </c>
      <c r="S66" s="52">
        <v>0</v>
      </c>
      <c r="T66" s="104" t="str">
        <f t="shared" si="7"/>
        <v/>
      </c>
      <c r="U66" s="105" t="str">
        <f t="shared" si="8"/>
        <v/>
      </c>
      <c r="V66" s="52">
        <v>0</v>
      </c>
      <c r="W66" s="88" t="str">
        <f t="shared" si="9"/>
        <v/>
      </c>
      <c r="X66" s="105" t="str">
        <f t="shared" si="10"/>
        <v/>
      </c>
      <c r="Y66" s="52">
        <v>0</v>
      </c>
      <c r="Z66" s="56" t="str">
        <f t="shared" si="11"/>
        <v/>
      </c>
      <c r="AA66" s="56" t="str">
        <f t="shared" si="12"/>
        <v/>
      </c>
      <c r="AB66" s="56" t="str">
        <f t="shared" si="13"/>
        <v/>
      </c>
      <c r="AC66" s="56" t="str">
        <f t="shared" si="14"/>
        <v/>
      </c>
      <c r="AD66" s="56" t="str">
        <f t="shared" si="15"/>
        <v/>
      </c>
      <c r="AE66" s="40"/>
      <c r="AF66" s="40"/>
      <c r="AG66" s="40"/>
      <c r="AH66" s="56" t="str">
        <f t="shared" si="16"/>
        <v/>
      </c>
      <c r="AI66" s="54"/>
      <c r="AJ66" s="54"/>
      <c r="AK66" s="54"/>
      <c r="AL66" s="54"/>
      <c r="AM66" s="54"/>
    </row>
    <row r="67" spans="1:39">
      <c r="A67" s="96"/>
      <c r="B67" s="45" t="str" cm="1">
        <f t="array" ref="B67">IF(H67="PROJECT", CHAR(10) &amp; "- " &amp; _xlfn.TEXTJOIN(CHAR(10) &amp; "- ", TRUE, _xlfn._xlws.FILTER($I$9:$I$1000, ($C$9:$C$1000=C67) * ($H$9:$H$1000="Topic"))), "")</f>
        <v/>
      </c>
      <c r="C67" s="45">
        <f t="shared" si="0"/>
        <v>27</v>
      </c>
      <c r="D67" s="46"/>
      <c r="E67" s="58"/>
      <c r="F67" s="65"/>
      <c r="G67" s="49"/>
      <c r="H67" s="66"/>
      <c r="I67" s="50"/>
      <c r="J67" s="51"/>
      <c r="K67" s="103" t="str">
        <f t="shared" si="1"/>
        <v/>
      </c>
      <c r="L67" s="105" t="str">
        <f t="shared" si="2"/>
        <v/>
      </c>
      <c r="M67" s="53">
        <v>0</v>
      </c>
      <c r="N67" s="104" t="str">
        <f t="shared" si="3"/>
        <v/>
      </c>
      <c r="O67" s="105" t="str">
        <f t="shared" si="4"/>
        <v/>
      </c>
      <c r="P67" s="53">
        <v>0</v>
      </c>
      <c r="Q67" s="104" t="str">
        <f t="shared" si="5"/>
        <v/>
      </c>
      <c r="R67" s="105" t="str">
        <f t="shared" si="6"/>
        <v/>
      </c>
      <c r="S67" s="53">
        <v>0</v>
      </c>
      <c r="T67" s="104" t="str">
        <f t="shared" si="7"/>
        <v/>
      </c>
      <c r="U67" s="105" t="str">
        <f t="shared" si="8"/>
        <v/>
      </c>
      <c r="V67" s="53">
        <v>0</v>
      </c>
      <c r="W67" s="88" t="str">
        <f t="shared" si="9"/>
        <v/>
      </c>
      <c r="X67" s="105" t="str">
        <f t="shared" si="10"/>
        <v/>
      </c>
      <c r="Y67" s="53">
        <v>0</v>
      </c>
      <c r="Z67" s="56" t="str">
        <f t="shared" si="11"/>
        <v/>
      </c>
      <c r="AA67" s="56" t="str">
        <f t="shared" si="12"/>
        <v/>
      </c>
      <c r="AB67" s="56" t="str">
        <f t="shared" si="13"/>
        <v/>
      </c>
      <c r="AC67" s="56" t="str">
        <f t="shared" si="14"/>
        <v/>
      </c>
      <c r="AD67" s="56" t="str">
        <f t="shared" si="15"/>
        <v/>
      </c>
      <c r="AE67" s="40"/>
      <c r="AF67" s="40"/>
      <c r="AG67" s="40"/>
      <c r="AH67" s="56" t="str">
        <f t="shared" si="16"/>
        <v/>
      </c>
      <c r="AI67" s="54"/>
      <c r="AJ67" s="54"/>
      <c r="AK67" s="54"/>
      <c r="AL67" s="54"/>
      <c r="AM67" s="54"/>
    </row>
    <row r="68" spans="1:39">
      <c r="A68" s="96"/>
      <c r="B68" s="45" t="str" cm="1">
        <f t="array" ref="B68">IF(H68="PROJECT", CHAR(10) &amp; "- " &amp; _xlfn.TEXTJOIN(CHAR(10) &amp; "- ", TRUE, _xlfn._xlws.FILTER($I$9:$I$1000, ($C$9:$C$1000=C68) * ($H$9:$H$1000="Topic"))), "")</f>
        <v/>
      </c>
      <c r="C68" s="45">
        <f t="shared" si="0"/>
        <v>28</v>
      </c>
      <c r="D68" s="57"/>
      <c r="E68" s="58"/>
      <c r="F68" s="63"/>
      <c r="G68" s="60"/>
      <c r="H68" s="60"/>
      <c r="I68" s="61"/>
      <c r="J68" s="62"/>
      <c r="K68" s="103" t="str">
        <f t="shared" si="1"/>
        <v/>
      </c>
      <c r="L68" s="105" t="str">
        <f t="shared" si="2"/>
        <v/>
      </c>
      <c r="M68" s="52">
        <v>0</v>
      </c>
      <c r="N68" s="104" t="str">
        <f t="shared" si="3"/>
        <v/>
      </c>
      <c r="O68" s="105" t="str">
        <f t="shared" si="4"/>
        <v/>
      </c>
      <c r="P68" s="52">
        <v>0</v>
      </c>
      <c r="Q68" s="104" t="str">
        <f t="shared" si="5"/>
        <v/>
      </c>
      <c r="R68" s="105" t="str">
        <f t="shared" si="6"/>
        <v/>
      </c>
      <c r="S68" s="52">
        <v>0</v>
      </c>
      <c r="T68" s="104" t="str">
        <f t="shared" si="7"/>
        <v/>
      </c>
      <c r="U68" s="105" t="str">
        <f t="shared" si="8"/>
        <v/>
      </c>
      <c r="V68" s="52">
        <v>0</v>
      </c>
      <c r="W68" s="88" t="str">
        <f t="shared" si="9"/>
        <v/>
      </c>
      <c r="X68" s="105" t="str">
        <f t="shared" si="10"/>
        <v/>
      </c>
      <c r="Y68" s="52">
        <v>0</v>
      </c>
      <c r="Z68" s="56" t="str">
        <f t="shared" si="11"/>
        <v/>
      </c>
      <c r="AA68" s="56" t="str">
        <f t="shared" si="12"/>
        <v/>
      </c>
      <c r="AB68" s="56" t="str">
        <f t="shared" si="13"/>
        <v/>
      </c>
      <c r="AC68" s="56" t="str">
        <f t="shared" si="14"/>
        <v/>
      </c>
      <c r="AD68" s="56" t="str">
        <f t="shared" si="15"/>
        <v/>
      </c>
      <c r="AE68" s="40"/>
      <c r="AF68" s="40"/>
      <c r="AG68" s="40"/>
      <c r="AH68" s="56" t="str">
        <f t="shared" si="16"/>
        <v/>
      </c>
      <c r="AI68" s="54"/>
      <c r="AJ68" s="54"/>
      <c r="AK68" s="54"/>
      <c r="AL68" s="54"/>
      <c r="AM68" s="54"/>
    </row>
    <row r="69" spans="1:39">
      <c r="A69" s="96"/>
      <c r="B69" s="45" t="str" cm="1">
        <f t="array" ref="B69">IF(H69="PROJECT", CHAR(10) &amp; "- " &amp; _xlfn.TEXTJOIN(CHAR(10) &amp; "- ", TRUE, _xlfn._xlws.FILTER($I$9:$I$1000, ($C$9:$C$1000=C69) * ($H$9:$H$1000="Topic"))), "")</f>
        <v/>
      </c>
      <c r="C69" s="45">
        <f t="shared" si="0"/>
        <v>29</v>
      </c>
      <c r="D69" s="46"/>
      <c r="E69" s="58"/>
      <c r="F69" s="65"/>
      <c r="G69" s="49"/>
      <c r="H69" s="66"/>
      <c r="I69" s="50"/>
      <c r="J69" s="51"/>
      <c r="K69" s="103" t="str">
        <f t="shared" si="1"/>
        <v/>
      </c>
      <c r="L69" s="105" t="str">
        <f t="shared" si="2"/>
        <v/>
      </c>
      <c r="M69" s="53">
        <v>0</v>
      </c>
      <c r="N69" s="104" t="str">
        <f t="shared" si="3"/>
        <v/>
      </c>
      <c r="O69" s="105" t="str">
        <f t="shared" si="4"/>
        <v/>
      </c>
      <c r="P69" s="53">
        <v>0</v>
      </c>
      <c r="Q69" s="104" t="str">
        <f t="shared" si="5"/>
        <v/>
      </c>
      <c r="R69" s="105" t="str">
        <f t="shared" si="6"/>
        <v/>
      </c>
      <c r="S69" s="53">
        <v>0</v>
      </c>
      <c r="T69" s="104" t="str">
        <f t="shared" si="7"/>
        <v/>
      </c>
      <c r="U69" s="105" t="str">
        <f t="shared" si="8"/>
        <v/>
      </c>
      <c r="V69" s="53">
        <v>0</v>
      </c>
      <c r="W69" s="88" t="str">
        <f t="shared" si="9"/>
        <v/>
      </c>
      <c r="X69" s="105" t="str">
        <f t="shared" si="10"/>
        <v/>
      </c>
      <c r="Y69" s="53">
        <v>0</v>
      </c>
      <c r="Z69" s="56" t="str">
        <f t="shared" si="11"/>
        <v/>
      </c>
      <c r="AA69" s="56" t="str">
        <f t="shared" si="12"/>
        <v/>
      </c>
      <c r="AB69" s="56" t="str">
        <f t="shared" si="13"/>
        <v/>
      </c>
      <c r="AC69" s="56" t="str">
        <f t="shared" si="14"/>
        <v/>
      </c>
      <c r="AD69" s="56" t="str">
        <f t="shared" si="15"/>
        <v/>
      </c>
      <c r="AE69" s="40"/>
      <c r="AF69" s="40"/>
      <c r="AG69" s="40"/>
      <c r="AH69" s="56" t="str">
        <f t="shared" si="16"/>
        <v/>
      </c>
      <c r="AI69" s="54"/>
      <c r="AJ69" s="54"/>
      <c r="AK69" s="54"/>
      <c r="AL69" s="54"/>
      <c r="AM69" s="54"/>
    </row>
    <row r="70" spans="1:39">
      <c r="A70" s="96"/>
      <c r="B70" s="45" t="str" cm="1">
        <f t="array" ref="B70">IF(H70="PROJECT", CHAR(10) &amp; "- " &amp; _xlfn.TEXTJOIN(CHAR(10) &amp; "- ", TRUE, _xlfn._xlws.FILTER($I$9:$I$1000, ($C$9:$C$1000=C70) * ($H$9:$H$1000="Topic"))), "")</f>
        <v/>
      </c>
      <c r="C70" s="45">
        <f t="shared" si="0"/>
        <v>30</v>
      </c>
      <c r="D70" s="57"/>
      <c r="E70" s="58"/>
      <c r="F70" s="63"/>
      <c r="G70" s="60"/>
      <c r="H70" s="64"/>
      <c r="I70" s="61"/>
      <c r="J70" s="62"/>
      <c r="K70" s="103" t="str">
        <f t="shared" si="1"/>
        <v/>
      </c>
      <c r="L70" s="105" t="str">
        <f t="shared" si="2"/>
        <v/>
      </c>
      <c r="M70" s="52">
        <v>0</v>
      </c>
      <c r="N70" s="104" t="str">
        <f t="shared" si="3"/>
        <v/>
      </c>
      <c r="O70" s="105" t="str">
        <f t="shared" si="4"/>
        <v/>
      </c>
      <c r="P70" s="52">
        <v>0</v>
      </c>
      <c r="Q70" s="104" t="str">
        <f t="shared" si="5"/>
        <v/>
      </c>
      <c r="R70" s="105" t="str">
        <f t="shared" si="6"/>
        <v/>
      </c>
      <c r="S70" s="52">
        <v>0</v>
      </c>
      <c r="T70" s="104" t="str">
        <f t="shared" si="7"/>
        <v/>
      </c>
      <c r="U70" s="105" t="str">
        <f t="shared" si="8"/>
        <v/>
      </c>
      <c r="V70" s="52">
        <v>0</v>
      </c>
      <c r="W70" s="88" t="str">
        <f t="shared" si="9"/>
        <v/>
      </c>
      <c r="X70" s="105" t="str">
        <f t="shared" si="10"/>
        <v/>
      </c>
      <c r="Y70" s="52">
        <v>0</v>
      </c>
      <c r="Z70" s="56" t="str">
        <f t="shared" si="11"/>
        <v/>
      </c>
      <c r="AA70" s="56" t="str">
        <f t="shared" si="12"/>
        <v/>
      </c>
      <c r="AB70" s="56" t="str">
        <f t="shared" si="13"/>
        <v/>
      </c>
      <c r="AC70" s="56" t="str">
        <f t="shared" si="14"/>
        <v/>
      </c>
      <c r="AD70" s="56" t="str">
        <f t="shared" si="15"/>
        <v/>
      </c>
      <c r="AE70" s="40"/>
      <c r="AF70" s="40"/>
      <c r="AG70" s="40"/>
      <c r="AH70" s="56" t="str">
        <f t="shared" si="16"/>
        <v/>
      </c>
      <c r="AI70" s="54"/>
      <c r="AJ70" s="54"/>
      <c r="AK70" s="54"/>
      <c r="AL70" s="54"/>
      <c r="AM70" s="54"/>
    </row>
    <row r="71" spans="1:39">
      <c r="A71" s="96"/>
      <c r="B71" s="45" t="str" cm="1">
        <f t="array" ref="B71">IF(H71="PROJECT", CHAR(10) &amp; "- " &amp; _xlfn.TEXTJOIN(CHAR(10) &amp; "- ", TRUE, _xlfn._xlws.FILTER($I$9:$I$1000, ($C$9:$C$1000=C71) * ($H$9:$H$1000="Topic"))), "")</f>
        <v/>
      </c>
      <c r="C71" s="45">
        <f t="shared" si="0"/>
        <v>31</v>
      </c>
      <c r="D71" s="46"/>
      <c r="E71" s="58"/>
      <c r="F71" s="65"/>
      <c r="G71" s="49"/>
      <c r="H71" s="66"/>
      <c r="I71" s="50"/>
      <c r="J71" s="51"/>
      <c r="K71" s="103" t="str">
        <f t="shared" si="1"/>
        <v/>
      </c>
      <c r="L71" s="105" t="str">
        <f t="shared" si="2"/>
        <v/>
      </c>
      <c r="M71" s="53">
        <v>0</v>
      </c>
      <c r="N71" s="104" t="str">
        <f t="shared" si="3"/>
        <v/>
      </c>
      <c r="O71" s="105" t="str">
        <f t="shared" si="4"/>
        <v/>
      </c>
      <c r="P71" s="53">
        <v>0</v>
      </c>
      <c r="Q71" s="104" t="str">
        <f t="shared" si="5"/>
        <v/>
      </c>
      <c r="R71" s="105" t="str">
        <f t="shared" si="6"/>
        <v/>
      </c>
      <c r="S71" s="53">
        <v>0</v>
      </c>
      <c r="T71" s="104" t="str">
        <f t="shared" si="7"/>
        <v/>
      </c>
      <c r="U71" s="105" t="str">
        <f t="shared" si="8"/>
        <v/>
      </c>
      <c r="V71" s="53">
        <v>0</v>
      </c>
      <c r="W71" s="88" t="str">
        <f t="shared" si="9"/>
        <v/>
      </c>
      <c r="X71" s="105" t="str">
        <f t="shared" si="10"/>
        <v/>
      </c>
      <c r="Y71" s="53">
        <v>0</v>
      </c>
      <c r="Z71" s="56" t="str">
        <f t="shared" si="11"/>
        <v/>
      </c>
      <c r="AA71" s="56" t="str">
        <f t="shared" si="12"/>
        <v/>
      </c>
      <c r="AB71" s="56" t="str">
        <f t="shared" si="13"/>
        <v/>
      </c>
      <c r="AC71" s="56" t="str">
        <f t="shared" si="14"/>
        <v/>
      </c>
      <c r="AD71" s="56" t="str">
        <f t="shared" si="15"/>
        <v/>
      </c>
      <c r="AE71" s="40"/>
      <c r="AF71" s="40"/>
      <c r="AG71" s="40"/>
      <c r="AH71" s="56" t="str">
        <f t="shared" si="16"/>
        <v/>
      </c>
      <c r="AI71" s="54"/>
      <c r="AJ71" s="54"/>
      <c r="AK71" s="54"/>
      <c r="AL71" s="54"/>
      <c r="AM71" s="54"/>
    </row>
    <row r="72" spans="1:39">
      <c r="A72" s="96"/>
      <c r="B72" s="45" t="str" cm="1">
        <f t="array" ref="B72">IF(H72="PROJECT", CHAR(10) &amp; "- " &amp; _xlfn.TEXTJOIN(CHAR(10) &amp; "- ", TRUE, _xlfn._xlws.FILTER($I$9:$I$1000, ($C$9:$C$1000=C72) * ($H$9:$H$1000="Topic"))), "")</f>
        <v/>
      </c>
      <c r="C72" s="45">
        <f t="shared" si="0"/>
        <v>32</v>
      </c>
      <c r="D72" s="57"/>
      <c r="E72" s="58"/>
      <c r="F72" s="63"/>
      <c r="G72" s="60"/>
      <c r="H72" s="64"/>
      <c r="I72" s="61"/>
      <c r="J72" s="62"/>
      <c r="K72" s="103" t="str">
        <f t="shared" si="1"/>
        <v/>
      </c>
      <c r="L72" s="105" t="str">
        <f t="shared" si="2"/>
        <v/>
      </c>
      <c r="M72" s="52">
        <v>0</v>
      </c>
      <c r="N72" s="104" t="str">
        <f t="shared" si="3"/>
        <v/>
      </c>
      <c r="O72" s="105" t="str">
        <f t="shared" si="4"/>
        <v/>
      </c>
      <c r="P72" s="52">
        <v>0</v>
      </c>
      <c r="Q72" s="104" t="str">
        <f t="shared" si="5"/>
        <v/>
      </c>
      <c r="R72" s="105" t="str">
        <f t="shared" si="6"/>
        <v/>
      </c>
      <c r="S72" s="52">
        <v>0</v>
      </c>
      <c r="T72" s="104" t="str">
        <f t="shared" si="7"/>
        <v/>
      </c>
      <c r="U72" s="105" t="str">
        <f t="shared" si="8"/>
        <v/>
      </c>
      <c r="V72" s="52">
        <v>0</v>
      </c>
      <c r="W72" s="88" t="str">
        <f t="shared" si="9"/>
        <v/>
      </c>
      <c r="X72" s="105" t="str">
        <f t="shared" si="10"/>
        <v/>
      </c>
      <c r="Y72" s="52">
        <v>0</v>
      </c>
      <c r="Z72" s="56" t="str">
        <f t="shared" si="11"/>
        <v/>
      </c>
      <c r="AA72" s="56" t="str">
        <f t="shared" si="12"/>
        <v/>
      </c>
      <c r="AB72" s="56" t="str">
        <f t="shared" si="13"/>
        <v/>
      </c>
      <c r="AC72" s="56" t="str">
        <f t="shared" si="14"/>
        <v/>
      </c>
      <c r="AD72" s="56" t="str">
        <f t="shared" si="15"/>
        <v/>
      </c>
      <c r="AE72" s="40"/>
      <c r="AF72" s="40"/>
      <c r="AG72" s="40"/>
      <c r="AH72" s="56" t="str">
        <f t="shared" si="16"/>
        <v/>
      </c>
      <c r="AI72" s="54"/>
      <c r="AJ72" s="54"/>
      <c r="AK72" s="54"/>
      <c r="AL72" s="54"/>
      <c r="AM72" s="54"/>
    </row>
    <row r="73" spans="1:39">
      <c r="A73" s="96"/>
      <c r="B73" s="45" t="str" cm="1">
        <f t="array" ref="B73">IF(H73="PROJECT", CHAR(10) &amp; "- " &amp; _xlfn.TEXTJOIN(CHAR(10) &amp; "- ", TRUE, _xlfn._xlws.FILTER($I$9:$I$1000, ($C$9:$C$1000=C73) * ($H$9:$H$1000="Topic"))), "")</f>
        <v/>
      </c>
      <c r="C73" s="45">
        <f t="shared" ref="C73:C136" si="17">IF(AND(H73="Topic",H72="PROJECT"),C72+1,IF(H73="PROJECT",C72,IF(AND(H73="Topic",H72="Topic"),C72,C72+1)))</f>
        <v>33</v>
      </c>
      <c r="D73" s="46"/>
      <c r="E73" s="58"/>
      <c r="F73" s="67"/>
      <c r="G73" s="53"/>
      <c r="H73" s="49"/>
      <c r="I73" s="50"/>
      <c r="J73" s="51"/>
      <c r="K73" s="103" t="str">
        <f t="shared" si="1"/>
        <v/>
      </c>
      <c r="L73" s="105" t="str">
        <f t="shared" si="2"/>
        <v/>
      </c>
      <c r="M73" s="53">
        <v>0</v>
      </c>
      <c r="N73" s="104" t="str">
        <f t="shared" si="3"/>
        <v/>
      </c>
      <c r="O73" s="105" t="str">
        <f t="shared" si="4"/>
        <v/>
      </c>
      <c r="P73" s="53">
        <v>0</v>
      </c>
      <c r="Q73" s="104" t="str">
        <f t="shared" si="5"/>
        <v/>
      </c>
      <c r="R73" s="105" t="str">
        <f t="shared" si="6"/>
        <v/>
      </c>
      <c r="S73" s="53">
        <v>0</v>
      </c>
      <c r="T73" s="104" t="str">
        <f t="shared" si="7"/>
        <v/>
      </c>
      <c r="U73" s="105" t="str">
        <f t="shared" si="8"/>
        <v/>
      </c>
      <c r="V73" s="53">
        <v>0</v>
      </c>
      <c r="W73" s="88" t="str">
        <f t="shared" si="9"/>
        <v/>
      </c>
      <c r="X73" s="105" t="str">
        <f t="shared" si="10"/>
        <v/>
      </c>
      <c r="Y73" s="53">
        <v>0</v>
      </c>
      <c r="Z73" s="56" t="str">
        <f t="shared" si="11"/>
        <v/>
      </c>
      <c r="AA73" s="56" t="str">
        <f t="shared" si="12"/>
        <v/>
      </c>
      <c r="AB73" s="56" t="str">
        <f t="shared" si="13"/>
        <v/>
      </c>
      <c r="AC73" s="56" t="str">
        <f t="shared" si="14"/>
        <v/>
      </c>
      <c r="AD73" s="56" t="str">
        <f t="shared" si="15"/>
        <v/>
      </c>
      <c r="AE73" s="40"/>
      <c r="AF73" s="40"/>
      <c r="AG73" s="40"/>
      <c r="AH73" s="56" t="str">
        <f t="shared" si="16"/>
        <v/>
      </c>
      <c r="AI73" s="54"/>
      <c r="AJ73" s="54"/>
      <c r="AK73" s="54"/>
      <c r="AL73" s="54"/>
      <c r="AM73" s="54"/>
    </row>
    <row r="74" spans="1:39">
      <c r="A74" s="96"/>
      <c r="B74" s="45" t="str" cm="1">
        <f t="array" ref="B74">IF(H74="PROJECT", CHAR(10) &amp; "- " &amp; _xlfn.TEXTJOIN(CHAR(10) &amp; "- ", TRUE, _xlfn._xlws.FILTER($I$9:$I$1000, ($C$9:$C$1000=C74) * ($H$9:$H$1000="Topic"))), "")</f>
        <v/>
      </c>
      <c r="C74" s="45">
        <f t="shared" si="17"/>
        <v>34</v>
      </c>
      <c r="D74" s="57"/>
      <c r="E74" s="58"/>
      <c r="F74" s="54"/>
      <c r="G74" s="52"/>
      <c r="H74" s="52"/>
      <c r="I74" s="61"/>
      <c r="J74" s="62"/>
      <c r="K74" s="103" t="str">
        <f t="shared" ref="K74:K137" si="18">IF(H74="Topic",
"[ROLE] Friendly tutor specializing in " &amp; $I$2 &amp; " | " &amp;
"[TOPIC] " &amp; I74 &amp; " | " &amp;
"[LEVEL] " &amp; G74 &amp; " | " &amp;
"[COUNT] " &amp; D74 &amp; " examples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$A74 &amp; " lines of EXECUTABLE code (STRICT: Do NOT count comments or blank lines). - NEVER exceed this limit. | " &amp;
"[CODE CONSTRAINTS] Single logical flow (no unnecessary complexity) - CRITICAL PROHIBITION: Do NOT include 'if __name__ == '__main__':' blocks or 'pass' statements. Write scripts as flat, top-level execution flows. | " &amp;
"[SYNTAX CONFIGURATION RULE] This: " &amp; IF(F74&gt;=10, "You MUST format output strings elegantly using f-strings natively.", "CRITICAL PROHIBITION: Do NOT use f-strings (f""..."") or any advanced text formatting methods yet. Use basic print() with multiple arguments separated by commas for text labels and variables.")&amp;" | " &amp;
"[FUNCTION RULE] STRICT ARCHITECTURE: " &amp; IF(G74="Beginner","Do NOT use functions unless absolutely required by the concept. Use flat, linear scripts. ",IF(G74="Intermediate","MUST use modular functions. Encapsulate logic in def blocks. ","MUST use modular functions. ABSOLUTELY PROHIBITED: Flat linear scripts. All logic must be contained within callable functions with clear entry points.")) &amp; " | " &amp;
"[FILE HANDLING RULE] Use correct loaders and enforce encoding='utf-8' and newline='' when applicable | " &amp;
"[SUPPORT FILES RULE] If env/config is used, include: 1. Instructional sentence 2. File content in markdown code block 3. BEFORE the main code | " &amp;
"[OUTPUT FORMAT RULE] This: " &amp; IF(F74&gt;=10, "Monetary values formatted with '$', commas, 2 decimals using f-strings.", "Print raw numeric outputs directly without forcing custom monetary formatting structures yet.")&amp;" | " &amp;
"[BOOLEAN HANDLING RULE] Normalize boolean values before comparison | " &amp;
"[DATA TYPE RULE] Explicit casting required before calculations | " &amp;
"[DATA ROBUSTNESS RULE] Handle missing, malformed, or inconsistent data safely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D74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c>
      <c r="L74" s="105" t="str">
        <f t="shared" ref="L74:L137" si="19">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B74 &amp; ". Project objective: " &amp; J74, "learning: " &amp; I74 &amp; ". Topic details: " &amp; J74)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"[ARCHITECTURAL CONSTRAINTS] "&amp; IF(G74="Beginner","Do NOT use functions unless absolutely required by the concept. Use flat, linear scripts. NO classes. ", IF(G74="Intermediate","MUST use modular functions ONLY IF the student attempted them or the exercise explicitly demands it. Do NOT over-refactor flat scripts just to make them modular. NO classes. ","MUST use modular functions appropriately for architecture and clarity. "))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c>
      <c r="M74" s="52">
        <v>0</v>
      </c>
      <c r="N74" s="104" t="str">
        <f t="shared" ref="N74:N137" si="20">IF(H74="Topic",
"[ROLE] Careless " &amp; $I$2 &amp; " Developer | " &amp;
"[TASK] Generate debugging challenges in " &amp; $I$2 &amp; " | | " &amp;
"[TOPIC] " &amp; I74 &amp; " | | " &amp;
"[LEVEL] " &amp; G74 &amp; " | | " &amp;
"[COUNT] " &amp; D74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"[FILE HANDLING RULE] Use correct loaders and enforce encoding='utf-8' and newline='' when applicable | " &amp;
"[DATA TYPE RULE] Explicit casting required before comparisons or calculations | " &amp;
"[ENV USAGE RULE] Environment variables may be used but bugs MUST exist ONLY in code logic, NEVER in config files | " &amp;
"[CODE CONSTRAINTS] Each challenge MUST include: - Internal data OR dataset usage (based on DATA RULE) - At least 1 loop (when applicable) - At least 1 print statement - " &amp; IF(G74="Beginner", "5–15", IF(G74="Intermediate", "10–25", "15–35")) &amp; " lines of EXECUTABLE code per example (STRICT: Do NOT count blank lines towards this limit) " &amp; IF(G74&lt;&gt;"Advanced", "- NO classes ", "") &amp; "- EXACTLY 1 function - EXACTLY 1 function call - NO global executable code EXCEPT the single function call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
      </c>
      <c r="O74" s="105" t="str">
        <f t="shared" ref="O74:O137" si="21">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B74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74" s="52">
        <v>0</v>
      </c>
      <c r="Q74" s="104" t="str">
        <f t="shared" ref="Q74:Q137" si="22">IF(H74="Topic",
"[ROLE] Tech Lead | " &amp;
"[TASK] Assign incomplete " &amp; $I$2 &amp; " script challenges | " &amp;
"[TOPIC] " &amp; I74 &amp; " | " &amp;
"[LEVEL] " &amp; G74 &amp; " | " &amp;
"[COUNT] " &amp; D74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
"[FILE PROCESSING RULE] Use standard native libraries for " &amp; $I$2 &amp; " to parse the file type correctly. Adapt code to data structure (tabular, key-value, etc.). Dataset exists locally with original filename. | " &amp;
"[CODE CONSTRAINTS] MUST be between " &amp; IF(G74="Beginner", "5–15", IF(G74="Intermediate", "10–25", "15–35")) &amp; " lines of EXECUTABLE code (STRICT: Do NOT count comments or TODOs) - Length MUST vary across challenges - EXACTLY 1 function - EXACTLY 1 function call - NO classes - NO multiple functions - NO global code EXCEPT the single function call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
      </c>
      <c r="R74" s="105" t="str">
        <f t="shared" ref="R74:R137" si="23">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B74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74" s="52">
        <v>0</v>
      </c>
      <c r="T74" s="104" t="str">
        <f t="shared" ref="T74:T137" si="24">IF(H74="Topic",
"[ROLE] Tech Lead | " &amp;
"[TASK] Provide intentionally messy but functional code for learning debugging and improvement | " &amp;
"[TOPIC] " &amp; I74 &amp; " | " &amp;
"[LEVEL] " &amp; G74 &amp; " | " &amp;
"[COUNT] " &amp; D74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"[FUNCTION RULE] Rule: " &amp; IF(G74="Beginner", "Do NOT use functions unless absolutely required by the concept. Use linear scripts. ", IF(G74="Intermediate", "Functions are optional. Use them only if they improve clarity. Avoid over-engineering. ", "Use functions appropriately but code can still be messy. " ))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
      </c>
      <c r="U74" s="105" t="str">
        <f t="shared" ref="U74:U137" si="25">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B74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74" s="52">
        <v>0</v>
      </c>
      <c r="W74" s="88" t="str">
        <f t="shared" ref="W74:W137" si="26">IF(H74="Topic",
"[ROLE] Tech Product Manager assigning a " &amp; $I$2 &amp; " Jira Ticket | " &amp;
"[TASK] Provide a guided implementation exercise with full solution for learning purposes | " &amp;
"[TOPIC] " &amp; I74 &amp; " | " &amp;
"[LEVEL] " &amp; G74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_xlfn._LONGTEXT("[CRITICAL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Rule: " &amp; IF(G74="Beginner", "Use simple scripts or minimal functions. ", IF(G74="Intermediate", "Use functions where appropriate. ", "Use modular functions with clear structure. ")) &amp; " | " &amp;
"[CODE QUALITY RULE] Code MUST be clean, readable, and production-like | " &amp;
"[FILE HANDLING RULE] Use correct loaders and enforce encoding='utf-8' and newline=' when applicable | " &amp;
"[DATA TYPE RULE] Explicit casting required before calculations | " &amp;
"[DATA ROBUSTNESS RULE] Handle missing or malformed data safely | " &amp;
"[BOOLEAN HANDLING RULE] Normalize boolean values before comparison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
      </c>
      <c r="X74" s="105" t="str">
        <f t="shared" ref="X74:X137" si="27">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B74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74" s="52">
        <v>0</v>
      </c>
      <c r="Z74" s="56" t="str">
        <f t="shared" ref="Z74:Z137" si="28">IF(H74&lt;&gt;"PROJECT","",
"[TASK] Teach through a practical " &amp; $I$2 &amp; " - " &amp; $I$3 &amp; " project following the micro-learning methodology, acting as a supportive tutor, creating a project about  " &amp; I74 &amp; " | " &amp;
"[TOPICS USED] " &amp; B74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"[CODE CONSTRAINTS] MUST be between " &amp; IF(G74="Beginner", "25–40", IF(G74="Intermediate", "30–60", "40–100")) &amp; " lines (STRICT) - Multi-step flow " &amp; IF(G74&lt;&gt;"Advanced", "- NO classes ", "") &amp; " | " &amp;
"[FUNCTION RULE] " &amp; IF(G74="Beginner", "Avoid functions unless required. Use flat, linear scripts. ", IF(G74="Intermediate", "MUST use modular functions with a main() entry point. ", "MUST use well-structured modular functions with a main() entry point. " )) &amp; " | " &amp;
_xlfn._LONGTEXT("[ARCHITECTURE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
"[DATA ROBUSTNESS RULE] Handle real-world data safely | " &amp;
"[FILE HANDLING RULE] Use correct loaders and enforce encoding='utf-8' and newline='' when applicable | " &amp;
"[SUPPORT FILES RULE] IF an external configuration or data file is needed, include: 1. Short instructional sentence 2. File content in markdown code block 3. Place it strictly BEFORE the main code.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29">IF(H74&lt;&gt;"PROJECT","",
"[ROLE] Careless " &amp; $I$2 &amp; " Developer | " &amp;
"[TASK] Generate debugging project in " &amp; $I$2 &amp; " | " &amp;
"[PROJECT] " &amp; I74 &amp; " | " &amp;
"[TOPICS USED] " &amp; B74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"[ENV USAGE RULE] Bugs ONLY in code logic, not config files | " &amp;
"[SUPPORT FILES RULE] IF an external configuration or data file is needed, include: 1. Short instructional sentence 2. File content in markdown code block 3. Place it strictly BEFORE the main code. | " &amp;
_xlfn._LONGTEXT("[BUG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
"[NO SOLUTION RULE - STRICT] You are generating an EXAM. You MUST NOT provide the fixed code, bug diagnosis, hints, explanations, or takeaways. Output ONLY the broken code. Do NOT solve your own challenges. Let the student find the bugs.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0">IF(H74&lt;&gt;"PROJECT","",
"[ROLE] Tech Lead | " &amp;
"[TASK] Assign incomplete project script | " &amp;
"[PROJECT] " &amp; I74 &amp; " | " &amp;
"[TOPICS USED] " &amp; B74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"[CODE CONSTRAINTS] MUST be between " &amp; IF(G74="Beginner", "25–40", IF(G74="Intermediate", "30–60", "40–100")) &amp; " lines of EXECUTABLE code (STRICT: Do NOT count comments or TODOs) - Multi-step flow - Max 2 functions - NO OOP / classes | " &amp;
"[FILE PROCESSING RULE] Use standard native libraries for " &amp; $I$2 &amp; " to parse the file type correctly. Adapt code to data structure. Dataset exists locally with original filename.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1">IF(H74&lt;&gt;"PROJECT","",
"[ROLE] Tech Lead | " &amp;
"[TASK] Provide a messy but functional project for refactoring | " &amp;
"[PROJECT] " &amp; I74 &amp; " | " &amp;
"[TOPICS USED] " &amp; B74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"[FUNCTION RULE] Rule: " &amp; IF(G74="Beginner", "Avoid functions unless required. ", IF(G74="Intermediate", "Functions optional. ", "Use 2–4 functions but code can still be messy. " ))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2">IF(H74&lt;&gt;"PROJECT","",
"[ROLE] Tech Product Manager assigning a " &amp; $I$2 &amp; " Jira Ticket | " &amp;
"[TASK] Provide a guided project implementation with full solution | " &amp;
"[PROJECT] " &amp; I74 &amp; " | " &amp;
"[TOPICS USED] " &amp; B74 &amp; " | " &amp;
"[LEVEL] " &amp; G74 &amp; " | " &amp;
"[PERSONA RULE] Act as a professional Tech Product Manager defining a project ticket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classes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6"/>
        <v/>
      </c>
      <c r="AI74" s="54"/>
      <c r="AJ74" s="54"/>
      <c r="AK74" s="54"/>
      <c r="AL74" s="54"/>
      <c r="AM74" s="54"/>
    </row>
    <row r="75" spans="1:39">
      <c r="A75" s="96"/>
      <c r="B75" s="45" t="str" cm="1">
        <f t="array" ref="B75">IF(H75="PROJECT", CHAR(10) &amp; "- " &amp; _xlfn.TEXTJOIN(CHAR(10) &amp; "- ", TRUE, _xlfn._xlws.FILTER($I$9:$I$1000, ($C$9:$C$1000=C75) * ($H$9:$H$1000="Topic"))), "")</f>
        <v/>
      </c>
      <c r="C75" s="45">
        <f t="shared" si="17"/>
        <v>35</v>
      </c>
      <c r="D75" s="46"/>
      <c r="E75" s="58"/>
      <c r="F75" s="67"/>
      <c r="G75" s="53"/>
      <c r="H75" s="53"/>
      <c r="I75" s="50"/>
      <c r="J75" s="51"/>
      <c r="K75" s="103" t="str">
        <f t="shared" si="18"/>
        <v/>
      </c>
      <c r="L75" s="105" t="str">
        <f t="shared" si="19"/>
        <v/>
      </c>
      <c r="M75" s="53">
        <v>0</v>
      </c>
      <c r="N75" s="104" t="str">
        <f t="shared" si="20"/>
        <v/>
      </c>
      <c r="O75" s="105" t="str">
        <f t="shared" si="21"/>
        <v/>
      </c>
      <c r="P75" s="53">
        <v>0</v>
      </c>
      <c r="Q75" s="104" t="str">
        <f t="shared" si="22"/>
        <v/>
      </c>
      <c r="R75" s="105" t="str">
        <f t="shared" si="23"/>
        <v/>
      </c>
      <c r="S75" s="53">
        <v>0</v>
      </c>
      <c r="T75" s="104" t="str">
        <f t="shared" si="24"/>
        <v/>
      </c>
      <c r="U75" s="105" t="str">
        <f t="shared" si="25"/>
        <v/>
      </c>
      <c r="V75" s="53">
        <v>0</v>
      </c>
      <c r="W75" s="88" t="str">
        <f t="shared" si="26"/>
        <v/>
      </c>
      <c r="X75" s="105" t="str">
        <f t="shared" si="27"/>
        <v/>
      </c>
      <c r="Y75" s="53">
        <v>0</v>
      </c>
      <c r="Z75" s="56" t="str">
        <f t="shared" si="28"/>
        <v/>
      </c>
      <c r="AA75" s="56" t="str">
        <f t="shared" si="29"/>
        <v/>
      </c>
      <c r="AB75" s="56" t="str">
        <f t="shared" si="30"/>
        <v/>
      </c>
      <c r="AC75" s="56" t="str">
        <f t="shared" si="31"/>
        <v/>
      </c>
      <c r="AD75" s="56" t="str">
        <f t="shared" si="32"/>
        <v/>
      </c>
      <c r="AE75" s="40"/>
      <c r="AF75" s="40"/>
      <c r="AG75" s="40"/>
      <c r="AH75" s="56" t="str">
        <f t="shared" si="16"/>
        <v/>
      </c>
      <c r="AI75" s="54"/>
      <c r="AJ75" s="54"/>
      <c r="AK75" s="54"/>
      <c r="AL75" s="54"/>
      <c r="AM75" s="54"/>
    </row>
    <row r="76" spans="1:39">
      <c r="A76" s="96"/>
      <c r="B76" s="45" t="str" cm="1">
        <f t="array" ref="B76">IF(H76="PROJECT", CHAR(10) &amp; "- " &amp; _xlfn.TEXTJOIN(CHAR(10) &amp; "- ", TRUE, _xlfn._xlws.FILTER($I$9:$I$1000, ($C$9:$C$1000=C76) * ($H$9:$H$1000="Topic"))), "")</f>
        <v/>
      </c>
      <c r="C76" s="45">
        <f t="shared" si="17"/>
        <v>36</v>
      </c>
      <c r="D76" s="57"/>
      <c r="E76" s="58"/>
      <c r="F76" s="54"/>
      <c r="G76" s="52"/>
      <c r="H76" s="52"/>
      <c r="I76" s="61"/>
      <c r="J76" s="62"/>
      <c r="K76" s="103" t="str">
        <f t="shared" si="18"/>
        <v/>
      </c>
      <c r="L76" s="105" t="str">
        <f t="shared" si="19"/>
        <v/>
      </c>
      <c r="M76" s="52">
        <v>0</v>
      </c>
      <c r="N76" s="104" t="str">
        <f t="shared" si="20"/>
        <v/>
      </c>
      <c r="O76" s="105" t="str">
        <f t="shared" si="21"/>
        <v/>
      </c>
      <c r="P76" s="52">
        <v>0</v>
      </c>
      <c r="Q76" s="104" t="str">
        <f t="shared" si="22"/>
        <v/>
      </c>
      <c r="R76" s="105" t="str">
        <f t="shared" si="23"/>
        <v/>
      </c>
      <c r="S76" s="52">
        <v>0</v>
      </c>
      <c r="T76" s="104" t="str">
        <f t="shared" si="24"/>
        <v/>
      </c>
      <c r="U76" s="105" t="str">
        <f t="shared" si="25"/>
        <v/>
      </c>
      <c r="V76" s="52">
        <v>0</v>
      </c>
      <c r="W76" s="88" t="str">
        <f t="shared" si="26"/>
        <v/>
      </c>
      <c r="X76" s="105" t="str">
        <f t="shared" si="27"/>
        <v/>
      </c>
      <c r="Y76" s="52">
        <v>0</v>
      </c>
      <c r="Z76" s="56" t="str">
        <f t="shared" si="28"/>
        <v/>
      </c>
      <c r="AA76" s="56" t="str">
        <f t="shared" si="29"/>
        <v/>
      </c>
      <c r="AB76" s="56" t="str">
        <f t="shared" si="30"/>
        <v/>
      </c>
      <c r="AC76" s="56" t="str">
        <f t="shared" si="31"/>
        <v/>
      </c>
      <c r="AD76" s="56" t="str">
        <f t="shared" si="32"/>
        <v/>
      </c>
      <c r="AE76" s="40"/>
      <c r="AF76" s="40"/>
      <c r="AG76" s="40"/>
      <c r="AH76" s="56" t="str">
        <f t="shared" si="16"/>
        <v/>
      </c>
      <c r="AI76" s="54"/>
      <c r="AJ76" s="54"/>
      <c r="AK76" s="54"/>
      <c r="AL76" s="54"/>
      <c r="AM76" s="54"/>
    </row>
    <row r="77" spans="1:39">
      <c r="A77" s="96"/>
      <c r="B77" s="45" t="str" cm="1">
        <f t="array" ref="B77">IF(H77="PROJECT", CHAR(10) &amp; "- " &amp; _xlfn.TEXTJOIN(CHAR(10) &amp; "- ", TRUE, _xlfn._xlws.FILTER($I$9:$I$1000, ($C$9:$C$1000=C77) * ($H$9:$H$1000="Topic"))), "")</f>
        <v/>
      </c>
      <c r="C77" s="45">
        <f t="shared" si="17"/>
        <v>37</v>
      </c>
      <c r="D77" s="46"/>
      <c r="E77" s="58"/>
      <c r="F77" s="67"/>
      <c r="G77" s="53"/>
      <c r="H77" s="53"/>
      <c r="I77" s="50"/>
      <c r="J77" s="51"/>
      <c r="K77" s="103" t="str">
        <f t="shared" si="18"/>
        <v/>
      </c>
      <c r="L77" s="105" t="str">
        <f t="shared" si="19"/>
        <v/>
      </c>
      <c r="M77" s="53">
        <v>0</v>
      </c>
      <c r="N77" s="104" t="str">
        <f t="shared" si="20"/>
        <v/>
      </c>
      <c r="O77" s="105" t="str">
        <f t="shared" si="21"/>
        <v/>
      </c>
      <c r="P77" s="53">
        <v>0</v>
      </c>
      <c r="Q77" s="104" t="str">
        <f t="shared" si="22"/>
        <v/>
      </c>
      <c r="R77" s="105" t="str">
        <f t="shared" si="23"/>
        <v/>
      </c>
      <c r="S77" s="53">
        <v>0</v>
      </c>
      <c r="T77" s="104" t="str">
        <f t="shared" si="24"/>
        <v/>
      </c>
      <c r="U77" s="105" t="str">
        <f t="shared" si="25"/>
        <v/>
      </c>
      <c r="V77" s="53">
        <v>0</v>
      </c>
      <c r="W77" s="88" t="str">
        <f t="shared" si="26"/>
        <v/>
      </c>
      <c r="X77" s="105" t="str">
        <f t="shared" si="27"/>
        <v/>
      </c>
      <c r="Y77" s="53">
        <v>0</v>
      </c>
      <c r="Z77" s="56" t="str">
        <f t="shared" si="28"/>
        <v/>
      </c>
      <c r="AA77" s="56" t="str">
        <f t="shared" si="29"/>
        <v/>
      </c>
      <c r="AB77" s="56" t="str">
        <f t="shared" si="30"/>
        <v/>
      </c>
      <c r="AC77" s="56" t="str">
        <f t="shared" si="31"/>
        <v/>
      </c>
      <c r="AD77" s="56" t="str">
        <f t="shared" si="32"/>
        <v/>
      </c>
      <c r="AE77" s="40"/>
      <c r="AF77" s="40"/>
      <c r="AG77" s="40"/>
      <c r="AH77" s="56" t="str">
        <f t="shared" ref="AH77:AH140" si="33">IF(AE77=$B$6,AG77,"")</f>
        <v/>
      </c>
      <c r="AI77" s="54"/>
      <c r="AJ77" s="54"/>
      <c r="AK77" s="54"/>
      <c r="AL77" s="54"/>
      <c r="AM77" s="54"/>
    </row>
    <row r="78" spans="1:39">
      <c r="A78" s="96"/>
      <c r="B78" s="45" t="str" cm="1">
        <f t="array" ref="B78">IF(H78="PROJECT", CHAR(10) &amp; "- " &amp; _xlfn.TEXTJOIN(CHAR(10) &amp; "- ", TRUE, _xlfn._xlws.FILTER($I$9:$I$1000, ($C$9:$C$1000=C78) * ($H$9:$H$1000="Topic"))), "")</f>
        <v/>
      </c>
      <c r="C78" s="45">
        <f t="shared" si="17"/>
        <v>38</v>
      </c>
      <c r="D78" s="57"/>
      <c r="E78" s="58"/>
      <c r="F78" s="54"/>
      <c r="G78" s="52"/>
      <c r="H78" s="52"/>
      <c r="I78" s="61"/>
      <c r="J78" s="62"/>
      <c r="K78" s="103" t="str">
        <f t="shared" si="18"/>
        <v/>
      </c>
      <c r="L78" s="105" t="str">
        <f t="shared" si="19"/>
        <v/>
      </c>
      <c r="M78" s="52">
        <v>0</v>
      </c>
      <c r="N78" s="104" t="str">
        <f t="shared" si="20"/>
        <v/>
      </c>
      <c r="O78" s="105" t="str">
        <f t="shared" si="21"/>
        <v/>
      </c>
      <c r="P78" s="52">
        <v>0</v>
      </c>
      <c r="Q78" s="104" t="str">
        <f t="shared" si="22"/>
        <v/>
      </c>
      <c r="R78" s="105" t="str">
        <f t="shared" si="23"/>
        <v/>
      </c>
      <c r="S78" s="52">
        <v>0</v>
      </c>
      <c r="T78" s="104" t="str">
        <f t="shared" si="24"/>
        <v/>
      </c>
      <c r="U78" s="105" t="str">
        <f t="shared" si="25"/>
        <v/>
      </c>
      <c r="V78" s="52">
        <v>0</v>
      </c>
      <c r="W78" s="88" t="str">
        <f t="shared" si="26"/>
        <v/>
      </c>
      <c r="X78" s="105" t="str">
        <f t="shared" si="27"/>
        <v/>
      </c>
      <c r="Y78" s="52">
        <v>0</v>
      </c>
      <c r="Z78" s="56" t="str">
        <f t="shared" si="28"/>
        <v/>
      </c>
      <c r="AA78" s="56" t="str">
        <f t="shared" si="29"/>
        <v/>
      </c>
      <c r="AB78" s="56" t="str">
        <f t="shared" si="30"/>
        <v/>
      </c>
      <c r="AC78" s="56" t="str">
        <f t="shared" si="31"/>
        <v/>
      </c>
      <c r="AD78" s="56" t="str">
        <f t="shared" si="32"/>
        <v/>
      </c>
      <c r="AE78" s="40"/>
      <c r="AF78" s="40"/>
      <c r="AG78" s="40"/>
      <c r="AH78" s="56" t="str">
        <f t="shared" si="33"/>
        <v/>
      </c>
      <c r="AI78" s="54"/>
      <c r="AJ78" s="54"/>
      <c r="AK78" s="54"/>
      <c r="AL78" s="54"/>
      <c r="AM78" s="54"/>
    </row>
    <row r="79" spans="1:39">
      <c r="A79" s="96"/>
      <c r="B79" s="45" t="str" cm="1">
        <f t="array" ref="B79">IF(H79="PROJECT", CHAR(10) &amp; "- " &amp; _xlfn.TEXTJOIN(CHAR(10) &amp; "- ", TRUE, _xlfn._xlws.FILTER($I$9:$I$1000, ($C$9:$C$1000=C79) * ($H$9:$H$1000="Topic"))), "")</f>
        <v/>
      </c>
      <c r="C79" s="45">
        <f t="shared" si="17"/>
        <v>39</v>
      </c>
      <c r="D79" s="46"/>
      <c r="E79" s="58"/>
      <c r="F79" s="67"/>
      <c r="G79" s="53"/>
      <c r="H79" s="53"/>
      <c r="I79" s="50"/>
      <c r="J79" s="51"/>
      <c r="K79" s="103" t="str">
        <f t="shared" si="18"/>
        <v/>
      </c>
      <c r="L79" s="105" t="str">
        <f t="shared" si="19"/>
        <v/>
      </c>
      <c r="M79" s="53">
        <v>0</v>
      </c>
      <c r="N79" s="104" t="str">
        <f t="shared" si="20"/>
        <v/>
      </c>
      <c r="O79" s="105" t="str">
        <f t="shared" si="21"/>
        <v/>
      </c>
      <c r="P79" s="53">
        <v>0</v>
      </c>
      <c r="Q79" s="104" t="str">
        <f t="shared" si="22"/>
        <v/>
      </c>
      <c r="R79" s="105" t="str">
        <f t="shared" si="23"/>
        <v/>
      </c>
      <c r="S79" s="53">
        <v>0</v>
      </c>
      <c r="T79" s="104" t="str">
        <f t="shared" si="24"/>
        <v/>
      </c>
      <c r="U79" s="105" t="str">
        <f t="shared" si="25"/>
        <v/>
      </c>
      <c r="V79" s="53">
        <v>0</v>
      </c>
      <c r="W79" s="88" t="str">
        <f t="shared" si="26"/>
        <v/>
      </c>
      <c r="X79" s="105" t="str">
        <f t="shared" si="27"/>
        <v/>
      </c>
      <c r="Y79" s="53">
        <v>0</v>
      </c>
      <c r="Z79" s="56" t="str">
        <f t="shared" si="28"/>
        <v/>
      </c>
      <c r="AA79" s="56" t="str">
        <f t="shared" si="29"/>
        <v/>
      </c>
      <c r="AB79" s="56" t="str">
        <f t="shared" si="30"/>
        <v/>
      </c>
      <c r="AC79" s="56" t="str">
        <f t="shared" si="31"/>
        <v/>
      </c>
      <c r="AD79" s="56" t="str">
        <f t="shared" si="32"/>
        <v/>
      </c>
      <c r="AE79" s="40"/>
      <c r="AF79" s="40"/>
      <c r="AG79" s="40"/>
      <c r="AH79" s="56" t="str">
        <f t="shared" si="33"/>
        <v/>
      </c>
      <c r="AI79" s="54"/>
      <c r="AJ79" s="54"/>
      <c r="AK79" s="54"/>
      <c r="AL79" s="54"/>
      <c r="AM79" s="54"/>
    </row>
    <row r="80" spans="1:39">
      <c r="A80" s="96"/>
      <c r="B80" s="45" t="str" cm="1">
        <f t="array" ref="B80">IF(H80="PROJECT", CHAR(10) &amp; "- " &amp; _xlfn.TEXTJOIN(CHAR(10) &amp; "- ", TRUE, _xlfn._xlws.FILTER($I$9:$I$1000, ($C$9:$C$1000=C80) * ($H$9:$H$1000="Topic"))), "")</f>
        <v/>
      </c>
      <c r="C80" s="45">
        <f t="shared" si="17"/>
        <v>40</v>
      </c>
      <c r="D80" s="57"/>
      <c r="E80" s="58"/>
      <c r="F80" s="54"/>
      <c r="G80" s="52"/>
      <c r="H80" s="60"/>
      <c r="I80" s="61"/>
      <c r="J80" s="62"/>
      <c r="K80" s="103" t="str">
        <f t="shared" si="18"/>
        <v/>
      </c>
      <c r="L80" s="105" t="str">
        <f t="shared" si="19"/>
        <v/>
      </c>
      <c r="M80" s="52">
        <v>0</v>
      </c>
      <c r="N80" s="104" t="str">
        <f t="shared" si="20"/>
        <v/>
      </c>
      <c r="O80" s="105" t="str">
        <f t="shared" si="21"/>
        <v/>
      </c>
      <c r="P80" s="52">
        <v>0</v>
      </c>
      <c r="Q80" s="104" t="str">
        <f t="shared" si="22"/>
        <v/>
      </c>
      <c r="R80" s="105" t="str">
        <f t="shared" si="23"/>
        <v/>
      </c>
      <c r="S80" s="52">
        <v>0</v>
      </c>
      <c r="T80" s="104" t="str">
        <f t="shared" si="24"/>
        <v/>
      </c>
      <c r="U80" s="105" t="str">
        <f t="shared" si="25"/>
        <v/>
      </c>
      <c r="V80" s="52">
        <v>0</v>
      </c>
      <c r="W80" s="88" t="str">
        <f t="shared" si="26"/>
        <v/>
      </c>
      <c r="X80" s="105" t="str">
        <f t="shared" si="27"/>
        <v/>
      </c>
      <c r="Y80" s="52">
        <v>0</v>
      </c>
      <c r="Z80" s="56" t="str">
        <f t="shared" si="28"/>
        <v/>
      </c>
      <c r="AA80" s="56" t="str">
        <f t="shared" si="29"/>
        <v/>
      </c>
      <c r="AB80" s="56" t="str">
        <f t="shared" si="30"/>
        <v/>
      </c>
      <c r="AC80" s="56" t="str">
        <f t="shared" si="31"/>
        <v/>
      </c>
      <c r="AD80" s="56" t="str">
        <f t="shared" si="32"/>
        <v/>
      </c>
      <c r="AE80" s="40"/>
      <c r="AF80" s="40"/>
      <c r="AG80" s="40"/>
      <c r="AH80" s="56" t="str">
        <f t="shared" si="33"/>
        <v/>
      </c>
      <c r="AI80" s="54"/>
      <c r="AJ80" s="54"/>
      <c r="AK80" s="54"/>
      <c r="AL80" s="54"/>
      <c r="AM80" s="54"/>
    </row>
    <row r="81" spans="1:39">
      <c r="A81" s="96"/>
      <c r="B81" s="45" t="str" cm="1">
        <f t="array" ref="B81">IF(H81="PROJECT", CHAR(10) &amp; "- " &amp; _xlfn.TEXTJOIN(CHAR(10) &amp; "- ", TRUE, _xlfn._xlws.FILTER($I$9:$I$1000, ($C$9:$C$1000=C81) * ($H$9:$H$1000="Topic"))), "")</f>
        <v/>
      </c>
      <c r="C81" s="45">
        <f t="shared" si="17"/>
        <v>41</v>
      </c>
      <c r="D81" s="46"/>
      <c r="E81" s="58"/>
      <c r="F81" s="67"/>
      <c r="G81" s="53"/>
      <c r="H81" s="53"/>
      <c r="I81" s="50"/>
      <c r="J81" s="51"/>
      <c r="K81" s="103" t="str">
        <f t="shared" si="18"/>
        <v/>
      </c>
      <c r="L81" s="105" t="str">
        <f t="shared" si="19"/>
        <v/>
      </c>
      <c r="M81" s="53">
        <v>0</v>
      </c>
      <c r="N81" s="104" t="str">
        <f t="shared" si="20"/>
        <v/>
      </c>
      <c r="O81" s="105" t="str">
        <f t="shared" si="21"/>
        <v/>
      </c>
      <c r="P81" s="53">
        <v>0</v>
      </c>
      <c r="Q81" s="104" t="str">
        <f t="shared" si="22"/>
        <v/>
      </c>
      <c r="R81" s="105" t="str">
        <f t="shared" si="23"/>
        <v/>
      </c>
      <c r="S81" s="53">
        <v>0</v>
      </c>
      <c r="T81" s="104" t="str">
        <f t="shared" si="24"/>
        <v/>
      </c>
      <c r="U81" s="105" t="str">
        <f t="shared" si="25"/>
        <v/>
      </c>
      <c r="V81" s="53">
        <v>0</v>
      </c>
      <c r="W81" s="88" t="str">
        <f t="shared" si="26"/>
        <v/>
      </c>
      <c r="X81" s="105" t="str">
        <f t="shared" si="27"/>
        <v/>
      </c>
      <c r="Y81" s="53">
        <v>0</v>
      </c>
      <c r="Z81" s="56" t="str">
        <f t="shared" si="28"/>
        <v/>
      </c>
      <c r="AA81" s="56" t="str">
        <f t="shared" si="29"/>
        <v/>
      </c>
      <c r="AB81" s="56" t="str">
        <f t="shared" si="30"/>
        <v/>
      </c>
      <c r="AC81" s="56" t="str">
        <f t="shared" si="31"/>
        <v/>
      </c>
      <c r="AD81" s="56" t="str">
        <f t="shared" si="32"/>
        <v/>
      </c>
      <c r="AE81" s="40"/>
      <c r="AF81" s="40"/>
      <c r="AG81" s="40"/>
      <c r="AH81" s="56" t="str">
        <f t="shared" si="33"/>
        <v/>
      </c>
      <c r="AI81" s="54"/>
      <c r="AJ81" s="54"/>
      <c r="AK81" s="54"/>
      <c r="AL81" s="54"/>
      <c r="AM81" s="54"/>
    </row>
    <row r="82" spans="1:39">
      <c r="A82" s="96"/>
      <c r="B82" s="45" t="str" cm="1">
        <f t="array" ref="B82">IF(H82="PROJECT", CHAR(10) &amp; "- " &amp; _xlfn.TEXTJOIN(CHAR(10) &amp; "- ", TRUE, _xlfn._xlws.FILTER($I$9:$I$1000, ($C$9:$C$1000=C82) * ($H$9:$H$1000="Topic"))), "")</f>
        <v/>
      </c>
      <c r="C82" s="45">
        <f t="shared" si="17"/>
        <v>42</v>
      </c>
      <c r="D82" s="57"/>
      <c r="E82" s="58"/>
      <c r="F82" s="54"/>
      <c r="G82" s="52"/>
      <c r="H82" s="52"/>
      <c r="I82" s="61"/>
      <c r="J82" s="62"/>
      <c r="K82" s="103" t="str">
        <f t="shared" si="18"/>
        <v/>
      </c>
      <c r="L82" s="105" t="str">
        <f t="shared" si="19"/>
        <v/>
      </c>
      <c r="M82" s="52">
        <v>0</v>
      </c>
      <c r="N82" s="104" t="str">
        <f t="shared" si="20"/>
        <v/>
      </c>
      <c r="O82" s="105" t="str">
        <f t="shared" si="21"/>
        <v/>
      </c>
      <c r="P82" s="52">
        <v>0</v>
      </c>
      <c r="Q82" s="104" t="str">
        <f t="shared" si="22"/>
        <v/>
      </c>
      <c r="R82" s="105" t="str">
        <f t="shared" si="23"/>
        <v/>
      </c>
      <c r="S82" s="52">
        <v>0</v>
      </c>
      <c r="T82" s="104" t="str">
        <f t="shared" si="24"/>
        <v/>
      </c>
      <c r="U82" s="105" t="str">
        <f t="shared" si="25"/>
        <v/>
      </c>
      <c r="V82" s="52">
        <v>0</v>
      </c>
      <c r="W82" s="88" t="str">
        <f t="shared" si="26"/>
        <v/>
      </c>
      <c r="X82" s="105" t="str">
        <f t="shared" si="27"/>
        <v/>
      </c>
      <c r="Y82" s="52">
        <v>0</v>
      </c>
      <c r="Z82" s="56" t="str">
        <f t="shared" si="28"/>
        <v/>
      </c>
      <c r="AA82" s="56" t="str">
        <f t="shared" si="29"/>
        <v/>
      </c>
      <c r="AB82" s="56" t="str">
        <f t="shared" si="30"/>
        <v/>
      </c>
      <c r="AC82" s="56" t="str">
        <f t="shared" si="31"/>
        <v/>
      </c>
      <c r="AD82" s="56" t="str">
        <f t="shared" si="32"/>
        <v/>
      </c>
      <c r="AE82" s="40"/>
      <c r="AF82" s="40"/>
      <c r="AG82" s="40"/>
      <c r="AH82" s="56" t="str">
        <f t="shared" si="33"/>
        <v/>
      </c>
      <c r="AI82" s="54"/>
      <c r="AJ82" s="54"/>
      <c r="AK82" s="54"/>
      <c r="AL82" s="54"/>
      <c r="AM82" s="54"/>
    </row>
    <row r="83" spans="1:39">
      <c r="A83" s="96"/>
      <c r="B83" s="45" t="str" cm="1">
        <f t="array" ref="B83">IF(H83="PROJECT", CHAR(10) &amp; "- " &amp; _xlfn.TEXTJOIN(CHAR(10) &amp; "- ", TRUE, _xlfn._xlws.FILTER($I$9:$I$1000, ($C$9:$C$1000=C83) * ($H$9:$H$1000="Topic"))), "")</f>
        <v/>
      </c>
      <c r="C83" s="45">
        <f t="shared" si="17"/>
        <v>43</v>
      </c>
      <c r="D83" s="46"/>
      <c r="E83" s="58"/>
      <c r="F83" s="67"/>
      <c r="G83" s="53"/>
      <c r="H83" s="53"/>
      <c r="I83" s="50"/>
      <c r="J83" s="51"/>
      <c r="K83" s="103" t="str">
        <f t="shared" si="18"/>
        <v/>
      </c>
      <c r="L83" s="105" t="str">
        <f t="shared" si="19"/>
        <v/>
      </c>
      <c r="M83" s="53">
        <v>0</v>
      </c>
      <c r="N83" s="104" t="str">
        <f t="shared" si="20"/>
        <v/>
      </c>
      <c r="O83" s="105" t="str">
        <f t="shared" si="21"/>
        <v/>
      </c>
      <c r="P83" s="53">
        <v>0</v>
      </c>
      <c r="Q83" s="104" t="str">
        <f t="shared" si="22"/>
        <v/>
      </c>
      <c r="R83" s="105" t="str">
        <f t="shared" si="23"/>
        <v/>
      </c>
      <c r="S83" s="53">
        <v>0</v>
      </c>
      <c r="T83" s="104" t="str">
        <f t="shared" si="24"/>
        <v/>
      </c>
      <c r="U83" s="105" t="str">
        <f t="shared" si="25"/>
        <v/>
      </c>
      <c r="V83" s="53">
        <v>0</v>
      </c>
      <c r="W83" s="88" t="str">
        <f t="shared" si="26"/>
        <v/>
      </c>
      <c r="X83" s="105" t="str">
        <f t="shared" si="27"/>
        <v/>
      </c>
      <c r="Y83" s="53">
        <v>0</v>
      </c>
      <c r="Z83" s="56" t="str">
        <f t="shared" si="28"/>
        <v/>
      </c>
      <c r="AA83" s="56" t="str">
        <f t="shared" si="29"/>
        <v/>
      </c>
      <c r="AB83" s="56" t="str">
        <f t="shared" si="30"/>
        <v/>
      </c>
      <c r="AC83" s="56" t="str">
        <f t="shared" si="31"/>
        <v/>
      </c>
      <c r="AD83" s="56" t="str">
        <f t="shared" si="32"/>
        <v/>
      </c>
      <c r="AE83" s="40"/>
      <c r="AF83" s="40"/>
      <c r="AG83" s="40"/>
      <c r="AH83" s="56" t="str">
        <f t="shared" si="33"/>
        <v/>
      </c>
      <c r="AI83" s="54"/>
      <c r="AJ83" s="54"/>
      <c r="AK83" s="54"/>
      <c r="AL83" s="54"/>
      <c r="AM83" s="54"/>
    </row>
    <row r="84" spans="1:39">
      <c r="A84" s="96"/>
      <c r="B84" s="45" t="str" cm="1">
        <f t="array" ref="B84">IF(H84="PROJECT", CHAR(10) &amp; "- " &amp; _xlfn.TEXTJOIN(CHAR(10) &amp; "- ", TRUE, _xlfn._xlws.FILTER($I$9:$I$1000, ($C$9:$C$1000=C84) * ($H$9:$H$1000="Topic"))), "")</f>
        <v/>
      </c>
      <c r="C84" s="45">
        <f t="shared" si="17"/>
        <v>44</v>
      </c>
      <c r="D84" s="57"/>
      <c r="E84" s="58"/>
      <c r="F84" s="54"/>
      <c r="G84" s="52"/>
      <c r="H84" s="52"/>
      <c r="I84" s="61"/>
      <c r="J84" s="62"/>
      <c r="K84" s="103" t="str">
        <f t="shared" si="18"/>
        <v/>
      </c>
      <c r="L84" s="105" t="str">
        <f t="shared" si="19"/>
        <v/>
      </c>
      <c r="M84" s="52">
        <v>0</v>
      </c>
      <c r="N84" s="104" t="str">
        <f t="shared" si="20"/>
        <v/>
      </c>
      <c r="O84" s="105" t="str">
        <f t="shared" si="21"/>
        <v/>
      </c>
      <c r="P84" s="52">
        <v>0</v>
      </c>
      <c r="Q84" s="104" t="str">
        <f t="shared" si="22"/>
        <v/>
      </c>
      <c r="R84" s="105" t="str">
        <f t="shared" si="23"/>
        <v/>
      </c>
      <c r="S84" s="52">
        <v>0</v>
      </c>
      <c r="T84" s="104" t="str">
        <f t="shared" si="24"/>
        <v/>
      </c>
      <c r="U84" s="105" t="str">
        <f t="shared" si="25"/>
        <v/>
      </c>
      <c r="V84" s="52">
        <v>0</v>
      </c>
      <c r="W84" s="88" t="str">
        <f t="shared" si="26"/>
        <v/>
      </c>
      <c r="X84" s="105" t="str">
        <f t="shared" si="27"/>
        <v/>
      </c>
      <c r="Y84" s="52">
        <v>0</v>
      </c>
      <c r="Z84" s="56" t="str">
        <f t="shared" si="28"/>
        <v/>
      </c>
      <c r="AA84" s="56" t="str">
        <f t="shared" si="29"/>
        <v/>
      </c>
      <c r="AB84" s="56" t="str">
        <f t="shared" si="30"/>
        <v/>
      </c>
      <c r="AC84" s="56" t="str">
        <f t="shared" si="31"/>
        <v/>
      </c>
      <c r="AD84" s="56" t="str">
        <f t="shared" si="32"/>
        <v/>
      </c>
      <c r="AE84" s="40"/>
      <c r="AF84" s="40"/>
      <c r="AG84" s="40"/>
      <c r="AH84" s="56" t="str">
        <f t="shared" si="33"/>
        <v/>
      </c>
      <c r="AI84" s="54"/>
      <c r="AJ84" s="54"/>
      <c r="AK84" s="54"/>
      <c r="AL84" s="54"/>
      <c r="AM84" s="54"/>
    </row>
    <row r="85" spans="1:39">
      <c r="A85" s="96"/>
      <c r="B85" s="45" t="str" cm="1">
        <f t="array" ref="B85">IF(H85="PROJECT", CHAR(10) &amp; "- " &amp; _xlfn.TEXTJOIN(CHAR(10) &amp; "- ", TRUE, _xlfn._xlws.FILTER($I$9:$I$1000, ($C$9:$C$1000=C85) * ($H$9:$H$1000="Topic"))), "")</f>
        <v/>
      </c>
      <c r="C85" s="45">
        <f t="shared" si="17"/>
        <v>45</v>
      </c>
      <c r="D85" s="46"/>
      <c r="E85" s="58"/>
      <c r="F85" s="67"/>
      <c r="G85" s="53"/>
      <c r="H85" s="53"/>
      <c r="I85" s="50"/>
      <c r="J85" s="51"/>
      <c r="K85" s="103" t="str">
        <f t="shared" si="18"/>
        <v/>
      </c>
      <c r="L85" s="105" t="str">
        <f t="shared" si="19"/>
        <v/>
      </c>
      <c r="M85" s="53">
        <v>0</v>
      </c>
      <c r="N85" s="104" t="str">
        <f t="shared" si="20"/>
        <v/>
      </c>
      <c r="O85" s="105" t="str">
        <f t="shared" si="21"/>
        <v/>
      </c>
      <c r="P85" s="53">
        <v>0</v>
      </c>
      <c r="Q85" s="104" t="str">
        <f t="shared" si="22"/>
        <v/>
      </c>
      <c r="R85" s="105" t="str">
        <f t="shared" si="23"/>
        <v/>
      </c>
      <c r="S85" s="53">
        <v>0</v>
      </c>
      <c r="T85" s="104" t="str">
        <f t="shared" si="24"/>
        <v/>
      </c>
      <c r="U85" s="105" t="str">
        <f t="shared" si="25"/>
        <v/>
      </c>
      <c r="V85" s="53">
        <v>0</v>
      </c>
      <c r="W85" s="88" t="str">
        <f t="shared" si="26"/>
        <v/>
      </c>
      <c r="X85" s="105" t="str">
        <f t="shared" si="27"/>
        <v/>
      </c>
      <c r="Y85" s="53">
        <v>0</v>
      </c>
      <c r="Z85" s="56" t="str">
        <f t="shared" si="28"/>
        <v/>
      </c>
      <c r="AA85" s="56" t="str">
        <f t="shared" si="29"/>
        <v/>
      </c>
      <c r="AB85" s="56" t="str">
        <f t="shared" si="30"/>
        <v/>
      </c>
      <c r="AC85" s="56" t="str">
        <f t="shared" si="31"/>
        <v/>
      </c>
      <c r="AD85" s="56" t="str">
        <f t="shared" si="32"/>
        <v/>
      </c>
      <c r="AE85" s="40"/>
      <c r="AF85" s="40"/>
      <c r="AG85" s="40"/>
      <c r="AH85" s="56" t="str">
        <f t="shared" si="33"/>
        <v/>
      </c>
      <c r="AI85" s="54"/>
      <c r="AJ85" s="54"/>
      <c r="AK85" s="54"/>
      <c r="AL85" s="54"/>
      <c r="AM85" s="54"/>
    </row>
    <row r="86" spans="1:39">
      <c r="A86" s="96"/>
      <c r="B86" s="45" t="str" cm="1">
        <f t="array" ref="B86">IF(H86="PROJECT", CHAR(10) &amp; "- " &amp; _xlfn.TEXTJOIN(CHAR(10) &amp; "- ", TRUE, _xlfn._xlws.FILTER($I$9:$I$1000, ($C$9:$C$1000=C86) * ($H$9:$H$1000="Topic"))), "")</f>
        <v/>
      </c>
      <c r="C86" s="45">
        <f t="shared" si="17"/>
        <v>46</v>
      </c>
      <c r="D86" s="57"/>
      <c r="E86" s="58"/>
      <c r="F86" s="54"/>
      <c r="G86" s="52"/>
      <c r="H86" s="52"/>
      <c r="I86" s="61"/>
      <c r="J86" s="62"/>
      <c r="K86" s="103" t="str">
        <f t="shared" si="18"/>
        <v/>
      </c>
      <c r="L86" s="105" t="str">
        <f t="shared" si="19"/>
        <v/>
      </c>
      <c r="M86" s="52">
        <v>0</v>
      </c>
      <c r="N86" s="104" t="str">
        <f t="shared" si="20"/>
        <v/>
      </c>
      <c r="O86" s="105" t="str">
        <f t="shared" si="21"/>
        <v/>
      </c>
      <c r="P86" s="52">
        <v>0</v>
      </c>
      <c r="Q86" s="104" t="str">
        <f t="shared" si="22"/>
        <v/>
      </c>
      <c r="R86" s="105" t="str">
        <f t="shared" si="23"/>
        <v/>
      </c>
      <c r="S86" s="52">
        <v>0</v>
      </c>
      <c r="T86" s="104" t="str">
        <f t="shared" si="24"/>
        <v/>
      </c>
      <c r="U86" s="105" t="str">
        <f t="shared" si="25"/>
        <v/>
      </c>
      <c r="V86" s="52">
        <v>0</v>
      </c>
      <c r="W86" s="88" t="str">
        <f t="shared" si="26"/>
        <v/>
      </c>
      <c r="X86" s="105" t="str">
        <f t="shared" si="27"/>
        <v/>
      </c>
      <c r="Y86" s="52">
        <v>0</v>
      </c>
      <c r="Z86" s="56" t="str">
        <f t="shared" si="28"/>
        <v/>
      </c>
      <c r="AA86" s="56" t="str">
        <f t="shared" si="29"/>
        <v/>
      </c>
      <c r="AB86" s="56" t="str">
        <f t="shared" si="30"/>
        <v/>
      </c>
      <c r="AC86" s="56" t="str">
        <f t="shared" si="31"/>
        <v/>
      </c>
      <c r="AD86" s="56" t="str">
        <f t="shared" si="32"/>
        <v/>
      </c>
      <c r="AE86" s="40"/>
      <c r="AF86" s="40"/>
      <c r="AG86" s="40"/>
      <c r="AH86" s="56" t="str">
        <f t="shared" si="33"/>
        <v/>
      </c>
      <c r="AI86" s="54"/>
      <c r="AJ86" s="54"/>
      <c r="AK86" s="54"/>
      <c r="AL86" s="54"/>
      <c r="AM86" s="54"/>
    </row>
    <row r="87" spans="1:39">
      <c r="A87" s="96"/>
      <c r="B87" s="45" t="str" cm="1">
        <f t="array" ref="B87">IF(H87="PROJECT", CHAR(10) &amp; "- " &amp; _xlfn.TEXTJOIN(CHAR(10) &amp; "- ", TRUE, _xlfn._xlws.FILTER($I$9:$I$1000, ($C$9:$C$1000=C87) * ($H$9:$H$1000="Topic"))), "")</f>
        <v/>
      </c>
      <c r="C87" s="45">
        <f t="shared" si="17"/>
        <v>47</v>
      </c>
      <c r="D87" s="46"/>
      <c r="E87" s="58"/>
      <c r="F87" s="67"/>
      <c r="G87" s="53"/>
      <c r="H87" s="53"/>
      <c r="I87" s="50"/>
      <c r="J87" s="51"/>
      <c r="K87" s="103" t="str">
        <f t="shared" si="18"/>
        <v/>
      </c>
      <c r="L87" s="105" t="str">
        <f t="shared" si="19"/>
        <v/>
      </c>
      <c r="M87" s="53">
        <v>0</v>
      </c>
      <c r="N87" s="104" t="str">
        <f t="shared" si="20"/>
        <v/>
      </c>
      <c r="O87" s="105" t="str">
        <f t="shared" si="21"/>
        <v/>
      </c>
      <c r="P87" s="53">
        <v>0</v>
      </c>
      <c r="Q87" s="104" t="str">
        <f t="shared" si="22"/>
        <v/>
      </c>
      <c r="R87" s="105" t="str">
        <f t="shared" si="23"/>
        <v/>
      </c>
      <c r="S87" s="53">
        <v>0</v>
      </c>
      <c r="T87" s="104" t="str">
        <f t="shared" si="24"/>
        <v/>
      </c>
      <c r="U87" s="105" t="str">
        <f t="shared" si="25"/>
        <v/>
      </c>
      <c r="V87" s="53">
        <v>0</v>
      </c>
      <c r="W87" s="88" t="str">
        <f t="shared" si="26"/>
        <v/>
      </c>
      <c r="X87" s="105" t="str">
        <f t="shared" si="27"/>
        <v/>
      </c>
      <c r="Y87" s="53">
        <v>0</v>
      </c>
      <c r="Z87" s="56" t="str">
        <f t="shared" si="28"/>
        <v/>
      </c>
      <c r="AA87" s="56" t="str">
        <f t="shared" si="29"/>
        <v/>
      </c>
      <c r="AB87" s="56" t="str">
        <f t="shared" si="30"/>
        <v/>
      </c>
      <c r="AC87" s="56" t="str">
        <f t="shared" si="31"/>
        <v/>
      </c>
      <c r="AD87" s="56" t="str">
        <f t="shared" si="32"/>
        <v/>
      </c>
      <c r="AE87" s="40"/>
      <c r="AF87" s="40"/>
      <c r="AG87" s="40"/>
      <c r="AH87" s="56" t="str">
        <f t="shared" si="33"/>
        <v/>
      </c>
      <c r="AI87" s="54"/>
      <c r="AJ87" s="54"/>
      <c r="AK87" s="54"/>
      <c r="AL87" s="54"/>
      <c r="AM87" s="54"/>
    </row>
    <row r="88" spans="1:39">
      <c r="A88" s="96"/>
      <c r="B88" s="45" t="str" cm="1">
        <f t="array" ref="B88">IF(H88="PROJECT", CHAR(10) &amp; "- " &amp; _xlfn.TEXTJOIN(CHAR(10) &amp; "- ", TRUE, _xlfn._xlws.FILTER($I$9:$I$1000, ($C$9:$C$1000=C88) * ($H$9:$H$1000="Topic"))), "")</f>
        <v/>
      </c>
      <c r="C88" s="45">
        <f t="shared" si="17"/>
        <v>48</v>
      </c>
      <c r="D88" s="57"/>
      <c r="E88" s="58"/>
      <c r="F88" s="54"/>
      <c r="G88" s="52"/>
      <c r="H88" s="52"/>
      <c r="I88" s="61"/>
      <c r="J88" s="62"/>
      <c r="K88" s="103" t="str">
        <f t="shared" si="18"/>
        <v/>
      </c>
      <c r="L88" s="105" t="str">
        <f t="shared" si="19"/>
        <v/>
      </c>
      <c r="M88" s="52">
        <v>0</v>
      </c>
      <c r="N88" s="104" t="str">
        <f t="shared" si="20"/>
        <v/>
      </c>
      <c r="O88" s="105" t="str">
        <f t="shared" si="21"/>
        <v/>
      </c>
      <c r="P88" s="52">
        <v>0</v>
      </c>
      <c r="Q88" s="104" t="str">
        <f t="shared" si="22"/>
        <v/>
      </c>
      <c r="R88" s="105" t="str">
        <f t="shared" si="23"/>
        <v/>
      </c>
      <c r="S88" s="52">
        <v>0</v>
      </c>
      <c r="T88" s="104" t="str">
        <f t="shared" si="24"/>
        <v/>
      </c>
      <c r="U88" s="105" t="str">
        <f t="shared" si="25"/>
        <v/>
      </c>
      <c r="V88" s="52">
        <v>0</v>
      </c>
      <c r="W88" s="88" t="str">
        <f t="shared" si="26"/>
        <v/>
      </c>
      <c r="X88" s="105" t="str">
        <f t="shared" si="27"/>
        <v/>
      </c>
      <c r="Y88" s="52">
        <v>0</v>
      </c>
      <c r="Z88" s="56" t="str">
        <f t="shared" si="28"/>
        <v/>
      </c>
      <c r="AA88" s="56" t="str">
        <f t="shared" si="29"/>
        <v/>
      </c>
      <c r="AB88" s="56" t="str">
        <f t="shared" si="30"/>
        <v/>
      </c>
      <c r="AC88" s="56" t="str">
        <f t="shared" si="31"/>
        <v/>
      </c>
      <c r="AD88" s="56" t="str">
        <f t="shared" si="32"/>
        <v/>
      </c>
      <c r="AE88" s="40"/>
      <c r="AF88" s="40"/>
      <c r="AG88" s="40"/>
      <c r="AH88" s="56" t="str">
        <f t="shared" si="33"/>
        <v/>
      </c>
      <c r="AI88" s="54"/>
      <c r="AJ88" s="54"/>
      <c r="AK88" s="54"/>
      <c r="AL88" s="54"/>
      <c r="AM88" s="54"/>
    </row>
    <row r="89" spans="1:39">
      <c r="A89" s="96"/>
      <c r="B89" s="45" t="str" cm="1">
        <f t="array" ref="B89">IF(H89="PROJECT", CHAR(10) &amp; "- " &amp; _xlfn.TEXTJOIN(CHAR(10) &amp; "- ", TRUE, _xlfn._xlws.FILTER($I$9:$I$1000, ($C$9:$C$1000=C89) * ($H$9:$H$1000="Topic"))), "")</f>
        <v/>
      </c>
      <c r="C89" s="45">
        <f t="shared" si="17"/>
        <v>49</v>
      </c>
      <c r="D89" s="46"/>
      <c r="E89" s="58"/>
      <c r="F89" s="67"/>
      <c r="G89" s="53"/>
      <c r="H89" s="53"/>
      <c r="I89" s="50"/>
      <c r="J89" s="51"/>
      <c r="K89" s="103" t="str">
        <f t="shared" si="18"/>
        <v/>
      </c>
      <c r="L89" s="105" t="str">
        <f t="shared" si="19"/>
        <v/>
      </c>
      <c r="M89" s="53">
        <v>0</v>
      </c>
      <c r="N89" s="104" t="str">
        <f t="shared" si="20"/>
        <v/>
      </c>
      <c r="O89" s="105" t="str">
        <f t="shared" si="21"/>
        <v/>
      </c>
      <c r="P89" s="53">
        <v>0</v>
      </c>
      <c r="Q89" s="104" t="str">
        <f t="shared" si="22"/>
        <v/>
      </c>
      <c r="R89" s="105" t="str">
        <f t="shared" si="23"/>
        <v/>
      </c>
      <c r="S89" s="53">
        <v>0</v>
      </c>
      <c r="T89" s="104" t="str">
        <f t="shared" si="24"/>
        <v/>
      </c>
      <c r="U89" s="105" t="str">
        <f t="shared" si="25"/>
        <v/>
      </c>
      <c r="V89" s="53">
        <v>0</v>
      </c>
      <c r="W89" s="88" t="str">
        <f t="shared" si="26"/>
        <v/>
      </c>
      <c r="X89" s="105" t="str">
        <f t="shared" si="27"/>
        <v/>
      </c>
      <c r="Y89" s="53">
        <v>0</v>
      </c>
      <c r="Z89" s="56" t="str">
        <f t="shared" si="28"/>
        <v/>
      </c>
      <c r="AA89" s="56" t="str">
        <f t="shared" si="29"/>
        <v/>
      </c>
      <c r="AB89" s="56" t="str">
        <f t="shared" si="30"/>
        <v/>
      </c>
      <c r="AC89" s="56" t="str">
        <f t="shared" si="31"/>
        <v/>
      </c>
      <c r="AD89" s="56" t="str">
        <f t="shared" si="32"/>
        <v/>
      </c>
      <c r="AE89" s="40"/>
      <c r="AF89" s="40"/>
      <c r="AG89" s="40"/>
      <c r="AH89" s="56" t="str">
        <f t="shared" si="33"/>
        <v/>
      </c>
      <c r="AI89" s="54"/>
      <c r="AJ89" s="54"/>
      <c r="AK89" s="54"/>
      <c r="AL89" s="54"/>
      <c r="AM89" s="54"/>
    </row>
    <row r="90" spans="1:39">
      <c r="A90" s="96"/>
      <c r="B90" s="45" t="str" cm="1">
        <f t="array" ref="B90">IF(H90="PROJECT", CHAR(10) &amp; "- " &amp; _xlfn.TEXTJOIN(CHAR(10) &amp; "- ", TRUE, _xlfn._xlws.FILTER($I$9:$I$1000, ($C$9:$C$1000=C90) * ($H$9:$H$1000="Topic"))), "")</f>
        <v/>
      </c>
      <c r="C90" s="45">
        <f t="shared" si="17"/>
        <v>50</v>
      </c>
      <c r="D90" s="57"/>
      <c r="E90" s="58"/>
      <c r="F90" s="54"/>
      <c r="G90" s="52"/>
      <c r="H90" s="52"/>
      <c r="I90" s="61"/>
      <c r="J90" s="62"/>
      <c r="K90" s="103" t="str">
        <f t="shared" si="18"/>
        <v/>
      </c>
      <c r="L90" s="105" t="str">
        <f t="shared" si="19"/>
        <v/>
      </c>
      <c r="M90" s="52">
        <v>0</v>
      </c>
      <c r="N90" s="104" t="str">
        <f t="shared" si="20"/>
        <v/>
      </c>
      <c r="O90" s="105" t="str">
        <f t="shared" si="21"/>
        <v/>
      </c>
      <c r="P90" s="52">
        <v>0</v>
      </c>
      <c r="Q90" s="104" t="str">
        <f t="shared" si="22"/>
        <v/>
      </c>
      <c r="R90" s="105" t="str">
        <f t="shared" si="23"/>
        <v/>
      </c>
      <c r="S90" s="52">
        <v>0</v>
      </c>
      <c r="T90" s="104" t="str">
        <f t="shared" si="24"/>
        <v/>
      </c>
      <c r="U90" s="105" t="str">
        <f t="shared" si="25"/>
        <v/>
      </c>
      <c r="V90" s="52">
        <v>0</v>
      </c>
      <c r="W90" s="88" t="str">
        <f t="shared" si="26"/>
        <v/>
      </c>
      <c r="X90" s="105" t="str">
        <f t="shared" si="27"/>
        <v/>
      </c>
      <c r="Y90" s="52">
        <v>0</v>
      </c>
      <c r="Z90" s="56" t="str">
        <f t="shared" si="28"/>
        <v/>
      </c>
      <c r="AA90" s="56" t="str">
        <f t="shared" si="29"/>
        <v/>
      </c>
      <c r="AB90" s="56" t="str">
        <f t="shared" si="30"/>
        <v/>
      </c>
      <c r="AC90" s="56" t="str">
        <f t="shared" si="31"/>
        <v/>
      </c>
      <c r="AD90" s="56" t="str">
        <f t="shared" si="32"/>
        <v/>
      </c>
      <c r="AE90" s="40"/>
      <c r="AF90" s="40"/>
      <c r="AG90" s="40"/>
      <c r="AH90" s="56" t="str">
        <f t="shared" si="33"/>
        <v/>
      </c>
      <c r="AI90" s="54"/>
      <c r="AJ90" s="54"/>
      <c r="AK90" s="54"/>
      <c r="AL90" s="54"/>
      <c r="AM90" s="54"/>
    </row>
    <row r="91" spans="1:39">
      <c r="A91" s="96"/>
      <c r="B91" s="45" t="str" cm="1">
        <f t="array" ref="B91">IF(H91="PROJECT", CHAR(10) &amp; "- " &amp; _xlfn.TEXTJOIN(CHAR(10) &amp; "- ", TRUE, _xlfn._xlws.FILTER($I$9:$I$1000, ($C$9:$C$1000=C91) * ($H$9:$H$1000="Topic"))), "")</f>
        <v/>
      </c>
      <c r="C91" s="45">
        <f t="shared" si="17"/>
        <v>51</v>
      </c>
      <c r="D91" s="46"/>
      <c r="E91" s="58"/>
      <c r="F91" s="67"/>
      <c r="G91" s="53"/>
      <c r="H91" s="53"/>
      <c r="I91" s="50"/>
      <c r="J91" s="51"/>
      <c r="K91" s="103" t="str">
        <f t="shared" si="18"/>
        <v/>
      </c>
      <c r="L91" s="105" t="str">
        <f t="shared" si="19"/>
        <v/>
      </c>
      <c r="M91" s="53">
        <v>0</v>
      </c>
      <c r="N91" s="104" t="str">
        <f t="shared" si="20"/>
        <v/>
      </c>
      <c r="O91" s="105" t="str">
        <f t="shared" si="21"/>
        <v/>
      </c>
      <c r="P91" s="53">
        <v>0</v>
      </c>
      <c r="Q91" s="104" t="str">
        <f t="shared" si="22"/>
        <v/>
      </c>
      <c r="R91" s="105" t="str">
        <f t="shared" si="23"/>
        <v/>
      </c>
      <c r="S91" s="53">
        <v>0</v>
      </c>
      <c r="T91" s="104" t="str">
        <f t="shared" si="24"/>
        <v/>
      </c>
      <c r="U91" s="105" t="str">
        <f t="shared" si="25"/>
        <v/>
      </c>
      <c r="V91" s="53">
        <v>0</v>
      </c>
      <c r="W91" s="88" t="str">
        <f t="shared" si="26"/>
        <v/>
      </c>
      <c r="X91" s="105" t="str">
        <f t="shared" si="27"/>
        <v/>
      </c>
      <c r="Y91" s="53">
        <v>0</v>
      </c>
      <c r="Z91" s="56" t="str">
        <f t="shared" si="28"/>
        <v/>
      </c>
      <c r="AA91" s="56" t="str">
        <f t="shared" si="29"/>
        <v/>
      </c>
      <c r="AB91" s="56" t="str">
        <f t="shared" si="30"/>
        <v/>
      </c>
      <c r="AC91" s="56" t="str">
        <f t="shared" si="31"/>
        <v/>
      </c>
      <c r="AD91" s="56" t="str">
        <f t="shared" si="32"/>
        <v/>
      </c>
      <c r="AE91" s="40"/>
      <c r="AF91" s="40"/>
      <c r="AG91" s="40"/>
      <c r="AH91" s="56" t="str">
        <f t="shared" si="33"/>
        <v/>
      </c>
      <c r="AI91" s="54"/>
      <c r="AJ91" s="54"/>
      <c r="AK91" s="54"/>
      <c r="AL91" s="54"/>
      <c r="AM91" s="54"/>
    </row>
    <row r="92" spans="1:39">
      <c r="A92" s="96"/>
      <c r="B92" s="45" t="str" cm="1">
        <f t="array" ref="B92">IF(H92="PROJECT", CHAR(10) &amp; "- " &amp; _xlfn.TEXTJOIN(CHAR(10) &amp; "- ", TRUE, _xlfn._xlws.FILTER($I$9:$I$1000, ($C$9:$C$1000=C92) * ($H$9:$H$1000="Topic"))), "")</f>
        <v/>
      </c>
      <c r="C92" s="45">
        <f t="shared" si="17"/>
        <v>52</v>
      </c>
      <c r="D92" s="57"/>
      <c r="E92" s="58"/>
      <c r="F92" s="54"/>
      <c r="G92" s="52"/>
      <c r="H92" s="52"/>
      <c r="I92" s="61"/>
      <c r="J92" s="62"/>
      <c r="K92" s="103" t="str">
        <f t="shared" si="18"/>
        <v/>
      </c>
      <c r="L92" s="105" t="str">
        <f t="shared" si="19"/>
        <v/>
      </c>
      <c r="M92" s="52">
        <v>0</v>
      </c>
      <c r="N92" s="104" t="str">
        <f t="shared" si="20"/>
        <v/>
      </c>
      <c r="O92" s="105" t="str">
        <f t="shared" si="21"/>
        <v/>
      </c>
      <c r="P92" s="52">
        <v>0</v>
      </c>
      <c r="Q92" s="104" t="str">
        <f t="shared" si="22"/>
        <v/>
      </c>
      <c r="R92" s="105" t="str">
        <f t="shared" si="23"/>
        <v/>
      </c>
      <c r="S92" s="52">
        <v>0</v>
      </c>
      <c r="T92" s="104" t="str">
        <f t="shared" si="24"/>
        <v/>
      </c>
      <c r="U92" s="105" t="str">
        <f t="shared" si="25"/>
        <v/>
      </c>
      <c r="V92" s="52">
        <v>0</v>
      </c>
      <c r="W92" s="88" t="str">
        <f t="shared" si="26"/>
        <v/>
      </c>
      <c r="X92" s="105" t="str">
        <f t="shared" si="27"/>
        <v/>
      </c>
      <c r="Y92" s="52">
        <v>0</v>
      </c>
      <c r="Z92" s="56" t="str">
        <f t="shared" si="28"/>
        <v/>
      </c>
      <c r="AA92" s="56" t="str">
        <f t="shared" si="29"/>
        <v/>
      </c>
      <c r="AB92" s="56" t="str">
        <f t="shared" si="30"/>
        <v/>
      </c>
      <c r="AC92" s="56" t="str">
        <f t="shared" si="31"/>
        <v/>
      </c>
      <c r="AD92" s="56" t="str">
        <f t="shared" si="32"/>
        <v/>
      </c>
      <c r="AE92" s="40"/>
      <c r="AF92" s="40"/>
      <c r="AG92" s="40"/>
      <c r="AH92" s="56" t="str">
        <f t="shared" si="33"/>
        <v/>
      </c>
      <c r="AI92" s="54"/>
      <c r="AJ92" s="54"/>
      <c r="AK92" s="54"/>
      <c r="AL92" s="54"/>
      <c r="AM92" s="54"/>
    </row>
    <row r="93" spans="1:39">
      <c r="A93" s="96"/>
      <c r="B93" s="45" t="str" cm="1">
        <f t="array" ref="B93">IF(H93="PROJECT", CHAR(10) &amp; "- " &amp; _xlfn.TEXTJOIN(CHAR(10) &amp; "- ", TRUE, _xlfn._xlws.FILTER($I$9:$I$1000, ($C$9:$C$1000=C93) * ($H$9:$H$1000="Topic"))), "")</f>
        <v/>
      </c>
      <c r="C93" s="45">
        <f t="shared" si="17"/>
        <v>53</v>
      </c>
      <c r="D93" s="46"/>
      <c r="E93" s="58"/>
      <c r="F93" s="67"/>
      <c r="G93" s="53"/>
      <c r="H93" s="53"/>
      <c r="I93" s="50"/>
      <c r="J93" s="51"/>
      <c r="K93" s="103" t="str">
        <f t="shared" si="18"/>
        <v/>
      </c>
      <c r="L93" s="105" t="str">
        <f t="shared" si="19"/>
        <v/>
      </c>
      <c r="M93" s="53">
        <v>0</v>
      </c>
      <c r="N93" s="104" t="str">
        <f t="shared" si="20"/>
        <v/>
      </c>
      <c r="O93" s="105" t="str">
        <f t="shared" si="21"/>
        <v/>
      </c>
      <c r="P93" s="53">
        <v>0</v>
      </c>
      <c r="Q93" s="104" t="str">
        <f t="shared" si="22"/>
        <v/>
      </c>
      <c r="R93" s="105" t="str">
        <f t="shared" si="23"/>
        <v/>
      </c>
      <c r="S93" s="53">
        <v>0</v>
      </c>
      <c r="T93" s="104" t="str">
        <f t="shared" si="24"/>
        <v/>
      </c>
      <c r="U93" s="105" t="str">
        <f t="shared" si="25"/>
        <v/>
      </c>
      <c r="V93" s="53">
        <v>0</v>
      </c>
      <c r="W93" s="88" t="str">
        <f t="shared" si="26"/>
        <v/>
      </c>
      <c r="X93" s="105" t="str">
        <f t="shared" si="27"/>
        <v/>
      </c>
      <c r="Y93" s="53">
        <v>0</v>
      </c>
      <c r="Z93" s="56" t="str">
        <f t="shared" si="28"/>
        <v/>
      </c>
      <c r="AA93" s="56" t="str">
        <f t="shared" si="29"/>
        <v/>
      </c>
      <c r="AB93" s="56" t="str">
        <f t="shared" si="30"/>
        <v/>
      </c>
      <c r="AC93" s="56" t="str">
        <f t="shared" si="31"/>
        <v/>
      </c>
      <c r="AD93" s="56" t="str">
        <f t="shared" si="32"/>
        <v/>
      </c>
      <c r="AE93" s="40"/>
      <c r="AF93" s="40"/>
      <c r="AG93" s="40"/>
      <c r="AH93" s="56" t="str">
        <f t="shared" si="33"/>
        <v/>
      </c>
      <c r="AI93" s="54"/>
      <c r="AJ93" s="54"/>
      <c r="AK93" s="54"/>
      <c r="AL93" s="54"/>
      <c r="AM93" s="54"/>
    </row>
    <row r="94" spans="1:39">
      <c r="A94" s="96"/>
      <c r="B94" s="45" t="str" cm="1">
        <f t="array" ref="B94">IF(H94="PROJECT", CHAR(10) &amp; "- " &amp; _xlfn.TEXTJOIN(CHAR(10) &amp; "- ", TRUE, _xlfn._xlws.FILTER($I$9:$I$1000, ($C$9:$C$1000=C94) * ($H$9:$H$1000="Topic"))), "")</f>
        <v/>
      </c>
      <c r="C94" s="45">
        <f t="shared" si="17"/>
        <v>54</v>
      </c>
      <c r="D94" s="57"/>
      <c r="E94" s="58"/>
      <c r="F94" s="54"/>
      <c r="G94" s="52"/>
      <c r="H94" s="52"/>
      <c r="I94" s="61"/>
      <c r="J94" s="62"/>
      <c r="K94" s="103" t="str">
        <f t="shared" si="18"/>
        <v/>
      </c>
      <c r="L94" s="105" t="str">
        <f t="shared" si="19"/>
        <v/>
      </c>
      <c r="M94" s="52">
        <v>0</v>
      </c>
      <c r="N94" s="104" t="str">
        <f t="shared" si="20"/>
        <v/>
      </c>
      <c r="O94" s="105" t="str">
        <f t="shared" si="21"/>
        <v/>
      </c>
      <c r="P94" s="52">
        <v>0</v>
      </c>
      <c r="Q94" s="104" t="str">
        <f t="shared" si="22"/>
        <v/>
      </c>
      <c r="R94" s="105" t="str">
        <f t="shared" si="23"/>
        <v/>
      </c>
      <c r="S94" s="52">
        <v>0</v>
      </c>
      <c r="T94" s="104" t="str">
        <f t="shared" si="24"/>
        <v/>
      </c>
      <c r="U94" s="105" t="str">
        <f t="shared" si="25"/>
        <v/>
      </c>
      <c r="V94" s="52">
        <v>0</v>
      </c>
      <c r="W94" s="88" t="str">
        <f t="shared" si="26"/>
        <v/>
      </c>
      <c r="X94" s="105" t="str">
        <f t="shared" si="27"/>
        <v/>
      </c>
      <c r="Y94" s="52">
        <v>0</v>
      </c>
      <c r="Z94" s="56" t="str">
        <f t="shared" si="28"/>
        <v/>
      </c>
      <c r="AA94" s="56" t="str">
        <f t="shared" si="29"/>
        <v/>
      </c>
      <c r="AB94" s="56" t="str">
        <f t="shared" si="30"/>
        <v/>
      </c>
      <c r="AC94" s="56" t="str">
        <f t="shared" si="31"/>
        <v/>
      </c>
      <c r="AD94" s="56" t="str">
        <f t="shared" si="32"/>
        <v/>
      </c>
      <c r="AE94" s="40"/>
      <c r="AF94" s="40"/>
      <c r="AG94" s="40"/>
      <c r="AH94" s="56" t="str">
        <f t="shared" si="33"/>
        <v/>
      </c>
      <c r="AI94" s="54"/>
      <c r="AJ94" s="54"/>
      <c r="AK94" s="54"/>
      <c r="AL94" s="54"/>
      <c r="AM94" s="54"/>
    </row>
    <row r="95" spans="1:39">
      <c r="A95" s="96"/>
      <c r="B95" s="45" t="str" cm="1">
        <f t="array" ref="B95">IF(H95="PROJECT", CHAR(10) &amp; "- " &amp; _xlfn.TEXTJOIN(CHAR(10) &amp; "- ", TRUE, _xlfn._xlws.FILTER($I$9:$I$1000, ($C$9:$C$1000=C95) * ($H$9:$H$1000="Topic"))), "")</f>
        <v/>
      </c>
      <c r="C95" s="45">
        <f t="shared" si="17"/>
        <v>55</v>
      </c>
      <c r="D95" s="46"/>
      <c r="E95" s="58"/>
      <c r="F95" s="67"/>
      <c r="G95" s="53"/>
      <c r="H95" s="53"/>
      <c r="I95" s="50"/>
      <c r="J95" s="51"/>
      <c r="K95" s="103" t="str">
        <f t="shared" si="18"/>
        <v/>
      </c>
      <c r="L95" s="105" t="str">
        <f t="shared" si="19"/>
        <v/>
      </c>
      <c r="M95" s="53">
        <v>0</v>
      </c>
      <c r="N95" s="104" t="str">
        <f t="shared" si="20"/>
        <v/>
      </c>
      <c r="O95" s="105" t="str">
        <f t="shared" si="21"/>
        <v/>
      </c>
      <c r="P95" s="53">
        <v>0</v>
      </c>
      <c r="Q95" s="104" t="str">
        <f t="shared" si="22"/>
        <v/>
      </c>
      <c r="R95" s="105" t="str">
        <f t="shared" si="23"/>
        <v/>
      </c>
      <c r="S95" s="53">
        <v>0</v>
      </c>
      <c r="T95" s="104" t="str">
        <f t="shared" si="24"/>
        <v/>
      </c>
      <c r="U95" s="105" t="str">
        <f t="shared" si="25"/>
        <v/>
      </c>
      <c r="V95" s="53">
        <v>0</v>
      </c>
      <c r="W95" s="88" t="str">
        <f t="shared" si="26"/>
        <v/>
      </c>
      <c r="X95" s="105" t="str">
        <f t="shared" si="27"/>
        <v/>
      </c>
      <c r="Y95" s="53">
        <v>0</v>
      </c>
      <c r="Z95" s="56" t="str">
        <f t="shared" si="28"/>
        <v/>
      </c>
      <c r="AA95" s="56" t="str">
        <f t="shared" si="29"/>
        <v/>
      </c>
      <c r="AB95" s="56" t="str">
        <f t="shared" si="30"/>
        <v/>
      </c>
      <c r="AC95" s="56" t="str">
        <f t="shared" si="31"/>
        <v/>
      </c>
      <c r="AD95" s="56" t="str">
        <f t="shared" si="32"/>
        <v/>
      </c>
      <c r="AE95" s="40"/>
      <c r="AF95" s="40"/>
      <c r="AG95" s="40"/>
      <c r="AH95" s="56" t="str">
        <f t="shared" si="33"/>
        <v/>
      </c>
      <c r="AI95" s="54"/>
      <c r="AJ95" s="54"/>
      <c r="AK95" s="54"/>
      <c r="AL95" s="54"/>
      <c r="AM95" s="54"/>
    </row>
    <row r="96" spans="1:39">
      <c r="A96" s="96"/>
      <c r="B96" s="45" t="str" cm="1">
        <f t="array" ref="B96">IF(H96="PROJECT", CHAR(10) &amp; "- " &amp; _xlfn.TEXTJOIN(CHAR(10) &amp; "- ", TRUE, _xlfn._xlws.FILTER($I$9:$I$1000, ($C$9:$C$1000=C96) * ($H$9:$H$1000="Topic"))), "")</f>
        <v/>
      </c>
      <c r="C96" s="45">
        <f t="shared" si="17"/>
        <v>56</v>
      </c>
      <c r="D96" s="57"/>
      <c r="E96" s="58"/>
      <c r="F96" s="54"/>
      <c r="G96" s="52"/>
      <c r="H96" s="52"/>
      <c r="I96" s="61"/>
      <c r="J96" s="62"/>
      <c r="K96" s="103" t="str">
        <f t="shared" si="18"/>
        <v/>
      </c>
      <c r="L96" s="105" t="str">
        <f t="shared" si="19"/>
        <v/>
      </c>
      <c r="M96" s="52">
        <v>0</v>
      </c>
      <c r="N96" s="104" t="str">
        <f t="shared" si="20"/>
        <v/>
      </c>
      <c r="O96" s="105" t="str">
        <f t="shared" si="21"/>
        <v/>
      </c>
      <c r="P96" s="52">
        <v>0</v>
      </c>
      <c r="Q96" s="104" t="str">
        <f t="shared" si="22"/>
        <v/>
      </c>
      <c r="R96" s="105" t="str">
        <f t="shared" si="23"/>
        <v/>
      </c>
      <c r="S96" s="52">
        <v>0</v>
      </c>
      <c r="T96" s="104" t="str">
        <f t="shared" si="24"/>
        <v/>
      </c>
      <c r="U96" s="105" t="str">
        <f t="shared" si="25"/>
        <v/>
      </c>
      <c r="V96" s="52">
        <v>0</v>
      </c>
      <c r="W96" s="88" t="str">
        <f t="shared" si="26"/>
        <v/>
      </c>
      <c r="X96" s="105" t="str">
        <f t="shared" si="27"/>
        <v/>
      </c>
      <c r="Y96" s="52">
        <v>0</v>
      </c>
      <c r="Z96" s="56" t="str">
        <f t="shared" si="28"/>
        <v/>
      </c>
      <c r="AA96" s="56" t="str">
        <f t="shared" si="29"/>
        <v/>
      </c>
      <c r="AB96" s="56" t="str">
        <f t="shared" si="30"/>
        <v/>
      </c>
      <c r="AC96" s="56" t="str">
        <f t="shared" si="31"/>
        <v/>
      </c>
      <c r="AD96" s="56" t="str">
        <f t="shared" si="32"/>
        <v/>
      </c>
      <c r="AE96" s="40"/>
      <c r="AF96" s="40"/>
      <c r="AG96" s="40"/>
      <c r="AH96" s="56" t="str">
        <f t="shared" si="33"/>
        <v/>
      </c>
      <c r="AI96" s="54"/>
      <c r="AJ96" s="54"/>
      <c r="AK96" s="54"/>
      <c r="AL96" s="54"/>
      <c r="AM96" s="54"/>
    </row>
    <row r="97" spans="1:39">
      <c r="A97" s="96"/>
      <c r="B97" s="45" t="str" cm="1">
        <f t="array" ref="B97">IF(H97="PROJECT", CHAR(10) &amp; "- " &amp; _xlfn.TEXTJOIN(CHAR(10) &amp; "- ", TRUE, _xlfn._xlws.FILTER($I$9:$I$1000, ($C$9:$C$1000=C97) * ($H$9:$H$1000="Topic"))), "")</f>
        <v/>
      </c>
      <c r="C97" s="45">
        <f t="shared" si="17"/>
        <v>57</v>
      </c>
      <c r="D97" s="46"/>
      <c r="E97" s="58"/>
      <c r="F97" s="67"/>
      <c r="G97" s="53"/>
      <c r="H97" s="53"/>
      <c r="I97" s="50"/>
      <c r="J97" s="51"/>
      <c r="K97" s="103" t="str">
        <f t="shared" si="18"/>
        <v/>
      </c>
      <c r="L97" s="105" t="str">
        <f t="shared" si="19"/>
        <v/>
      </c>
      <c r="M97" s="53">
        <v>0</v>
      </c>
      <c r="N97" s="104" t="str">
        <f t="shared" si="20"/>
        <v/>
      </c>
      <c r="O97" s="105" t="str">
        <f t="shared" si="21"/>
        <v/>
      </c>
      <c r="P97" s="53">
        <v>0</v>
      </c>
      <c r="Q97" s="104" t="str">
        <f t="shared" si="22"/>
        <v/>
      </c>
      <c r="R97" s="105" t="str">
        <f t="shared" si="23"/>
        <v/>
      </c>
      <c r="S97" s="53">
        <v>0</v>
      </c>
      <c r="T97" s="104" t="str">
        <f t="shared" si="24"/>
        <v/>
      </c>
      <c r="U97" s="105" t="str">
        <f t="shared" si="25"/>
        <v/>
      </c>
      <c r="V97" s="53">
        <v>0</v>
      </c>
      <c r="W97" s="88" t="str">
        <f t="shared" si="26"/>
        <v/>
      </c>
      <c r="X97" s="105" t="str">
        <f t="shared" si="27"/>
        <v/>
      </c>
      <c r="Y97" s="53">
        <v>0</v>
      </c>
      <c r="Z97" s="56" t="str">
        <f t="shared" si="28"/>
        <v/>
      </c>
      <c r="AA97" s="56" t="str">
        <f t="shared" si="29"/>
        <v/>
      </c>
      <c r="AB97" s="56" t="str">
        <f t="shared" si="30"/>
        <v/>
      </c>
      <c r="AC97" s="56" t="str">
        <f t="shared" si="31"/>
        <v/>
      </c>
      <c r="AD97" s="56" t="str">
        <f t="shared" si="32"/>
        <v/>
      </c>
      <c r="AE97" s="40"/>
      <c r="AF97" s="40"/>
      <c r="AG97" s="40"/>
      <c r="AH97" s="56" t="str">
        <f t="shared" si="33"/>
        <v/>
      </c>
      <c r="AI97" s="54"/>
      <c r="AJ97" s="54"/>
      <c r="AK97" s="54"/>
      <c r="AL97" s="54"/>
      <c r="AM97" s="54"/>
    </row>
    <row r="98" spans="1:39">
      <c r="A98" s="96"/>
      <c r="B98" s="45" t="str" cm="1">
        <f t="array" ref="B98">IF(H98="PROJECT", CHAR(10) &amp; "- " &amp; _xlfn.TEXTJOIN(CHAR(10) &amp; "- ", TRUE, _xlfn._xlws.FILTER($I$9:$I$1000, ($C$9:$C$1000=C98) * ($H$9:$H$1000="Topic"))), "")</f>
        <v/>
      </c>
      <c r="C98" s="45">
        <f t="shared" si="17"/>
        <v>58</v>
      </c>
      <c r="D98" s="57"/>
      <c r="E98" s="58"/>
      <c r="F98" s="54"/>
      <c r="G98" s="52"/>
      <c r="H98" s="52"/>
      <c r="I98" s="61"/>
      <c r="J98" s="62"/>
      <c r="K98" s="103" t="str">
        <f t="shared" si="18"/>
        <v/>
      </c>
      <c r="L98" s="105" t="str">
        <f t="shared" si="19"/>
        <v/>
      </c>
      <c r="M98" s="52">
        <v>0</v>
      </c>
      <c r="N98" s="104" t="str">
        <f t="shared" si="20"/>
        <v/>
      </c>
      <c r="O98" s="105" t="str">
        <f t="shared" si="21"/>
        <v/>
      </c>
      <c r="P98" s="52">
        <v>0</v>
      </c>
      <c r="Q98" s="104" t="str">
        <f t="shared" si="22"/>
        <v/>
      </c>
      <c r="R98" s="105" t="str">
        <f t="shared" si="23"/>
        <v/>
      </c>
      <c r="S98" s="52">
        <v>0</v>
      </c>
      <c r="T98" s="104" t="str">
        <f t="shared" si="24"/>
        <v/>
      </c>
      <c r="U98" s="105" t="str">
        <f t="shared" si="25"/>
        <v/>
      </c>
      <c r="V98" s="52">
        <v>0</v>
      </c>
      <c r="W98" s="88" t="str">
        <f t="shared" si="26"/>
        <v/>
      </c>
      <c r="X98" s="105" t="str">
        <f t="shared" si="27"/>
        <v/>
      </c>
      <c r="Y98" s="52">
        <v>0</v>
      </c>
      <c r="Z98" s="56" t="str">
        <f t="shared" si="28"/>
        <v/>
      </c>
      <c r="AA98" s="56" t="str">
        <f t="shared" si="29"/>
        <v/>
      </c>
      <c r="AB98" s="56" t="str">
        <f t="shared" si="30"/>
        <v/>
      </c>
      <c r="AC98" s="56" t="str">
        <f t="shared" si="31"/>
        <v/>
      </c>
      <c r="AD98" s="56" t="str">
        <f t="shared" si="32"/>
        <v/>
      </c>
      <c r="AE98" s="40"/>
      <c r="AF98" s="40"/>
      <c r="AG98" s="40"/>
      <c r="AH98" s="56" t="str">
        <f t="shared" si="33"/>
        <v/>
      </c>
      <c r="AI98" s="54"/>
      <c r="AJ98" s="54"/>
      <c r="AK98" s="54"/>
      <c r="AL98" s="54"/>
      <c r="AM98" s="54"/>
    </row>
    <row r="99" spans="1:39">
      <c r="A99" s="96"/>
      <c r="B99" s="45" t="str" cm="1">
        <f t="array" ref="B99">IF(H99="PROJECT", CHAR(10) &amp; "- " &amp; _xlfn.TEXTJOIN(CHAR(10) &amp; "- ", TRUE, _xlfn._xlws.FILTER($I$9:$I$1000, ($C$9:$C$1000=C99) * ($H$9:$H$1000="Topic"))), "")</f>
        <v/>
      </c>
      <c r="C99" s="45">
        <f t="shared" si="17"/>
        <v>59</v>
      </c>
      <c r="D99" s="46"/>
      <c r="E99" s="58"/>
      <c r="F99" s="67"/>
      <c r="G99" s="53"/>
      <c r="H99" s="53"/>
      <c r="I99" s="50"/>
      <c r="J99" s="51"/>
      <c r="K99" s="103" t="str">
        <f t="shared" si="18"/>
        <v/>
      </c>
      <c r="L99" s="105" t="str">
        <f t="shared" si="19"/>
        <v/>
      </c>
      <c r="M99" s="53">
        <v>0</v>
      </c>
      <c r="N99" s="104" t="str">
        <f t="shared" si="20"/>
        <v/>
      </c>
      <c r="O99" s="105" t="str">
        <f t="shared" si="21"/>
        <v/>
      </c>
      <c r="P99" s="53">
        <v>0</v>
      </c>
      <c r="Q99" s="104" t="str">
        <f t="shared" si="22"/>
        <v/>
      </c>
      <c r="R99" s="105" t="str">
        <f t="shared" si="23"/>
        <v/>
      </c>
      <c r="S99" s="53">
        <v>0</v>
      </c>
      <c r="T99" s="104" t="str">
        <f t="shared" si="24"/>
        <v/>
      </c>
      <c r="U99" s="105" t="str">
        <f t="shared" si="25"/>
        <v/>
      </c>
      <c r="V99" s="53">
        <v>0</v>
      </c>
      <c r="W99" s="88" t="str">
        <f t="shared" si="26"/>
        <v/>
      </c>
      <c r="X99" s="105" t="str">
        <f t="shared" si="27"/>
        <v/>
      </c>
      <c r="Y99" s="53">
        <v>0</v>
      </c>
      <c r="Z99" s="56" t="str">
        <f t="shared" si="28"/>
        <v/>
      </c>
      <c r="AA99" s="56" t="str">
        <f t="shared" si="29"/>
        <v/>
      </c>
      <c r="AB99" s="56" t="str">
        <f t="shared" si="30"/>
        <v/>
      </c>
      <c r="AC99" s="56" t="str">
        <f t="shared" si="31"/>
        <v/>
      </c>
      <c r="AD99" s="56" t="str">
        <f t="shared" si="32"/>
        <v/>
      </c>
      <c r="AE99" s="40"/>
      <c r="AF99" s="40"/>
      <c r="AG99" s="40"/>
      <c r="AH99" s="56" t="str">
        <f t="shared" si="33"/>
        <v/>
      </c>
      <c r="AI99" s="54"/>
      <c r="AJ99" s="54"/>
      <c r="AK99" s="54"/>
      <c r="AL99" s="54"/>
      <c r="AM99" s="54"/>
    </row>
    <row r="100" spans="1:39">
      <c r="A100" s="96"/>
      <c r="B100" s="45" t="str" cm="1">
        <f t="array" ref="B100">IF(H100="PROJECT", CHAR(10) &amp; "- " &amp; _xlfn.TEXTJOIN(CHAR(10) &amp; "- ", TRUE, _xlfn._xlws.FILTER($I$9:$I$1000, ($C$9:$C$1000=C100) * ($H$9:$H$1000="Topic"))), "")</f>
        <v/>
      </c>
      <c r="C100" s="45">
        <f t="shared" si="17"/>
        <v>60</v>
      </c>
      <c r="D100" s="57"/>
      <c r="E100" s="58"/>
      <c r="F100" s="54"/>
      <c r="G100" s="52"/>
      <c r="H100" s="52"/>
      <c r="I100" s="61"/>
      <c r="J100" s="62"/>
      <c r="K100" s="103" t="str">
        <f t="shared" si="18"/>
        <v/>
      </c>
      <c r="L100" s="105" t="str">
        <f t="shared" si="19"/>
        <v/>
      </c>
      <c r="M100" s="52">
        <v>0</v>
      </c>
      <c r="N100" s="104" t="str">
        <f t="shared" si="20"/>
        <v/>
      </c>
      <c r="O100" s="105" t="str">
        <f t="shared" si="21"/>
        <v/>
      </c>
      <c r="P100" s="52">
        <v>0</v>
      </c>
      <c r="Q100" s="104" t="str">
        <f t="shared" si="22"/>
        <v/>
      </c>
      <c r="R100" s="105" t="str">
        <f t="shared" si="23"/>
        <v/>
      </c>
      <c r="S100" s="52">
        <v>0</v>
      </c>
      <c r="T100" s="104" t="str">
        <f t="shared" si="24"/>
        <v/>
      </c>
      <c r="U100" s="105" t="str">
        <f t="shared" si="25"/>
        <v/>
      </c>
      <c r="V100" s="52">
        <v>0</v>
      </c>
      <c r="W100" s="88" t="str">
        <f t="shared" si="26"/>
        <v/>
      </c>
      <c r="X100" s="105" t="str">
        <f t="shared" si="27"/>
        <v/>
      </c>
      <c r="Y100" s="52">
        <v>0</v>
      </c>
      <c r="Z100" s="56" t="str">
        <f t="shared" si="28"/>
        <v/>
      </c>
      <c r="AA100" s="56" t="str">
        <f t="shared" si="29"/>
        <v/>
      </c>
      <c r="AB100" s="56" t="str">
        <f t="shared" si="30"/>
        <v/>
      </c>
      <c r="AC100" s="56" t="str">
        <f t="shared" si="31"/>
        <v/>
      </c>
      <c r="AD100" s="56" t="str">
        <f t="shared" si="32"/>
        <v/>
      </c>
      <c r="AE100" s="40"/>
      <c r="AF100" s="40"/>
      <c r="AG100" s="40"/>
      <c r="AH100" s="56" t="str">
        <f t="shared" si="33"/>
        <v/>
      </c>
      <c r="AI100" s="54"/>
      <c r="AJ100" s="54"/>
      <c r="AK100" s="54"/>
      <c r="AL100" s="54"/>
      <c r="AM100" s="54"/>
    </row>
    <row r="101" spans="1:39">
      <c r="A101" s="96"/>
      <c r="B101" s="45" t="str" cm="1">
        <f t="array" ref="B101">IF(H101="PROJECT", CHAR(10) &amp; "- " &amp; _xlfn.TEXTJOIN(CHAR(10) &amp; "- ", TRUE, _xlfn._xlws.FILTER($I$9:$I$1000, ($C$9:$C$1000=C101) * ($H$9:$H$1000="Topic"))), "")</f>
        <v/>
      </c>
      <c r="C101" s="45">
        <f t="shared" si="17"/>
        <v>61</v>
      </c>
      <c r="D101" s="46"/>
      <c r="E101" s="58"/>
      <c r="F101" s="67"/>
      <c r="G101" s="53"/>
      <c r="H101" s="53"/>
      <c r="I101" s="50"/>
      <c r="J101" s="51"/>
      <c r="K101" s="103" t="str">
        <f t="shared" si="18"/>
        <v/>
      </c>
      <c r="L101" s="105" t="str">
        <f t="shared" si="19"/>
        <v/>
      </c>
      <c r="M101" s="53">
        <v>0</v>
      </c>
      <c r="N101" s="104" t="str">
        <f t="shared" si="20"/>
        <v/>
      </c>
      <c r="O101" s="105" t="str">
        <f t="shared" si="21"/>
        <v/>
      </c>
      <c r="P101" s="53">
        <v>0</v>
      </c>
      <c r="Q101" s="104" t="str">
        <f t="shared" si="22"/>
        <v/>
      </c>
      <c r="R101" s="105" t="str">
        <f t="shared" si="23"/>
        <v/>
      </c>
      <c r="S101" s="53">
        <v>0</v>
      </c>
      <c r="T101" s="104" t="str">
        <f t="shared" si="24"/>
        <v/>
      </c>
      <c r="U101" s="105" t="str">
        <f t="shared" si="25"/>
        <v/>
      </c>
      <c r="V101" s="53">
        <v>0</v>
      </c>
      <c r="W101" s="88" t="str">
        <f t="shared" si="26"/>
        <v/>
      </c>
      <c r="X101" s="105" t="str">
        <f t="shared" si="27"/>
        <v/>
      </c>
      <c r="Y101" s="53">
        <v>0</v>
      </c>
      <c r="Z101" s="56" t="str">
        <f t="shared" si="28"/>
        <v/>
      </c>
      <c r="AA101" s="56" t="str">
        <f t="shared" si="29"/>
        <v/>
      </c>
      <c r="AB101" s="56" t="str">
        <f t="shared" si="30"/>
        <v/>
      </c>
      <c r="AC101" s="56" t="str">
        <f t="shared" si="31"/>
        <v/>
      </c>
      <c r="AD101" s="56" t="str">
        <f t="shared" si="32"/>
        <v/>
      </c>
      <c r="AE101" s="40"/>
      <c r="AF101" s="40"/>
      <c r="AG101" s="40"/>
      <c r="AH101" s="56" t="str">
        <f t="shared" si="33"/>
        <v/>
      </c>
      <c r="AI101" s="54"/>
      <c r="AJ101" s="54"/>
      <c r="AK101" s="54"/>
      <c r="AL101" s="54"/>
      <c r="AM101" s="54"/>
    </row>
    <row r="102" spans="1:39">
      <c r="A102" s="96"/>
      <c r="B102" s="45" t="str" cm="1">
        <f t="array" ref="B102">IF(H102="PROJECT", CHAR(10) &amp; "- " &amp; _xlfn.TEXTJOIN(CHAR(10) &amp; "- ", TRUE, _xlfn._xlws.FILTER($I$9:$I$1000, ($C$9:$C$1000=C102) * ($H$9:$H$1000="Topic"))), "")</f>
        <v/>
      </c>
      <c r="C102" s="45">
        <f t="shared" si="17"/>
        <v>62</v>
      </c>
      <c r="D102" s="57"/>
      <c r="E102" s="58"/>
      <c r="F102" s="54"/>
      <c r="G102" s="52"/>
      <c r="H102" s="52"/>
      <c r="I102" s="61"/>
      <c r="J102" s="62"/>
      <c r="K102" s="103" t="str">
        <f t="shared" si="18"/>
        <v/>
      </c>
      <c r="L102" s="105" t="str">
        <f t="shared" si="19"/>
        <v/>
      </c>
      <c r="M102" s="52">
        <v>0</v>
      </c>
      <c r="N102" s="104" t="str">
        <f t="shared" si="20"/>
        <v/>
      </c>
      <c r="O102" s="105" t="str">
        <f t="shared" si="21"/>
        <v/>
      </c>
      <c r="P102" s="52">
        <v>0</v>
      </c>
      <c r="Q102" s="104" t="str">
        <f t="shared" si="22"/>
        <v/>
      </c>
      <c r="R102" s="105" t="str">
        <f t="shared" si="23"/>
        <v/>
      </c>
      <c r="S102" s="52">
        <v>0</v>
      </c>
      <c r="T102" s="104" t="str">
        <f t="shared" si="24"/>
        <v/>
      </c>
      <c r="U102" s="105" t="str">
        <f t="shared" si="25"/>
        <v/>
      </c>
      <c r="V102" s="52">
        <v>0</v>
      </c>
      <c r="W102" s="88" t="str">
        <f t="shared" si="26"/>
        <v/>
      </c>
      <c r="X102" s="105" t="str">
        <f t="shared" si="27"/>
        <v/>
      </c>
      <c r="Y102" s="52">
        <v>0</v>
      </c>
      <c r="Z102" s="56" t="str">
        <f t="shared" si="28"/>
        <v/>
      </c>
      <c r="AA102" s="56" t="str">
        <f t="shared" si="29"/>
        <v/>
      </c>
      <c r="AB102" s="56" t="str">
        <f t="shared" si="30"/>
        <v/>
      </c>
      <c r="AC102" s="56" t="str">
        <f t="shared" si="31"/>
        <v/>
      </c>
      <c r="AD102" s="56" t="str">
        <f t="shared" si="32"/>
        <v/>
      </c>
      <c r="AE102" s="40"/>
      <c r="AF102" s="40"/>
      <c r="AG102" s="40"/>
      <c r="AH102" s="56" t="str">
        <f t="shared" si="33"/>
        <v/>
      </c>
      <c r="AI102" s="54"/>
      <c r="AJ102" s="54"/>
      <c r="AK102" s="54"/>
      <c r="AL102" s="54"/>
      <c r="AM102" s="54"/>
    </row>
    <row r="103" spans="1:39">
      <c r="A103" s="96"/>
      <c r="B103" s="45" t="str" cm="1">
        <f t="array" ref="B103">IF(H103="PROJECT", CHAR(10) &amp; "- " &amp; _xlfn.TEXTJOIN(CHAR(10) &amp; "- ", TRUE, _xlfn._xlws.FILTER($I$9:$I$1000, ($C$9:$C$1000=C103) * ($H$9:$H$1000="Topic"))), "")</f>
        <v/>
      </c>
      <c r="C103" s="45">
        <f t="shared" si="17"/>
        <v>63</v>
      </c>
      <c r="D103" s="46"/>
      <c r="E103" s="58"/>
      <c r="F103" s="67"/>
      <c r="G103" s="53"/>
      <c r="H103" s="53"/>
      <c r="I103" s="50"/>
      <c r="J103" s="51"/>
      <c r="K103" s="103" t="str">
        <f t="shared" si="18"/>
        <v/>
      </c>
      <c r="L103" s="105" t="str">
        <f t="shared" si="19"/>
        <v/>
      </c>
      <c r="M103" s="53">
        <v>0</v>
      </c>
      <c r="N103" s="104" t="str">
        <f t="shared" si="20"/>
        <v/>
      </c>
      <c r="O103" s="105" t="str">
        <f t="shared" si="21"/>
        <v/>
      </c>
      <c r="P103" s="53">
        <v>0</v>
      </c>
      <c r="Q103" s="104" t="str">
        <f t="shared" si="22"/>
        <v/>
      </c>
      <c r="R103" s="105" t="str">
        <f t="shared" si="23"/>
        <v/>
      </c>
      <c r="S103" s="53">
        <v>0</v>
      </c>
      <c r="T103" s="104" t="str">
        <f t="shared" si="24"/>
        <v/>
      </c>
      <c r="U103" s="105" t="str">
        <f t="shared" si="25"/>
        <v/>
      </c>
      <c r="V103" s="53">
        <v>0</v>
      </c>
      <c r="W103" s="88" t="str">
        <f t="shared" si="26"/>
        <v/>
      </c>
      <c r="X103" s="105" t="str">
        <f t="shared" si="27"/>
        <v/>
      </c>
      <c r="Y103" s="53">
        <v>0</v>
      </c>
      <c r="Z103" s="56" t="str">
        <f t="shared" si="28"/>
        <v/>
      </c>
      <c r="AA103" s="56" t="str">
        <f t="shared" si="29"/>
        <v/>
      </c>
      <c r="AB103" s="56" t="str">
        <f t="shared" si="30"/>
        <v/>
      </c>
      <c r="AC103" s="56" t="str">
        <f t="shared" si="31"/>
        <v/>
      </c>
      <c r="AD103" s="56" t="str">
        <f t="shared" si="32"/>
        <v/>
      </c>
      <c r="AE103" s="40"/>
      <c r="AF103" s="40"/>
      <c r="AG103" s="40"/>
      <c r="AH103" s="56" t="str">
        <f t="shared" si="33"/>
        <v/>
      </c>
      <c r="AI103" s="54"/>
      <c r="AJ103" s="54"/>
      <c r="AK103" s="54"/>
      <c r="AL103" s="54"/>
      <c r="AM103" s="54"/>
    </row>
    <row r="104" spans="1:39">
      <c r="A104" s="96"/>
      <c r="B104" s="45" t="str" cm="1">
        <f t="array" ref="B104">IF(H104="PROJECT", CHAR(10) &amp; "- " &amp; _xlfn.TEXTJOIN(CHAR(10) &amp; "- ", TRUE, _xlfn._xlws.FILTER($I$9:$I$1000, ($C$9:$C$1000=C104) * ($H$9:$H$1000="Topic"))), "")</f>
        <v/>
      </c>
      <c r="C104" s="45">
        <f t="shared" si="17"/>
        <v>64</v>
      </c>
      <c r="D104" s="57"/>
      <c r="E104" s="58"/>
      <c r="F104" s="54"/>
      <c r="G104" s="52"/>
      <c r="H104" s="52"/>
      <c r="I104" s="61"/>
      <c r="J104" s="62"/>
      <c r="K104" s="103" t="str">
        <f t="shared" si="18"/>
        <v/>
      </c>
      <c r="L104" s="105" t="str">
        <f t="shared" si="19"/>
        <v/>
      </c>
      <c r="M104" s="52">
        <v>0</v>
      </c>
      <c r="N104" s="104" t="str">
        <f t="shared" si="20"/>
        <v/>
      </c>
      <c r="O104" s="105" t="str">
        <f t="shared" si="21"/>
        <v/>
      </c>
      <c r="P104" s="52">
        <v>0</v>
      </c>
      <c r="Q104" s="104" t="str">
        <f t="shared" si="22"/>
        <v/>
      </c>
      <c r="R104" s="105" t="str">
        <f t="shared" si="23"/>
        <v/>
      </c>
      <c r="S104" s="52">
        <v>0</v>
      </c>
      <c r="T104" s="104" t="str">
        <f t="shared" si="24"/>
        <v/>
      </c>
      <c r="U104" s="105" t="str">
        <f t="shared" si="25"/>
        <v/>
      </c>
      <c r="V104" s="52">
        <v>0</v>
      </c>
      <c r="W104" s="88" t="str">
        <f t="shared" si="26"/>
        <v/>
      </c>
      <c r="X104" s="105" t="str">
        <f t="shared" si="27"/>
        <v/>
      </c>
      <c r="Y104" s="52">
        <v>0</v>
      </c>
      <c r="Z104" s="56" t="str">
        <f t="shared" si="28"/>
        <v/>
      </c>
      <c r="AA104" s="56" t="str">
        <f t="shared" si="29"/>
        <v/>
      </c>
      <c r="AB104" s="56" t="str">
        <f t="shared" si="30"/>
        <v/>
      </c>
      <c r="AC104" s="56" t="str">
        <f t="shared" si="31"/>
        <v/>
      </c>
      <c r="AD104" s="56" t="str">
        <f t="shared" si="32"/>
        <v/>
      </c>
      <c r="AE104" s="40"/>
      <c r="AF104" s="40"/>
      <c r="AG104" s="40"/>
      <c r="AH104" s="56" t="str">
        <f t="shared" si="33"/>
        <v/>
      </c>
      <c r="AI104" s="54"/>
      <c r="AJ104" s="54"/>
      <c r="AK104" s="54"/>
      <c r="AL104" s="54"/>
      <c r="AM104" s="54"/>
    </row>
    <row r="105" spans="1:39">
      <c r="A105" s="96"/>
      <c r="B105" s="45" t="str" cm="1">
        <f t="array" ref="B105">IF(H105="PROJECT", CHAR(10) &amp; "- " &amp; _xlfn.TEXTJOIN(CHAR(10) &amp; "- ", TRUE, _xlfn._xlws.FILTER($I$9:$I$1000, ($C$9:$C$1000=C105) * ($H$9:$H$1000="Topic"))), "")</f>
        <v/>
      </c>
      <c r="C105" s="45">
        <f t="shared" si="17"/>
        <v>65</v>
      </c>
      <c r="D105" s="46"/>
      <c r="E105" s="58"/>
      <c r="F105" s="67"/>
      <c r="G105" s="53"/>
      <c r="H105" s="53"/>
      <c r="I105" s="50"/>
      <c r="J105" s="51"/>
      <c r="K105" s="103" t="str">
        <f t="shared" si="18"/>
        <v/>
      </c>
      <c r="L105" s="105" t="str">
        <f t="shared" si="19"/>
        <v/>
      </c>
      <c r="M105" s="53">
        <v>0</v>
      </c>
      <c r="N105" s="104" t="str">
        <f t="shared" si="20"/>
        <v/>
      </c>
      <c r="O105" s="105" t="str">
        <f t="shared" si="21"/>
        <v/>
      </c>
      <c r="P105" s="53">
        <v>0</v>
      </c>
      <c r="Q105" s="104" t="str">
        <f t="shared" si="22"/>
        <v/>
      </c>
      <c r="R105" s="105" t="str">
        <f t="shared" si="23"/>
        <v/>
      </c>
      <c r="S105" s="53">
        <v>0</v>
      </c>
      <c r="T105" s="104" t="str">
        <f t="shared" si="24"/>
        <v/>
      </c>
      <c r="U105" s="105" t="str">
        <f t="shared" si="25"/>
        <v/>
      </c>
      <c r="V105" s="53">
        <v>0</v>
      </c>
      <c r="W105" s="88" t="str">
        <f t="shared" si="26"/>
        <v/>
      </c>
      <c r="X105" s="105" t="str">
        <f t="shared" si="27"/>
        <v/>
      </c>
      <c r="Y105" s="53">
        <v>0</v>
      </c>
      <c r="Z105" s="56" t="str">
        <f t="shared" si="28"/>
        <v/>
      </c>
      <c r="AA105" s="56" t="str">
        <f t="shared" si="29"/>
        <v/>
      </c>
      <c r="AB105" s="56" t="str">
        <f t="shared" si="30"/>
        <v/>
      </c>
      <c r="AC105" s="56" t="str">
        <f t="shared" si="31"/>
        <v/>
      </c>
      <c r="AD105" s="56" t="str">
        <f t="shared" si="32"/>
        <v/>
      </c>
      <c r="AE105" s="40"/>
      <c r="AF105" s="40"/>
      <c r="AG105" s="40"/>
      <c r="AH105" s="56" t="str">
        <f t="shared" si="33"/>
        <v/>
      </c>
      <c r="AI105" s="54"/>
      <c r="AJ105" s="54"/>
      <c r="AK105" s="54"/>
      <c r="AL105" s="54"/>
      <c r="AM105" s="54"/>
    </row>
    <row r="106" spans="1:39">
      <c r="A106" s="96"/>
      <c r="B106" s="45" t="str" cm="1">
        <f t="array" ref="B106">IF(H106="PROJECT", CHAR(10) &amp; "- " &amp; _xlfn.TEXTJOIN(CHAR(10) &amp; "- ", TRUE, _xlfn._xlws.FILTER($I$9:$I$1000, ($C$9:$C$1000=C106) * ($H$9:$H$1000="Topic"))), "")</f>
        <v/>
      </c>
      <c r="C106" s="45">
        <f t="shared" si="17"/>
        <v>66</v>
      </c>
      <c r="D106" s="57"/>
      <c r="E106" s="58"/>
      <c r="F106" s="54"/>
      <c r="G106" s="52"/>
      <c r="H106" s="52"/>
      <c r="I106" s="61"/>
      <c r="J106" s="62"/>
      <c r="K106" s="103" t="str">
        <f t="shared" si="18"/>
        <v/>
      </c>
      <c r="L106" s="105" t="str">
        <f t="shared" si="19"/>
        <v/>
      </c>
      <c r="M106" s="52">
        <v>0</v>
      </c>
      <c r="N106" s="104" t="str">
        <f t="shared" si="20"/>
        <v/>
      </c>
      <c r="O106" s="105" t="str">
        <f t="shared" si="21"/>
        <v/>
      </c>
      <c r="P106" s="52">
        <v>0</v>
      </c>
      <c r="Q106" s="104" t="str">
        <f t="shared" si="22"/>
        <v/>
      </c>
      <c r="R106" s="105" t="str">
        <f t="shared" si="23"/>
        <v/>
      </c>
      <c r="S106" s="52">
        <v>0</v>
      </c>
      <c r="T106" s="104" t="str">
        <f t="shared" si="24"/>
        <v/>
      </c>
      <c r="U106" s="105" t="str">
        <f t="shared" si="25"/>
        <v/>
      </c>
      <c r="V106" s="52">
        <v>0</v>
      </c>
      <c r="W106" s="88" t="str">
        <f t="shared" si="26"/>
        <v/>
      </c>
      <c r="X106" s="105" t="str">
        <f t="shared" si="27"/>
        <v/>
      </c>
      <c r="Y106" s="52">
        <v>0</v>
      </c>
      <c r="Z106" s="56" t="str">
        <f t="shared" si="28"/>
        <v/>
      </c>
      <c r="AA106" s="56" t="str">
        <f t="shared" si="29"/>
        <v/>
      </c>
      <c r="AB106" s="56" t="str">
        <f t="shared" si="30"/>
        <v/>
      </c>
      <c r="AC106" s="56" t="str">
        <f t="shared" si="31"/>
        <v/>
      </c>
      <c r="AD106" s="56" t="str">
        <f t="shared" si="32"/>
        <v/>
      </c>
      <c r="AE106" s="40"/>
      <c r="AF106" s="40"/>
      <c r="AG106" s="40"/>
      <c r="AH106" s="56" t="str">
        <f t="shared" si="33"/>
        <v/>
      </c>
      <c r="AI106" s="54"/>
      <c r="AJ106" s="54"/>
      <c r="AK106" s="54"/>
      <c r="AL106" s="54"/>
      <c r="AM106" s="54"/>
    </row>
    <row r="107" spans="1:39">
      <c r="A107" s="96"/>
      <c r="B107" s="45" t="str" cm="1">
        <f t="array" ref="B107">IF(H107="PROJECT", CHAR(10) &amp; "- " &amp; _xlfn.TEXTJOIN(CHAR(10) &amp; "- ", TRUE, _xlfn._xlws.FILTER($I$9:$I$1000, ($C$9:$C$1000=C107) * ($H$9:$H$1000="Topic"))), "")</f>
        <v/>
      </c>
      <c r="C107" s="45">
        <f t="shared" si="17"/>
        <v>67</v>
      </c>
      <c r="D107" s="46"/>
      <c r="E107" s="58"/>
      <c r="F107" s="67"/>
      <c r="G107" s="53"/>
      <c r="H107" s="53"/>
      <c r="I107" s="50"/>
      <c r="J107" s="51"/>
      <c r="K107" s="103" t="str">
        <f t="shared" si="18"/>
        <v/>
      </c>
      <c r="L107" s="105" t="str">
        <f t="shared" si="19"/>
        <v/>
      </c>
      <c r="M107" s="53">
        <v>0</v>
      </c>
      <c r="N107" s="104" t="str">
        <f t="shared" si="20"/>
        <v/>
      </c>
      <c r="O107" s="105" t="str">
        <f t="shared" si="21"/>
        <v/>
      </c>
      <c r="P107" s="53">
        <v>0</v>
      </c>
      <c r="Q107" s="104" t="str">
        <f t="shared" si="22"/>
        <v/>
      </c>
      <c r="R107" s="105" t="str">
        <f t="shared" si="23"/>
        <v/>
      </c>
      <c r="S107" s="53">
        <v>0</v>
      </c>
      <c r="T107" s="104" t="str">
        <f t="shared" si="24"/>
        <v/>
      </c>
      <c r="U107" s="105" t="str">
        <f t="shared" si="25"/>
        <v/>
      </c>
      <c r="V107" s="53">
        <v>0</v>
      </c>
      <c r="W107" s="88" t="str">
        <f t="shared" si="26"/>
        <v/>
      </c>
      <c r="X107" s="105" t="str">
        <f t="shared" si="27"/>
        <v/>
      </c>
      <c r="Y107" s="53">
        <v>0</v>
      </c>
      <c r="Z107" s="56" t="str">
        <f t="shared" si="28"/>
        <v/>
      </c>
      <c r="AA107" s="56" t="str">
        <f t="shared" si="29"/>
        <v/>
      </c>
      <c r="AB107" s="56" t="str">
        <f t="shared" si="30"/>
        <v/>
      </c>
      <c r="AC107" s="56" t="str">
        <f t="shared" si="31"/>
        <v/>
      </c>
      <c r="AD107" s="56" t="str">
        <f t="shared" si="32"/>
        <v/>
      </c>
      <c r="AE107" s="40"/>
      <c r="AF107" s="40"/>
      <c r="AG107" s="40"/>
      <c r="AH107" s="56" t="str">
        <f t="shared" si="33"/>
        <v/>
      </c>
      <c r="AI107" s="54"/>
      <c r="AJ107" s="54"/>
      <c r="AK107" s="54"/>
      <c r="AL107" s="54"/>
      <c r="AM107" s="54"/>
    </row>
    <row r="108" spans="1:39">
      <c r="A108" s="96"/>
      <c r="B108" s="45" t="str" cm="1">
        <f t="array" ref="B108">IF(H108="PROJECT", CHAR(10) &amp; "- " &amp; _xlfn.TEXTJOIN(CHAR(10) &amp; "- ", TRUE, _xlfn._xlws.FILTER($I$9:$I$1000, ($C$9:$C$1000=C108) * ($H$9:$H$1000="Topic"))), "")</f>
        <v/>
      </c>
      <c r="C108" s="45">
        <f t="shared" si="17"/>
        <v>68</v>
      </c>
      <c r="D108" s="57"/>
      <c r="E108" s="58"/>
      <c r="F108" s="54"/>
      <c r="G108" s="52"/>
      <c r="H108" s="52"/>
      <c r="I108" s="61"/>
      <c r="J108" s="62"/>
      <c r="K108" s="103" t="str">
        <f t="shared" si="18"/>
        <v/>
      </c>
      <c r="L108" s="105" t="str">
        <f t="shared" si="19"/>
        <v/>
      </c>
      <c r="M108" s="52">
        <v>0</v>
      </c>
      <c r="N108" s="104" t="str">
        <f t="shared" si="20"/>
        <v/>
      </c>
      <c r="O108" s="105" t="str">
        <f t="shared" si="21"/>
        <v/>
      </c>
      <c r="P108" s="52">
        <v>0</v>
      </c>
      <c r="Q108" s="104" t="str">
        <f t="shared" si="22"/>
        <v/>
      </c>
      <c r="R108" s="105" t="str">
        <f t="shared" si="23"/>
        <v/>
      </c>
      <c r="S108" s="52">
        <v>0</v>
      </c>
      <c r="T108" s="104" t="str">
        <f t="shared" si="24"/>
        <v/>
      </c>
      <c r="U108" s="105" t="str">
        <f t="shared" si="25"/>
        <v/>
      </c>
      <c r="V108" s="52">
        <v>0</v>
      </c>
      <c r="W108" s="88" t="str">
        <f t="shared" si="26"/>
        <v/>
      </c>
      <c r="X108" s="105" t="str">
        <f t="shared" si="27"/>
        <v/>
      </c>
      <c r="Y108" s="52">
        <v>0</v>
      </c>
      <c r="Z108" s="56" t="str">
        <f t="shared" si="28"/>
        <v/>
      </c>
      <c r="AA108" s="56" t="str">
        <f t="shared" si="29"/>
        <v/>
      </c>
      <c r="AB108" s="56" t="str">
        <f t="shared" si="30"/>
        <v/>
      </c>
      <c r="AC108" s="56" t="str">
        <f t="shared" si="31"/>
        <v/>
      </c>
      <c r="AD108" s="56" t="str">
        <f t="shared" si="32"/>
        <v/>
      </c>
      <c r="AE108" s="40"/>
      <c r="AF108" s="40"/>
      <c r="AG108" s="40"/>
      <c r="AH108" s="56" t="str">
        <f t="shared" si="33"/>
        <v/>
      </c>
      <c r="AI108" s="54"/>
      <c r="AJ108" s="54"/>
      <c r="AK108" s="54"/>
      <c r="AL108" s="54"/>
      <c r="AM108" s="54"/>
    </row>
    <row r="109" spans="1:39">
      <c r="A109" s="96"/>
      <c r="B109" s="45" t="str" cm="1">
        <f t="array" ref="B109">IF(H109="PROJECT", CHAR(10) &amp; "- " &amp; _xlfn.TEXTJOIN(CHAR(10) &amp; "- ", TRUE, _xlfn._xlws.FILTER($I$9:$I$1000, ($C$9:$C$1000=C109) * ($H$9:$H$1000="Topic"))), "")</f>
        <v/>
      </c>
      <c r="C109" s="45">
        <f t="shared" si="17"/>
        <v>69</v>
      </c>
      <c r="D109" s="46"/>
      <c r="E109" s="58"/>
      <c r="F109" s="67"/>
      <c r="G109" s="53"/>
      <c r="H109" s="53"/>
      <c r="I109" s="50"/>
      <c r="J109" s="51"/>
      <c r="K109" s="103" t="str">
        <f t="shared" si="18"/>
        <v/>
      </c>
      <c r="L109" s="105" t="str">
        <f t="shared" si="19"/>
        <v/>
      </c>
      <c r="M109" s="53">
        <v>0</v>
      </c>
      <c r="N109" s="104" t="str">
        <f t="shared" si="20"/>
        <v/>
      </c>
      <c r="O109" s="105" t="str">
        <f t="shared" si="21"/>
        <v/>
      </c>
      <c r="P109" s="53">
        <v>0</v>
      </c>
      <c r="Q109" s="104" t="str">
        <f t="shared" si="22"/>
        <v/>
      </c>
      <c r="R109" s="105" t="str">
        <f t="shared" si="23"/>
        <v/>
      </c>
      <c r="S109" s="53">
        <v>0</v>
      </c>
      <c r="T109" s="104" t="str">
        <f t="shared" si="24"/>
        <v/>
      </c>
      <c r="U109" s="105" t="str">
        <f t="shared" si="25"/>
        <v/>
      </c>
      <c r="V109" s="53">
        <v>0</v>
      </c>
      <c r="W109" s="88" t="str">
        <f t="shared" si="26"/>
        <v/>
      </c>
      <c r="X109" s="105" t="str">
        <f t="shared" si="27"/>
        <v/>
      </c>
      <c r="Y109" s="53">
        <v>0</v>
      </c>
      <c r="Z109" s="56" t="str">
        <f t="shared" si="28"/>
        <v/>
      </c>
      <c r="AA109" s="56" t="str">
        <f t="shared" si="29"/>
        <v/>
      </c>
      <c r="AB109" s="56" t="str">
        <f t="shared" si="30"/>
        <v/>
      </c>
      <c r="AC109" s="56" t="str">
        <f t="shared" si="31"/>
        <v/>
      </c>
      <c r="AD109" s="56" t="str">
        <f t="shared" si="32"/>
        <v/>
      </c>
      <c r="AE109" s="40"/>
      <c r="AF109" s="40"/>
      <c r="AG109" s="40"/>
      <c r="AH109" s="56" t="str">
        <f t="shared" si="33"/>
        <v/>
      </c>
      <c r="AI109" s="54"/>
      <c r="AJ109" s="54"/>
      <c r="AK109" s="54"/>
      <c r="AL109" s="54"/>
      <c r="AM109" s="54"/>
    </row>
    <row r="110" spans="1:39">
      <c r="A110" s="96"/>
      <c r="B110" s="45" t="str" cm="1">
        <f t="array" ref="B110">IF(H110="PROJECT", CHAR(10) &amp; "- " &amp; _xlfn.TEXTJOIN(CHAR(10) &amp; "- ", TRUE, _xlfn._xlws.FILTER($I$9:$I$1000, ($C$9:$C$1000=C110) * ($H$9:$H$1000="Topic"))), "")</f>
        <v/>
      </c>
      <c r="C110" s="45">
        <f t="shared" si="17"/>
        <v>70</v>
      </c>
      <c r="D110" s="57"/>
      <c r="E110" s="58"/>
      <c r="F110" s="54"/>
      <c r="G110" s="52"/>
      <c r="H110" s="52"/>
      <c r="I110" s="61"/>
      <c r="J110" s="62"/>
      <c r="K110" s="103" t="str">
        <f t="shared" si="18"/>
        <v/>
      </c>
      <c r="L110" s="105" t="str">
        <f t="shared" si="19"/>
        <v/>
      </c>
      <c r="M110" s="52">
        <v>0</v>
      </c>
      <c r="N110" s="104" t="str">
        <f t="shared" si="20"/>
        <v/>
      </c>
      <c r="O110" s="105" t="str">
        <f t="shared" si="21"/>
        <v/>
      </c>
      <c r="P110" s="52">
        <v>0</v>
      </c>
      <c r="Q110" s="104" t="str">
        <f t="shared" si="22"/>
        <v/>
      </c>
      <c r="R110" s="105" t="str">
        <f t="shared" si="23"/>
        <v/>
      </c>
      <c r="S110" s="52">
        <v>0</v>
      </c>
      <c r="T110" s="104" t="str">
        <f t="shared" si="24"/>
        <v/>
      </c>
      <c r="U110" s="105" t="str">
        <f t="shared" si="25"/>
        <v/>
      </c>
      <c r="V110" s="52">
        <v>0</v>
      </c>
      <c r="W110" s="88" t="str">
        <f t="shared" si="26"/>
        <v/>
      </c>
      <c r="X110" s="105" t="str">
        <f t="shared" si="27"/>
        <v/>
      </c>
      <c r="Y110" s="52">
        <v>0</v>
      </c>
      <c r="Z110" s="56" t="str">
        <f t="shared" si="28"/>
        <v/>
      </c>
      <c r="AA110" s="56" t="str">
        <f t="shared" si="29"/>
        <v/>
      </c>
      <c r="AB110" s="56" t="str">
        <f t="shared" si="30"/>
        <v/>
      </c>
      <c r="AC110" s="56" t="str">
        <f t="shared" si="31"/>
        <v/>
      </c>
      <c r="AD110" s="56" t="str">
        <f t="shared" si="32"/>
        <v/>
      </c>
      <c r="AE110" s="40"/>
      <c r="AF110" s="40"/>
      <c r="AG110" s="40"/>
      <c r="AH110" s="56" t="str">
        <f t="shared" si="33"/>
        <v/>
      </c>
      <c r="AI110" s="54"/>
      <c r="AJ110" s="54"/>
      <c r="AK110" s="54"/>
      <c r="AL110" s="54"/>
      <c r="AM110" s="54"/>
    </row>
    <row r="111" spans="1:39">
      <c r="A111" s="96"/>
      <c r="B111" s="45" t="str" cm="1">
        <f t="array" ref="B111">IF(H111="PROJECT", CHAR(10) &amp; "- " &amp; _xlfn.TEXTJOIN(CHAR(10) &amp; "- ", TRUE, _xlfn._xlws.FILTER($I$9:$I$1000, ($C$9:$C$1000=C111) * ($H$9:$H$1000="Topic"))), "")</f>
        <v/>
      </c>
      <c r="C111" s="45">
        <f t="shared" si="17"/>
        <v>71</v>
      </c>
      <c r="D111" s="46"/>
      <c r="E111" s="58"/>
      <c r="F111" s="67"/>
      <c r="G111" s="53"/>
      <c r="H111" s="53"/>
      <c r="I111" s="50"/>
      <c r="J111" s="51"/>
      <c r="K111" s="103" t="str">
        <f t="shared" si="18"/>
        <v/>
      </c>
      <c r="L111" s="105" t="str">
        <f t="shared" si="19"/>
        <v/>
      </c>
      <c r="M111" s="53">
        <v>0</v>
      </c>
      <c r="N111" s="104" t="str">
        <f t="shared" si="20"/>
        <v/>
      </c>
      <c r="O111" s="105" t="str">
        <f t="shared" si="21"/>
        <v/>
      </c>
      <c r="P111" s="53">
        <v>0</v>
      </c>
      <c r="Q111" s="104" t="str">
        <f t="shared" si="22"/>
        <v/>
      </c>
      <c r="R111" s="105" t="str">
        <f t="shared" si="23"/>
        <v/>
      </c>
      <c r="S111" s="53">
        <v>0</v>
      </c>
      <c r="T111" s="104" t="str">
        <f t="shared" si="24"/>
        <v/>
      </c>
      <c r="U111" s="105" t="str">
        <f t="shared" si="25"/>
        <v/>
      </c>
      <c r="V111" s="53">
        <v>0</v>
      </c>
      <c r="W111" s="88" t="str">
        <f t="shared" si="26"/>
        <v/>
      </c>
      <c r="X111" s="105" t="str">
        <f t="shared" si="27"/>
        <v/>
      </c>
      <c r="Y111" s="53">
        <v>0</v>
      </c>
      <c r="Z111" s="56" t="str">
        <f t="shared" si="28"/>
        <v/>
      </c>
      <c r="AA111" s="56" t="str">
        <f t="shared" si="29"/>
        <v/>
      </c>
      <c r="AB111" s="56" t="str">
        <f t="shared" si="30"/>
        <v/>
      </c>
      <c r="AC111" s="56" t="str">
        <f t="shared" si="31"/>
        <v/>
      </c>
      <c r="AD111" s="56" t="str">
        <f t="shared" si="32"/>
        <v/>
      </c>
      <c r="AE111" s="40"/>
      <c r="AF111" s="40"/>
      <c r="AG111" s="40"/>
      <c r="AH111" s="56" t="str">
        <f t="shared" si="33"/>
        <v/>
      </c>
      <c r="AI111" s="54"/>
      <c r="AJ111" s="54"/>
      <c r="AK111" s="54"/>
      <c r="AL111" s="54"/>
      <c r="AM111" s="54"/>
    </row>
    <row r="112" spans="1:39">
      <c r="A112" s="96"/>
      <c r="B112" s="45" t="str" cm="1">
        <f t="array" ref="B112">IF(H112="PROJECT", CHAR(10) &amp; "- " &amp; _xlfn.TEXTJOIN(CHAR(10) &amp; "- ", TRUE, _xlfn._xlws.FILTER($I$9:$I$1000, ($C$9:$C$1000=C112) * ($H$9:$H$1000="Topic"))), "")</f>
        <v/>
      </c>
      <c r="C112" s="45">
        <f t="shared" si="17"/>
        <v>72</v>
      </c>
      <c r="D112" s="57"/>
      <c r="E112" s="58"/>
      <c r="F112" s="54"/>
      <c r="G112" s="52"/>
      <c r="H112" s="52"/>
      <c r="I112" s="61"/>
      <c r="J112" s="62"/>
      <c r="K112" s="103" t="str">
        <f t="shared" si="18"/>
        <v/>
      </c>
      <c r="L112" s="105" t="str">
        <f t="shared" si="19"/>
        <v/>
      </c>
      <c r="M112" s="52">
        <v>0</v>
      </c>
      <c r="N112" s="104" t="str">
        <f t="shared" si="20"/>
        <v/>
      </c>
      <c r="O112" s="105" t="str">
        <f t="shared" si="21"/>
        <v/>
      </c>
      <c r="P112" s="52">
        <v>0</v>
      </c>
      <c r="Q112" s="104" t="str">
        <f t="shared" si="22"/>
        <v/>
      </c>
      <c r="R112" s="105" t="str">
        <f t="shared" si="23"/>
        <v/>
      </c>
      <c r="S112" s="52">
        <v>0</v>
      </c>
      <c r="T112" s="104" t="str">
        <f t="shared" si="24"/>
        <v/>
      </c>
      <c r="U112" s="105" t="str">
        <f t="shared" si="25"/>
        <v/>
      </c>
      <c r="V112" s="52">
        <v>0</v>
      </c>
      <c r="W112" s="88" t="str">
        <f t="shared" si="26"/>
        <v/>
      </c>
      <c r="X112" s="105" t="str">
        <f t="shared" si="27"/>
        <v/>
      </c>
      <c r="Y112" s="52">
        <v>0</v>
      </c>
      <c r="Z112" s="56" t="str">
        <f t="shared" si="28"/>
        <v/>
      </c>
      <c r="AA112" s="56" t="str">
        <f t="shared" si="29"/>
        <v/>
      </c>
      <c r="AB112" s="56" t="str">
        <f t="shared" si="30"/>
        <v/>
      </c>
      <c r="AC112" s="56" t="str">
        <f t="shared" si="31"/>
        <v/>
      </c>
      <c r="AD112" s="56" t="str">
        <f t="shared" si="32"/>
        <v/>
      </c>
      <c r="AE112" s="40"/>
      <c r="AF112" s="40"/>
      <c r="AG112" s="40"/>
      <c r="AH112" s="56" t="str">
        <f t="shared" si="33"/>
        <v/>
      </c>
      <c r="AI112" s="54"/>
      <c r="AJ112" s="54"/>
      <c r="AK112" s="54"/>
      <c r="AL112" s="54"/>
      <c r="AM112" s="54"/>
    </row>
    <row r="113" spans="1:39">
      <c r="A113" s="96"/>
      <c r="B113" s="45" t="str" cm="1">
        <f t="array" ref="B113">IF(H113="PROJECT", CHAR(10) &amp; "- " &amp; _xlfn.TEXTJOIN(CHAR(10) &amp; "- ", TRUE, _xlfn._xlws.FILTER($I$9:$I$1000, ($C$9:$C$1000=C113) * ($H$9:$H$1000="Topic"))), "")</f>
        <v/>
      </c>
      <c r="C113" s="45">
        <f t="shared" si="17"/>
        <v>73</v>
      </c>
      <c r="D113" s="46"/>
      <c r="E113" s="58"/>
      <c r="F113" s="67"/>
      <c r="G113" s="53"/>
      <c r="H113" s="53"/>
      <c r="I113" s="50"/>
      <c r="J113" s="51"/>
      <c r="K113" s="103" t="str">
        <f t="shared" si="18"/>
        <v/>
      </c>
      <c r="L113" s="105" t="str">
        <f t="shared" si="19"/>
        <v/>
      </c>
      <c r="M113" s="53">
        <v>0</v>
      </c>
      <c r="N113" s="104" t="str">
        <f t="shared" si="20"/>
        <v/>
      </c>
      <c r="O113" s="105" t="str">
        <f t="shared" si="21"/>
        <v/>
      </c>
      <c r="P113" s="53">
        <v>0</v>
      </c>
      <c r="Q113" s="104" t="str">
        <f t="shared" si="22"/>
        <v/>
      </c>
      <c r="R113" s="105" t="str">
        <f t="shared" si="23"/>
        <v/>
      </c>
      <c r="S113" s="53">
        <v>0</v>
      </c>
      <c r="T113" s="104" t="str">
        <f t="shared" si="24"/>
        <v/>
      </c>
      <c r="U113" s="105" t="str">
        <f t="shared" si="25"/>
        <v/>
      </c>
      <c r="V113" s="53">
        <v>0</v>
      </c>
      <c r="W113" s="88" t="str">
        <f t="shared" si="26"/>
        <v/>
      </c>
      <c r="X113" s="105" t="str">
        <f t="shared" si="27"/>
        <v/>
      </c>
      <c r="Y113" s="53">
        <v>0</v>
      </c>
      <c r="Z113" s="56" t="str">
        <f t="shared" si="28"/>
        <v/>
      </c>
      <c r="AA113" s="56" t="str">
        <f t="shared" si="29"/>
        <v/>
      </c>
      <c r="AB113" s="56" t="str">
        <f t="shared" si="30"/>
        <v/>
      </c>
      <c r="AC113" s="56" t="str">
        <f t="shared" si="31"/>
        <v/>
      </c>
      <c r="AD113" s="56" t="str">
        <f t="shared" si="32"/>
        <v/>
      </c>
      <c r="AE113" s="40"/>
      <c r="AF113" s="40"/>
      <c r="AG113" s="40"/>
      <c r="AH113" s="56" t="str">
        <f t="shared" si="33"/>
        <v/>
      </c>
      <c r="AI113" s="54"/>
      <c r="AJ113" s="54"/>
      <c r="AK113" s="54"/>
      <c r="AL113" s="54"/>
      <c r="AM113" s="54"/>
    </row>
    <row r="114" spans="1:39">
      <c r="A114" s="96"/>
      <c r="B114" s="45" t="str" cm="1">
        <f t="array" ref="B114">IF(H114="PROJECT", CHAR(10) &amp; "- " &amp; _xlfn.TEXTJOIN(CHAR(10) &amp; "- ", TRUE, _xlfn._xlws.FILTER($I$9:$I$1000, ($C$9:$C$1000=C114) * ($H$9:$H$1000="Topic"))), "")</f>
        <v/>
      </c>
      <c r="C114" s="45">
        <f t="shared" si="17"/>
        <v>74</v>
      </c>
      <c r="D114" s="57"/>
      <c r="E114" s="58"/>
      <c r="F114" s="54"/>
      <c r="G114" s="52"/>
      <c r="H114" s="52"/>
      <c r="I114" s="61"/>
      <c r="J114" s="62"/>
      <c r="K114" s="103" t="str">
        <f t="shared" si="18"/>
        <v/>
      </c>
      <c r="L114" s="105" t="str">
        <f t="shared" si="19"/>
        <v/>
      </c>
      <c r="M114" s="52">
        <v>0</v>
      </c>
      <c r="N114" s="104" t="str">
        <f t="shared" si="20"/>
        <v/>
      </c>
      <c r="O114" s="105" t="str">
        <f t="shared" si="21"/>
        <v/>
      </c>
      <c r="P114" s="52">
        <v>0</v>
      </c>
      <c r="Q114" s="104" t="str">
        <f t="shared" si="22"/>
        <v/>
      </c>
      <c r="R114" s="105" t="str">
        <f t="shared" si="23"/>
        <v/>
      </c>
      <c r="S114" s="52">
        <v>0</v>
      </c>
      <c r="T114" s="104" t="str">
        <f t="shared" si="24"/>
        <v/>
      </c>
      <c r="U114" s="105" t="str">
        <f t="shared" si="25"/>
        <v/>
      </c>
      <c r="V114" s="52">
        <v>0</v>
      </c>
      <c r="W114" s="88" t="str">
        <f t="shared" si="26"/>
        <v/>
      </c>
      <c r="X114" s="105" t="str">
        <f t="shared" si="27"/>
        <v/>
      </c>
      <c r="Y114" s="52">
        <v>0</v>
      </c>
      <c r="Z114" s="56" t="str">
        <f t="shared" si="28"/>
        <v/>
      </c>
      <c r="AA114" s="56" t="str">
        <f t="shared" si="29"/>
        <v/>
      </c>
      <c r="AB114" s="56" t="str">
        <f t="shared" si="30"/>
        <v/>
      </c>
      <c r="AC114" s="56" t="str">
        <f t="shared" si="31"/>
        <v/>
      </c>
      <c r="AD114" s="56" t="str">
        <f t="shared" si="32"/>
        <v/>
      </c>
      <c r="AE114" s="40"/>
      <c r="AF114" s="40"/>
      <c r="AG114" s="40"/>
      <c r="AH114" s="56" t="str">
        <f t="shared" si="33"/>
        <v/>
      </c>
      <c r="AI114" s="54"/>
      <c r="AJ114" s="54"/>
      <c r="AK114" s="54"/>
      <c r="AL114" s="54"/>
      <c r="AM114" s="54"/>
    </row>
    <row r="115" spans="1:39">
      <c r="A115" s="96"/>
      <c r="B115" s="45" t="str" cm="1">
        <f t="array" ref="B115">IF(H115="PROJECT", CHAR(10) &amp; "- " &amp; _xlfn.TEXTJOIN(CHAR(10) &amp; "- ", TRUE, _xlfn._xlws.FILTER($I$9:$I$1000, ($C$9:$C$1000=C115) * ($H$9:$H$1000="Topic"))), "")</f>
        <v/>
      </c>
      <c r="C115" s="45">
        <f t="shared" si="17"/>
        <v>75</v>
      </c>
      <c r="D115" s="46"/>
      <c r="E115" s="58"/>
      <c r="F115" s="67"/>
      <c r="G115" s="53"/>
      <c r="H115" s="53"/>
      <c r="I115" s="50"/>
      <c r="J115" s="51"/>
      <c r="K115" s="103" t="str">
        <f t="shared" si="18"/>
        <v/>
      </c>
      <c r="L115" s="105" t="str">
        <f t="shared" si="19"/>
        <v/>
      </c>
      <c r="M115" s="53">
        <v>0</v>
      </c>
      <c r="N115" s="104" t="str">
        <f t="shared" si="20"/>
        <v/>
      </c>
      <c r="O115" s="105" t="str">
        <f t="shared" si="21"/>
        <v/>
      </c>
      <c r="P115" s="53">
        <v>0</v>
      </c>
      <c r="Q115" s="104" t="str">
        <f t="shared" si="22"/>
        <v/>
      </c>
      <c r="R115" s="105" t="str">
        <f t="shared" si="23"/>
        <v/>
      </c>
      <c r="S115" s="53">
        <v>0</v>
      </c>
      <c r="T115" s="104" t="str">
        <f t="shared" si="24"/>
        <v/>
      </c>
      <c r="U115" s="105" t="str">
        <f t="shared" si="25"/>
        <v/>
      </c>
      <c r="V115" s="53">
        <v>0</v>
      </c>
      <c r="W115" s="88" t="str">
        <f t="shared" si="26"/>
        <v/>
      </c>
      <c r="X115" s="105" t="str">
        <f t="shared" si="27"/>
        <v/>
      </c>
      <c r="Y115" s="53">
        <v>0</v>
      </c>
      <c r="Z115" s="56" t="str">
        <f t="shared" si="28"/>
        <v/>
      </c>
      <c r="AA115" s="56" t="str">
        <f t="shared" si="29"/>
        <v/>
      </c>
      <c r="AB115" s="56" t="str">
        <f t="shared" si="30"/>
        <v/>
      </c>
      <c r="AC115" s="56" t="str">
        <f t="shared" si="31"/>
        <v/>
      </c>
      <c r="AD115" s="56" t="str">
        <f t="shared" si="32"/>
        <v/>
      </c>
      <c r="AE115" s="40"/>
      <c r="AF115" s="40"/>
      <c r="AG115" s="40"/>
      <c r="AH115" s="56" t="str">
        <f t="shared" si="33"/>
        <v/>
      </c>
      <c r="AI115" s="54"/>
      <c r="AJ115" s="54"/>
      <c r="AK115" s="54"/>
      <c r="AL115" s="54"/>
      <c r="AM115" s="54"/>
    </row>
    <row r="116" spans="1:39">
      <c r="A116" s="96"/>
      <c r="B116" s="45" t="str" cm="1">
        <f t="array" ref="B116">IF(H116="PROJECT", CHAR(10) &amp; "- " &amp; _xlfn.TEXTJOIN(CHAR(10) &amp; "- ", TRUE, _xlfn._xlws.FILTER($I$9:$I$1000, ($C$9:$C$1000=C116) * ($H$9:$H$1000="Topic"))), "")</f>
        <v/>
      </c>
      <c r="C116" s="45">
        <f t="shared" si="17"/>
        <v>76</v>
      </c>
      <c r="D116" s="57"/>
      <c r="E116" s="58"/>
      <c r="F116" s="54"/>
      <c r="G116" s="52"/>
      <c r="H116" s="52"/>
      <c r="I116" s="61"/>
      <c r="J116" s="62"/>
      <c r="K116" s="103" t="str">
        <f t="shared" si="18"/>
        <v/>
      </c>
      <c r="L116" s="105" t="str">
        <f t="shared" si="19"/>
        <v/>
      </c>
      <c r="M116" s="52">
        <v>0</v>
      </c>
      <c r="N116" s="104" t="str">
        <f t="shared" si="20"/>
        <v/>
      </c>
      <c r="O116" s="105" t="str">
        <f t="shared" si="21"/>
        <v/>
      </c>
      <c r="P116" s="52">
        <v>0</v>
      </c>
      <c r="Q116" s="104" t="str">
        <f t="shared" si="22"/>
        <v/>
      </c>
      <c r="R116" s="105" t="str">
        <f t="shared" si="23"/>
        <v/>
      </c>
      <c r="S116" s="52">
        <v>0</v>
      </c>
      <c r="T116" s="104" t="str">
        <f t="shared" si="24"/>
        <v/>
      </c>
      <c r="U116" s="105" t="str">
        <f t="shared" si="25"/>
        <v/>
      </c>
      <c r="V116" s="52">
        <v>0</v>
      </c>
      <c r="W116" s="88" t="str">
        <f t="shared" si="26"/>
        <v/>
      </c>
      <c r="X116" s="105" t="str">
        <f t="shared" si="27"/>
        <v/>
      </c>
      <c r="Y116" s="52">
        <v>0</v>
      </c>
      <c r="Z116" s="56" t="str">
        <f t="shared" si="28"/>
        <v/>
      </c>
      <c r="AA116" s="56" t="str">
        <f t="shared" si="29"/>
        <v/>
      </c>
      <c r="AB116" s="56" t="str">
        <f t="shared" si="30"/>
        <v/>
      </c>
      <c r="AC116" s="56" t="str">
        <f t="shared" si="31"/>
        <v/>
      </c>
      <c r="AD116" s="56" t="str">
        <f t="shared" si="32"/>
        <v/>
      </c>
      <c r="AE116" s="40"/>
      <c r="AF116" s="40"/>
      <c r="AG116" s="40"/>
      <c r="AH116" s="56" t="str">
        <f t="shared" si="33"/>
        <v/>
      </c>
      <c r="AI116" s="54"/>
      <c r="AJ116" s="54"/>
      <c r="AK116" s="54"/>
      <c r="AL116" s="54"/>
      <c r="AM116" s="54"/>
    </row>
    <row r="117" spans="1:39">
      <c r="A117" s="96"/>
      <c r="B117" s="45" t="str" cm="1">
        <f t="array" ref="B117">IF(H117="PROJECT", CHAR(10) &amp; "- " &amp; _xlfn.TEXTJOIN(CHAR(10) &amp; "- ", TRUE, _xlfn._xlws.FILTER($I$9:$I$1000, ($C$9:$C$1000=C117) * ($H$9:$H$1000="Topic"))), "")</f>
        <v/>
      </c>
      <c r="C117" s="45">
        <f t="shared" si="17"/>
        <v>77</v>
      </c>
      <c r="D117" s="46"/>
      <c r="E117" s="58"/>
      <c r="F117" s="67"/>
      <c r="G117" s="53"/>
      <c r="H117" s="53"/>
      <c r="I117" s="50"/>
      <c r="J117" s="51"/>
      <c r="K117" s="103" t="str">
        <f t="shared" si="18"/>
        <v/>
      </c>
      <c r="L117" s="105" t="str">
        <f t="shared" si="19"/>
        <v/>
      </c>
      <c r="M117" s="53">
        <v>0</v>
      </c>
      <c r="N117" s="104" t="str">
        <f t="shared" si="20"/>
        <v/>
      </c>
      <c r="O117" s="105" t="str">
        <f t="shared" si="21"/>
        <v/>
      </c>
      <c r="P117" s="53">
        <v>0</v>
      </c>
      <c r="Q117" s="104" t="str">
        <f t="shared" si="22"/>
        <v/>
      </c>
      <c r="R117" s="105" t="str">
        <f t="shared" si="23"/>
        <v/>
      </c>
      <c r="S117" s="53">
        <v>0</v>
      </c>
      <c r="T117" s="104" t="str">
        <f t="shared" si="24"/>
        <v/>
      </c>
      <c r="U117" s="105" t="str">
        <f t="shared" si="25"/>
        <v/>
      </c>
      <c r="V117" s="53">
        <v>0</v>
      </c>
      <c r="W117" s="88" t="str">
        <f t="shared" si="26"/>
        <v/>
      </c>
      <c r="X117" s="105" t="str">
        <f t="shared" si="27"/>
        <v/>
      </c>
      <c r="Y117" s="53">
        <v>0</v>
      </c>
      <c r="Z117" s="56" t="str">
        <f t="shared" si="28"/>
        <v/>
      </c>
      <c r="AA117" s="56" t="str">
        <f t="shared" si="29"/>
        <v/>
      </c>
      <c r="AB117" s="56" t="str">
        <f t="shared" si="30"/>
        <v/>
      </c>
      <c r="AC117" s="56" t="str">
        <f t="shared" si="31"/>
        <v/>
      </c>
      <c r="AD117" s="56" t="str">
        <f t="shared" si="32"/>
        <v/>
      </c>
      <c r="AE117" s="40"/>
      <c r="AF117" s="40"/>
      <c r="AG117" s="40"/>
      <c r="AH117" s="56" t="str">
        <f t="shared" si="33"/>
        <v/>
      </c>
      <c r="AI117" s="54"/>
      <c r="AJ117" s="54"/>
      <c r="AK117" s="54"/>
      <c r="AL117" s="54"/>
      <c r="AM117" s="54"/>
    </row>
    <row r="118" spans="1:39">
      <c r="A118" s="96"/>
      <c r="B118" s="45" t="str" cm="1">
        <f t="array" ref="B118">IF(H118="PROJECT", CHAR(10) &amp; "- " &amp; _xlfn.TEXTJOIN(CHAR(10) &amp; "- ", TRUE, _xlfn._xlws.FILTER($I$9:$I$1000, ($C$9:$C$1000=C118) * ($H$9:$H$1000="Topic"))), "")</f>
        <v/>
      </c>
      <c r="C118" s="45">
        <f t="shared" si="17"/>
        <v>78</v>
      </c>
      <c r="D118" s="57"/>
      <c r="E118" s="58"/>
      <c r="F118" s="54"/>
      <c r="G118" s="52"/>
      <c r="H118" s="52"/>
      <c r="I118" s="61"/>
      <c r="J118" s="62"/>
      <c r="K118" s="103" t="str">
        <f t="shared" si="18"/>
        <v/>
      </c>
      <c r="L118" s="105" t="str">
        <f t="shared" si="19"/>
        <v/>
      </c>
      <c r="M118" s="52">
        <v>0</v>
      </c>
      <c r="N118" s="104" t="str">
        <f t="shared" si="20"/>
        <v/>
      </c>
      <c r="O118" s="105" t="str">
        <f t="shared" si="21"/>
        <v/>
      </c>
      <c r="P118" s="52">
        <v>0</v>
      </c>
      <c r="Q118" s="104" t="str">
        <f t="shared" si="22"/>
        <v/>
      </c>
      <c r="R118" s="105" t="str">
        <f t="shared" si="23"/>
        <v/>
      </c>
      <c r="S118" s="52">
        <v>0</v>
      </c>
      <c r="T118" s="104" t="str">
        <f t="shared" si="24"/>
        <v/>
      </c>
      <c r="U118" s="105" t="str">
        <f t="shared" si="25"/>
        <v/>
      </c>
      <c r="V118" s="52">
        <v>0</v>
      </c>
      <c r="W118" s="88" t="str">
        <f t="shared" si="26"/>
        <v/>
      </c>
      <c r="X118" s="105" t="str">
        <f t="shared" si="27"/>
        <v/>
      </c>
      <c r="Y118" s="52">
        <v>0</v>
      </c>
      <c r="Z118" s="56" t="str">
        <f t="shared" si="28"/>
        <v/>
      </c>
      <c r="AA118" s="56" t="str">
        <f t="shared" si="29"/>
        <v/>
      </c>
      <c r="AB118" s="56" t="str">
        <f t="shared" si="30"/>
        <v/>
      </c>
      <c r="AC118" s="56" t="str">
        <f t="shared" si="31"/>
        <v/>
      </c>
      <c r="AD118" s="56" t="str">
        <f t="shared" si="32"/>
        <v/>
      </c>
      <c r="AE118" s="40"/>
      <c r="AF118" s="40"/>
      <c r="AG118" s="40"/>
      <c r="AH118" s="56" t="str">
        <f t="shared" si="33"/>
        <v/>
      </c>
      <c r="AI118" s="54"/>
      <c r="AJ118" s="54"/>
      <c r="AK118" s="54"/>
      <c r="AL118" s="54"/>
      <c r="AM118" s="54"/>
    </row>
    <row r="119" spans="1:39">
      <c r="A119" s="96"/>
      <c r="B119" s="45" t="str" cm="1">
        <f t="array" ref="B119">IF(H119="PROJECT", CHAR(10) &amp; "- " &amp; _xlfn.TEXTJOIN(CHAR(10) &amp; "- ", TRUE, _xlfn._xlws.FILTER($I$9:$I$1000, ($C$9:$C$1000=C119) * ($H$9:$H$1000="Topic"))), "")</f>
        <v/>
      </c>
      <c r="C119" s="45">
        <f t="shared" si="17"/>
        <v>79</v>
      </c>
      <c r="D119" s="46"/>
      <c r="E119" s="58"/>
      <c r="F119" s="67"/>
      <c r="G119" s="53"/>
      <c r="H119" s="53"/>
      <c r="I119" s="50"/>
      <c r="J119" s="51"/>
      <c r="K119" s="103" t="str">
        <f t="shared" si="18"/>
        <v/>
      </c>
      <c r="L119" s="105" t="str">
        <f t="shared" si="19"/>
        <v/>
      </c>
      <c r="M119" s="53">
        <v>0</v>
      </c>
      <c r="N119" s="104" t="str">
        <f t="shared" si="20"/>
        <v/>
      </c>
      <c r="O119" s="105" t="str">
        <f t="shared" si="21"/>
        <v/>
      </c>
      <c r="P119" s="53">
        <v>0</v>
      </c>
      <c r="Q119" s="104" t="str">
        <f t="shared" si="22"/>
        <v/>
      </c>
      <c r="R119" s="105" t="str">
        <f t="shared" si="23"/>
        <v/>
      </c>
      <c r="S119" s="53">
        <v>0</v>
      </c>
      <c r="T119" s="104" t="str">
        <f t="shared" si="24"/>
        <v/>
      </c>
      <c r="U119" s="105" t="str">
        <f t="shared" si="25"/>
        <v/>
      </c>
      <c r="V119" s="53">
        <v>0</v>
      </c>
      <c r="W119" s="88" t="str">
        <f t="shared" si="26"/>
        <v/>
      </c>
      <c r="X119" s="105" t="str">
        <f t="shared" si="27"/>
        <v/>
      </c>
      <c r="Y119" s="53">
        <v>0</v>
      </c>
      <c r="Z119" s="56" t="str">
        <f t="shared" si="28"/>
        <v/>
      </c>
      <c r="AA119" s="56" t="str">
        <f t="shared" si="29"/>
        <v/>
      </c>
      <c r="AB119" s="56" t="str">
        <f t="shared" si="30"/>
        <v/>
      </c>
      <c r="AC119" s="56" t="str">
        <f t="shared" si="31"/>
        <v/>
      </c>
      <c r="AD119" s="56" t="str">
        <f t="shared" si="32"/>
        <v/>
      </c>
      <c r="AE119" s="40"/>
      <c r="AF119" s="40"/>
      <c r="AG119" s="40"/>
      <c r="AH119" s="56" t="str">
        <f t="shared" si="33"/>
        <v/>
      </c>
      <c r="AI119" s="54"/>
      <c r="AJ119" s="54"/>
      <c r="AK119" s="54"/>
      <c r="AL119" s="54"/>
      <c r="AM119" s="54"/>
    </row>
    <row r="120" spans="1:39">
      <c r="A120" s="96"/>
      <c r="B120" s="45" t="str" cm="1">
        <f t="array" ref="B120">IF(H120="PROJECT", CHAR(10) &amp; "- " &amp; _xlfn.TEXTJOIN(CHAR(10) &amp; "- ", TRUE, _xlfn._xlws.FILTER($I$9:$I$1000, ($C$9:$C$1000=C120) * ($H$9:$H$1000="Topic"))), "")</f>
        <v/>
      </c>
      <c r="C120" s="45">
        <f t="shared" si="17"/>
        <v>80</v>
      </c>
      <c r="D120" s="57"/>
      <c r="E120" s="58"/>
      <c r="F120" s="54"/>
      <c r="G120" s="52"/>
      <c r="H120" s="52"/>
      <c r="I120" s="61"/>
      <c r="J120" s="62"/>
      <c r="K120" s="103" t="str">
        <f t="shared" si="18"/>
        <v/>
      </c>
      <c r="L120" s="105" t="str">
        <f t="shared" si="19"/>
        <v/>
      </c>
      <c r="M120" s="52">
        <v>0</v>
      </c>
      <c r="N120" s="104" t="str">
        <f t="shared" si="20"/>
        <v/>
      </c>
      <c r="O120" s="105" t="str">
        <f t="shared" si="21"/>
        <v/>
      </c>
      <c r="P120" s="52">
        <v>0</v>
      </c>
      <c r="Q120" s="104" t="str">
        <f t="shared" si="22"/>
        <v/>
      </c>
      <c r="R120" s="105" t="str">
        <f t="shared" si="23"/>
        <v/>
      </c>
      <c r="S120" s="52">
        <v>0</v>
      </c>
      <c r="T120" s="104" t="str">
        <f t="shared" si="24"/>
        <v/>
      </c>
      <c r="U120" s="105" t="str">
        <f t="shared" si="25"/>
        <v/>
      </c>
      <c r="V120" s="52">
        <v>0</v>
      </c>
      <c r="W120" s="88" t="str">
        <f t="shared" si="26"/>
        <v/>
      </c>
      <c r="X120" s="105" t="str">
        <f t="shared" si="27"/>
        <v/>
      </c>
      <c r="Y120" s="52">
        <v>0</v>
      </c>
      <c r="Z120" s="56" t="str">
        <f t="shared" si="28"/>
        <v/>
      </c>
      <c r="AA120" s="56" t="str">
        <f t="shared" si="29"/>
        <v/>
      </c>
      <c r="AB120" s="56" t="str">
        <f t="shared" si="30"/>
        <v/>
      </c>
      <c r="AC120" s="56" t="str">
        <f t="shared" si="31"/>
        <v/>
      </c>
      <c r="AD120" s="56" t="str">
        <f t="shared" si="32"/>
        <v/>
      </c>
      <c r="AE120" s="40"/>
      <c r="AF120" s="40"/>
      <c r="AG120" s="40"/>
      <c r="AH120" s="56" t="str">
        <f t="shared" si="33"/>
        <v/>
      </c>
      <c r="AI120" s="54"/>
      <c r="AJ120" s="54"/>
      <c r="AK120" s="54"/>
      <c r="AL120" s="54"/>
      <c r="AM120" s="54"/>
    </row>
    <row r="121" spans="1:39">
      <c r="A121" s="96"/>
      <c r="B121" s="45" t="str" cm="1">
        <f t="array" ref="B121">IF(H121="PROJECT", CHAR(10) &amp; "- " &amp; _xlfn.TEXTJOIN(CHAR(10) &amp; "- ", TRUE, _xlfn._xlws.FILTER($I$9:$I$1000, ($C$9:$C$1000=C121) * ($H$9:$H$1000="Topic"))), "")</f>
        <v/>
      </c>
      <c r="C121" s="45">
        <f t="shared" si="17"/>
        <v>81</v>
      </c>
      <c r="D121" s="46"/>
      <c r="E121" s="58"/>
      <c r="F121" s="67"/>
      <c r="G121" s="53"/>
      <c r="H121" s="53"/>
      <c r="I121" s="50"/>
      <c r="J121" s="51"/>
      <c r="K121" s="103" t="str">
        <f t="shared" si="18"/>
        <v/>
      </c>
      <c r="L121" s="105" t="str">
        <f t="shared" si="19"/>
        <v/>
      </c>
      <c r="M121" s="53">
        <v>0</v>
      </c>
      <c r="N121" s="104" t="str">
        <f t="shared" si="20"/>
        <v/>
      </c>
      <c r="O121" s="105" t="str">
        <f t="shared" si="21"/>
        <v/>
      </c>
      <c r="P121" s="53">
        <v>0</v>
      </c>
      <c r="Q121" s="104" t="str">
        <f t="shared" si="22"/>
        <v/>
      </c>
      <c r="R121" s="105" t="str">
        <f t="shared" si="23"/>
        <v/>
      </c>
      <c r="S121" s="53">
        <v>0</v>
      </c>
      <c r="T121" s="104" t="str">
        <f t="shared" si="24"/>
        <v/>
      </c>
      <c r="U121" s="105" t="str">
        <f t="shared" si="25"/>
        <v/>
      </c>
      <c r="V121" s="53">
        <v>0</v>
      </c>
      <c r="W121" s="88" t="str">
        <f t="shared" si="26"/>
        <v/>
      </c>
      <c r="X121" s="105" t="str">
        <f t="shared" si="27"/>
        <v/>
      </c>
      <c r="Y121" s="53">
        <v>0</v>
      </c>
      <c r="Z121" s="56" t="str">
        <f t="shared" si="28"/>
        <v/>
      </c>
      <c r="AA121" s="56" t="str">
        <f t="shared" si="29"/>
        <v/>
      </c>
      <c r="AB121" s="56" t="str">
        <f t="shared" si="30"/>
        <v/>
      </c>
      <c r="AC121" s="56" t="str">
        <f t="shared" si="31"/>
        <v/>
      </c>
      <c r="AD121" s="56" t="str">
        <f t="shared" si="32"/>
        <v/>
      </c>
      <c r="AE121" s="40"/>
      <c r="AF121" s="40"/>
      <c r="AG121" s="40"/>
      <c r="AH121" s="56" t="str">
        <f t="shared" si="33"/>
        <v/>
      </c>
      <c r="AI121" s="54"/>
      <c r="AJ121" s="54"/>
      <c r="AK121" s="54"/>
      <c r="AL121" s="54"/>
      <c r="AM121" s="54"/>
    </row>
    <row r="122" spans="1:39">
      <c r="A122" s="96"/>
      <c r="B122" s="45" t="str" cm="1">
        <f t="array" ref="B122">IF(H122="PROJECT", CHAR(10) &amp; "- " &amp; _xlfn.TEXTJOIN(CHAR(10) &amp; "- ", TRUE, _xlfn._xlws.FILTER($I$9:$I$1000, ($C$9:$C$1000=C122) * ($H$9:$H$1000="Topic"))), "")</f>
        <v/>
      </c>
      <c r="C122" s="45">
        <f t="shared" si="17"/>
        <v>82</v>
      </c>
      <c r="D122" s="57"/>
      <c r="E122" s="58"/>
      <c r="F122" s="54"/>
      <c r="G122" s="52"/>
      <c r="H122" s="52"/>
      <c r="I122" s="61"/>
      <c r="J122" s="62"/>
      <c r="K122" s="103" t="str">
        <f t="shared" si="18"/>
        <v/>
      </c>
      <c r="L122" s="105" t="str">
        <f t="shared" si="19"/>
        <v/>
      </c>
      <c r="M122" s="52">
        <v>0</v>
      </c>
      <c r="N122" s="104" t="str">
        <f t="shared" si="20"/>
        <v/>
      </c>
      <c r="O122" s="105" t="str">
        <f t="shared" si="21"/>
        <v/>
      </c>
      <c r="P122" s="52">
        <v>0</v>
      </c>
      <c r="Q122" s="104" t="str">
        <f t="shared" si="22"/>
        <v/>
      </c>
      <c r="R122" s="105" t="str">
        <f t="shared" si="23"/>
        <v/>
      </c>
      <c r="S122" s="52">
        <v>0</v>
      </c>
      <c r="T122" s="104" t="str">
        <f t="shared" si="24"/>
        <v/>
      </c>
      <c r="U122" s="105" t="str">
        <f t="shared" si="25"/>
        <v/>
      </c>
      <c r="V122" s="52">
        <v>0</v>
      </c>
      <c r="W122" s="88" t="str">
        <f t="shared" si="26"/>
        <v/>
      </c>
      <c r="X122" s="105" t="str">
        <f t="shared" si="27"/>
        <v/>
      </c>
      <c r="Y122" s="52">
        <v>0</v>
      </c>
      <c r="Z122" s="56" t="str">
        <f t="shared" si="28"/>
        <v/>
      </c>
      <c r="AA122" s="56" t="str">
        <f t="shared" si="29"/>
        <v/>
      </c>
      <c r="AB122" s="56" t="str">
        <f t="shared" si="30"/>
        <v/>
      </c>
      <c r="AC122" s="56" t="str">
        <f t="shared" si="31"/>
        <v/>
      </c>
      <c r="AD122" s="56" t="str">
        <f t="shared" si="32"/>
        <v/>
      </c>
      <c r="AE122" s="40"/>
      <c r="AF122" s="40"/>
      <c r="AG122" s="40"/>
      <c r="AH122" s="56" t="str">
        <f t="shared" si="33"/>
        <v/>
      </c>
      <c r="AI122" s="54"/>
      <c r="AJ122" s="54"/>
      <c r="AK122" s="54"/>
      <c r="AL122" s="54"/>
      <c r="AM122" s="54"/>
    </row>
    <row r="123" spans="1:39">
      <c r="A123" s="96"/>
      <c r="B123" s="45" t="str" cm="1">
        <f t="array" ref="B123">IF(H123="PROJECT", CHAR(10) &amp; "- " &amp; _xlfn.TEXTJOIN(CHAR(10) &amp; "- ", TRUE, _xlfn._xlws.FILTER($I$9:$I$1000, ($C$9:$C$1000=C123) * ($H$9:$H$1000="Topic"))), "")</f>
        <v/>
      </c>
      <c r="C123" s="45">
        <f t="shared" si="17"/>
        <v>83</v>
      </c>
      <c r="D123" s="46"/>
      <c r="E123" s="58"/>
      <c r="F123" s="67"/>
      <c r="G123" s="53"/>
      <c r="H123" s="53"/>
      <c r="I123" s="50"/>
      <c r="J123" s="51"/>
      <c r="K123" s="103" t="str">
        <f t="shared" si="18"/>
        <v/>
      </c>
      <c r="L123" s="105" t="str">
        <f t="shared" si="19"/>
        <v/>
      </c>
      <c r="M123" s="53">
        <v>0</v>
      </c>
      <c r="N123" s="104" t="str">
        <f t="shared" si="20"/>
        <v/>
      </c>
      <c r="O123" s="105" t="str">
        <f t="shared" si="21"/>
        <v/>
      </c>
      <c r="P123" s="53">
        <v>0</v>
      </c>
      <c r="Q123" s="104" t="str">
        <f t="shared" si="22"/>
        <v/>
      </c>
      <c r="R123" s="105" t="str">
        <f t="shared" si="23"/>
        <v/>
      </c>
      <c r="S123" s="53">
        <v>0</v>
      </c>
      <c r="T123" s="104" t="str">
        <f t="shared" si="24"/>
        <v/>
      </c>
      <c r="U123" s="105" t="str">
        <f t="shared" si="25"/>
        <v/>
      </c>
      <c r="V123" s="53">
        <v>0</v>
      </c>
      <c r="W123" s="88" t="str">
        <f t="shared" si="26"/>
        <v/>
      </c>
      <c r="X123" s="105" t="str">
        <f t="shared" si="27"/>
        <v/>
      </c>
      <c r="Y123" s="53">
        <v>0</v>
      </c>
      <c r="Z123" s="56" t="str">
        <f t="shared" si="28"/>
        <v/>
      </c>
      <c r="AA123" s="56" t="str">
        <f t="shared" si="29"/>
        <v/>
      </c>
      <c r="AB123" s="56" t="str">
        <f t="shared" si="30"/>
        <v/>
      </c>
      <c r="AC123" s="56" t="str">
        <f t="shared" si="31"/>
        <v/>
      </c>
      <c r="AD123" s="56" t="str">
        <f t="shared" si="32"/>
        <v/>
      </c>
      <c r="AE123" s="40"/>
      <c r="AF123" s="40"/>
      <c r="AG123" s="40"/>
      <c r="AH123" s="56" t="str">
        <f t="shared" si="33"/>
        <v/>
      </c>
      <c r="AI123" s="54"/>
      <c r="AJ123" s="54"/>
      <c r="AK123" s="54"/>
      <c r="AL123" s="54"/>
      <c r="AM123" s="54"/>
    </row>
    <row r="124" spans="1:39">
      <c r="A124" s="96"/>
      <c r="B124" s="45" t="str" cm="1">
        <f t="array" ref="B124">IF(H124="PROJECT", CHAR(10) &amp; "- " &amp; _xlfn.TEXTJOIN(CHAR(10) &amp; "- ", TRUE, _xlfn._xlws.FILTER($I$9:$I$1000, ($C$9:$C$1000=C124) * ($H$9:$H$1000="Topic"))), "")</f>
        <v/>
      </c>
      <c r="C124" s="45">
        <f t="shared" si="17"/>
        <v>84</v>
      </c>
      <c r="D124" s="57"/>
      <c r="E124" s="58"/>
      <c r="F124" s="54"/>
      <c r="G124" s="52"/>
      <c r="H124" s="52"/>
      <c r="I124" s="61"/>
      <c r="J124" s="62"/>
      <c r="K124" s="103" t="str">
        <f t="shared" si="18"/>
        <v/>
      </c>
      <c r="L124" s="105" t="str">
        <f t="shared" si="19"/>
        <v/>
      </c>
      <c r="M124" s="52">
        <v>0</v>
      </c>
      <c r="N124" s="104" t="str">
        <f t="shared" si="20"/>
        <v/>
      </c>
      <c r="O124" s="105" t="str">
        <f t="shared" si="21"/>
        <v/>
      </c>
      <c r="P124" s="52">
        <v>0</v>
      </c>
      <c r="Q124" s="104" t="str">
        <f t="shared" si="22"/>
        <v/>
      </c>
      <c r="R124" s="105" t="str">
        <f t="shared" si="23"/>
        <v/>
      </c>
      <c r="S124" s="52">
        <v>0</v>
      </c>
      <c r="T124" s="104" t="str">
        <f t="shared" si="24"/>
        <v/>
      </c>
      <c r="U124" s="105" t="str">
        <f t="shared" si="25"/>
        <v/>
      </c>
      <c r="V124" s="52">
        <v>0</v>
      </c>
      <c r="W124" s="88" t="str">
        <f t="shared" si="26"/>
        <v/>
      </c>
      <c r="X124" s="105" t="str">
        <f t="shared" si="27"/>
        <v/>
      </c>
      <c r="Y124" s="52">
        <v>0</v>
      </c>
      <c r="Z124" s="56" t="str">
        <f t="shared" si="28"/>
        <v/>
      </c>
      <c r="AA124" s="56" t="str">
        <f t="shared" si="29"/>
        <v/>
      </c>
      <c r="AB124" s="56" t="str">
        <f t="shared" si="30"/>
        <v/>
      </c>
      <c r="AC124" s="56" t="str">
        <f t="shared" si="31"/>
        <v/>
      </c>
      <c r="AD124" s="56" t="str">
        <f t="shared" si="32"/>
        <v/>
      </c>
      <c r="AE124" s="40"/>
      <c r="AF124" s="40"/>
      <c r="AG124" s="40"/>
      <c r="AH124" s="56" t="str">
        <f t="shared" si="33"/>
        <v/>
      </c>
      <c r="AI124" s="54"/>
      <c r="AJ124" s="54"/>
      <c r="AK124" s="54"/>
      <c r="AL124" s="54"/>
      <c r="AM124" s="54"/>
    </row>
    <row r="125" spans="1:39">
      <c r="A125" s="96"/>
      <c r="B125" s="45" t="str" cm="1">
        <f t="array" ref="B125">IF(H125="PROJECT", CHAR(10) &amp; "- " &amp; _xlfn.TEXTJOIN(CHAR(10) &amp; "- ", TRUE, _xlfn._xlws.FILTER($I$9:$I$1000, ($C$9:$C$1000=C125) * ($H$9:$H$1000="Topic"))), "")</f>
        <v/>
      </c>
      <c r="C125" s="45">
        <f t="shared" si="17"/>
        <v>85</v>
      </c>
      <c r="D125" s="46"/>
      <c r="E125" s="58"/>
      <c r="F125" s="67"/>
      <c r="G125" s="53"/>
      <c r="H125" s="53"/>
      <c r="I125" s="50"/>
      <c r="J125" s="51"/>
      <c r="K125" s="103" t="str">
        <f t="shared" si="18"/>
        <v/>
      </c>
      <c r="L125" s="105" t="str">
        <f t="shared" si="19"/>
        <v/>
      </c>
      <c r="M125" s="53">
        <v>0</v>
      </c>
      <c r="N125" s="104" t="str">
        <f t="shared" si="20"/>
        <v/>
      </c>
      <c r="O125" s="105" t="str">
        <f t="shared" si="21"/>
        <v/>
      </c>
      <c r="P125" s="53">
        <v>0</v>
      </c>
      <c r="Q125" s="104" t="str">
        <f t="shared" si="22"/>
        <v/>
      </c>
      <c r="R125" s="105" t="str">
        <f t="shared" si="23"/>
        <v/>
      </c>
      <c r="S125" s="53">
        <v>0</v>
      </c>
      <c r="T125" s="104" t="str">
        <f t="shared" si="24"/>
        <v/>
      </c>
      <c r="U125" s="105" t="str">
        <f t="shared" si="25"/>
        <v/>
      </c>
      <c r="V125" s="53">
        <v>0</v>
      </c>
      <c r="W125" s="88" t="str">
        <f t="shared" si="26"/>
        <v/>
      </c>
      <c r="X125" s="105" t="str">
        <f t="shared" si="27"/>
        <v/>
      </c>
      <c r="Y125" s="53">
        <v>0</v>
      </c>
      <c r="Z125" s="56" t="str">
        <f t="shared" si="28"/>
        <v/>
      </c>
      <c r="AA125" s="56" t="str">
        <f t="shared" si="29"/>
        <v/>
      </c>
      <c r="AB125" s="56" t="str">
        <f t="shared" si="30"/>
        <v/>
      </c>
      <c r="AC125" s="56" t="str">
        <f t="shared" si="31"/>
        <v/>
      </c>
      <c r="AD125" s="56" t="str">
        <f t="shared" si="32"/>
        <v/>
      </c>
      <c r="AE125" s="40"/>
      <c r="AF125" s="40"/>
      <c r="AG125" s="40"/>
      <c r="AH125" s="56" t="str">
        <f t="shared" si="33"/>
        <v/>
      </c>
      <c r="AI125" s="54"/>
      <c r="AJ125" s="54"/>
      <c r="AK125" s="54"/>
      <c r="AL125" s="54"/>
      <c r="AM125" s="54"/>
    </row>
    <row r="126" spans="1:39">
      <c r="A126" s="96"/>
      <c r="B126" s="45" t="str" cm="1">
        <f t="array" ref="B126">IF(H126="PROJECT", CHAR(10) &amp; "- " &amp; _xlfn.TEXTJOIN(CHAR(10) &amp; "- ", TRUE, _xlfn._xlws.FILTER($I$9:$I$1000, ($C$9:$C$1000=C126) * ($H$9:$H$1000="Topic"))), "")</f>
        <v/>
      </c>
      <c r="C126" s="45">
        <f t="shared" si="17"/>
        <v>86</v>
      </c>
      <c r="D126" s="57"/>
      <c r="E126" s="58"/>
      <c r="F126" s="54"/>
      <c r="G126" s="52"/>
      <c r="H126" s="52"/>
      <c r="I126" s="61"/>
      <c r="J126" s="62"/>
      <c r="K126" s="103" t="str">
        <f t="shared" si="18"/>
        <v/>
      </c>
      <c r="L126" s="105" t="str">
        <f t="shared" si="19"/>
        <v/>
      </c>
      <c r="M126" s="52">
        <v>0</v>
      </c>
      <c r="N126" s="104" t="str">
        <f t="shared" si="20"/>
        <v/>
      </c>
      <c r="O126" s="105" t="str">
        <f t="shared" si="21"/>
        <v/>
      </c>
      <c r="P126" s="52">
        <v>0</v>
      </c>
      <c r="Q126" s="104" t="str">
        <f t="shared" si="22"/>
        <v/>
      </c>
      <c r="R126" s="105" t="str">
        <f t="shared" si="23"/>
        <v/>
      </c>
      <c r="S126" s="52">
        <v>0</v>
      </c>
      <c r="T126" s="104" t="str">
        <f t="shared" si="24"/>
        <v/>
      </c>
      <c r="U126" s="105" t="str">
        <f t="shared" si="25"/>
        <v/>
      </c>
      <c r="V126" s="52">
        <v>0</v>
      </c>
      <c r="W126" s="88" t="str">
        <f t="shared" si="26"/>
        <v/>
      </c>
      <c r="X126" s="105" t="str">
        <f t="shared" si="27"/>
        <v/>
      </c>
      <c r="Y126" s="52">
        <v>0</v>
      </c>
      <c r="Z126" s="56" t="str">
        <f t="shared" si="28"/>
        <v/>
      </c>
      <c r="AA126" s="56" t="str">
        <f t="shared" si="29"/>
        <v/>
      </c>
      <c r="AB126" s="56" t="str">
        <f t="shared" si="30"/>
        <v/>
      </c>
      <c r="AC126" s="56" t="str">
        <f t="shared" si="31"/>
        <v/>
      </c>
      <c r="AD126" s="56" t="str">
        <f t="shared" si="32"/>
        <v/>
      </c>
      <c r="AE126" s="40"/>
      <c r="AF126" s="40"/>
      <c r="AG126" s="40"/>
      <c r="AH126" s="56" t="str">
        <f t="shared" si="33"/>
        <v/>
      </c>
      <c r="AI126" s="54"/>
      <c r="AJ126" s="54"/>
      <c r="AK126" s="54"/>
      <c r="AL126" s="54"/>
      <c r="AM126" s="54"/>
    </row>
    <row r="127" spans="1:39">
      <c r="A127" s="96"/>
      <c r="B127" s="45" t="str" cm="1">
        <f t="array" ref="B127">IF(H127="PROJECT", CHAR(10) &amp; "- " &amp; _xlfn.TEXTJOIN(CHAR(10) &amp; "- ", TRUE, _xlfn._xlws.FILTER($I$9:$I$1000, ($C$9:$C$1000=C127) * ($H$9:$H$1000="Topic"))), "")</f>
        <v/>
      </c>
      <c r="C127" s="45">
        <f t="shared" si="17"/>
        <v>87</v>
      </c>
      <c r="D127" s="46"/>
      <c r="E127" s="58"/>
      <c r="F127" s="67"/>
      <c r="G127" s="53"/>
      <c r="H127" s="53"/>
      <c r="I127" s="50"/>
      <c r="J127" s="51"/>
      <c r="K127" s="103" t="str">
        <f t="shared" si="18"/>
        <v/>
      </c>
      <c r="L127" s="105" t="str">
        <f t="shared" si="19"/>
        <v/>
      </c>
      <c r="M127" s="53">
        <v>0</v>
      </c>
      <c r="N127" s="104" t="str">
        <f t="shared" si="20"/>
        <v/>
      </c>
      <c r="O127" s="105" t="str">
        <f t="shared" si="21"/>
        <v/>
      </c>
      <c r="P127" s="53">
        <v>0</v>
      </c>
      <c r="Q127" s="104" t="str">
        <f t="shared" si="22"/>
        <v/>
      </c>
      <c r="R127" s="105" t="str">
        <f t="shared" si="23"/>
        <v/>
      </c>
      <c r="S127" s="53">
        <v>0</v>
      </c>
      <c r="T127" s="104" t="str">
        <f t="shared" si="24"/>
        <v/>
      </c>
      <c r="U127" s="105" t="str">
        <f t="shared" si="25"/>
        <v/>
      </c>
      <c r="V127" s="53">
        <v>0</v>
      </c>
      <c r="W127" s="88" t="str">
        <f t="shared" si="26"/>
        <v/>
      </c>
      <c r="X127" s="105" t="str">
        <f t="shared" si="27"/>
        <v/>
      </c>
      <c r="Y127" s="53">
        <v>0</v>
      </c>
      <c r="Z127" s="56" t="str">
        <f t="shared" si="28"/>
        <v/>
      </c>
      <c r="AA127" s="56" t="str">
        <f t="shared" si="29"/>
        <v/>
      </c>
      <c r="AB127" s="56" t="str">
        <f t="shared" si="30"/>
        <v/>
      </c>
      <c r="AC127" s="56" t="str">
        <f t="shared" si="31"/>
        <v/>
      </c>
      <c r="AD127" s="56" t="str">
        <f t="shared" si="32"/>
        <v/>
      </c>
      <c r="AE127" s="40"/>
      <c r="AF127" s="40"/>
      <c r="AG127" s="40"/>
      <c r="AH127" s="56" t="str">
        <f t="shared" si="33"/>
        <v/>
      </c>
      <c r="AI127" s="54"/>
      <c r="AJ127" s="54"/>
      <c r="AK127" s="54"/>
      <c r="AL127" s="54"/>
      <c r="AM127" s="54"/>
    </row>
    <row r="128" spans="1:39">
      <c r="A128" s="96"/>
      <c r="B128" s="45" t="str" cm="1">
        <f t="array" ref="B128">IF(H128="PROJECT", CHAR(10) &amp; "- " &amp; _xlfn.TEXTJOIN(CHAR(10) &amp; "- ", TRUE, _xlfn._xlws.FILTER($I$9:$I$1000, ($C$9:$C$1000=C128) * ($H$9:$H$1000="Topic"))), "")</f>
        <v/>
      </c>
      <c r="C128" s="45">
        <f t="shared" si="17"/>
        <v>88</v>
      </c>
      <c r="D128" s="57"/>
      <c r="E128" s="58"/>
      <c r="F128" s="54"/>
      <c r="G128" s="52"/>
      <c r="H128" s="52"/>
      <c r="I128" s="61"/>
      <c r="J128" s="62"/>
      <c r="K128" s="103" t="str">
        <f t="shared" si="18"/>
        <v/>
      </c>
      <c r="L128" s="105" t="str">
        <f t="shared" si="19"/>
        <v/>
      </c>
      <c r="M128" s="52">
        <v>0</v>
      </c>
      <c r="N128" s="104" t="str">
        <f t="shared" si="20"/>
        <v/>
      </c>
      <c r="O128" s="105" t="str">
        <f t="shared" si="21"/>
        <v/>
      </c>
      <c r="P128" s="52">
        <v>0</v>
      </c>
      <c r="Q128" s="104" t="str">
        <f t="shared" si="22"/>
        <v/>
      </c>
      <c r="R128" s="105" t="str">
        <f t="shared" si="23"/>
        <v/>
      </c>
      <c r="S128" s="52">
        <v>0</v>
      </c>
      <c r="T128" s="104" t="str">
        <f t="shared" si="24"/>
        <v/>
      </c>
      <c r="U128" s="105" t="str">
        <f t="shared" si="25"/>
        <v/>
      </c>
      <c r="V128" s="52">
        <v>0</v>
      </c>
      <c r="W128" s="88" t="str">
        <f t="shared" si="26"/>
        <v/>
      </c>
      <c r="X128" s="105" t="str">
        <f t="shared" si="27"/>
        <v/>
      </c>
      <c r="Y128" s="52">
        <v>0</v>
      </c>
      <c r="Z128" s="56" t="str">
        <f t="shared" si="28"/>
        <v/>
      </c>
      <c r="AA128" s="56" t="str">
        <f t="shared" si="29"/>
        <v/>
      </c>
      <c r="AB128" s="56" t="str">
        <f t="shared" si="30"/>
        <v/>
      </c>
      <c r="AC128" s="56" t="str">
        <f t="shared" si="31"/>
        <v/>
      </c>
      <c r="AD128" s="56" t="str">
        <f t="shared" si="32"/>
        <v/>
      </c>
      <c r="AE128" s="40"/>
      <c r="AF128" s="40"/>
      <c r="AG128" s="40"/>
      <c r="AH128" s="56" t="str">
        <f t="shared" si="33"/>
        <v/>
      </c>
      <c r="AI128" s="54"/>
      <c r="AJ128" s="54"/>
      <c r="AK128" s="54"/>
      <c r="AL128" s="54"/>
      <c r="AM128" s="54"/>
    </row>
    <row r="129" spans="1:39">
      <c r="A129" s="96"/>
      <c r="B129" s="45" t="str" cm="1">
        <f t="array" ref="B129">IF(H129="PROJECT", CHAR(10) &amp; "- " &amp; _xlfn.TEXTJOIN(CHAR(10) &amp; "- ", TRUE, _xlfn._xlws.FILTER($I$9:$I$1000, ($C$9:$C$1000=C129) * ($H$9:$H$1000="Topic"))), "")</f>
        <v/>
      </c>
      <c r="C129" s="45">
        <f t="shared" si="17"/>
        <v>89</v>
      </c>
      <c r="D129" s="46"/>
      <c r="E129" s="58"/>
      <c r="F129" s="67"/>
      <c r="G129" s="53"/>
      <c r="H129" s="53"/>
      <c r="I129" s="50"/>
      <c r="J129" s="51"/>
      <c r="K129" s="103" t="str">
        <f t="shared" si="18"/>
        <v/>
      </c>
      <c r="L129" s="105" t="str">
        <f t="shared" si="19"/>
        <v/>
      </c>
      <c r="M129" s="53">
        <v>0</v>
      </c>
      <c r="N129" s="104" t="str">
        <f t="shared" si="20"/>
        <v/>
      </c>
      <c r="O129" s="105" t="str">
        <f t="shared" si="21"/>
        <v/>
      </c>
      <c r="P129" s="53">
        <v>0</v>
      </c>
      <c r="Q129" s="104" t="str">
        <f t="shared" si="22"/>
        <v/>
      </c>
      <c r="R129" s="105" t="str">
        <f t="shared" si="23"/>
        <v/>
      </c>
      <c r="S129" s="53">
        <v>0</v>
      </c>
      <c r="T129" s="104" t="str">
        <f t="shared" si="24"/>
        <v/>
      </c>
      <c r="U129" s="105" t="str">
        <f t="shared" si="25"/>
        <v/>
      </c>
      <c r="V129" s="53">
        <v>0</v>
      </c>
      <c r="W129" s="88" t="str">
        <f t="shared" si="26"/>
        <v/>
      </c>
      <c r="X129" s="105" t="str">
        <f t="shared" si="27"/>
        <v/>
      </c>
      <c r="Y129" s="53">
        <v>0</v>
      </c>
      <c r="Z129" s="56" t="str">
        <f t="shared" si="28"/>
        <v/>
      </c>
      <c r="AA129" s="56" t="str">
        <f t="shared" si="29"/>
        <v/>
      </c>
      <c r="AB129" s="56" t="str">
        <f t="shared" si="30"/>
        <v/>
      </c>
      <c r="AC129" s="56" t="str">
        <f t="shared" si="31"/>
        <v/>
      </c>
      <c r="AD129" s="56" t="str">
        <f t="shared" si="32"/>
        <v/>
      </c>
      <c r="AE129" s="40"/>
      <c r="AF129" s="40"/>
      <c r="AG129" s="40"/>
      <c r="AH129" s="56" t="str">
        <f t="shared" si="33"/>
        <v/>
      </c>
      <c r="AI129" s="54"/>
      <c r="AJ129" s="54"/>
      <c r="AK129" s="54"/>
      <c r="AL129" s="54"/>
      <c r="AM129" s="54"/>
    </row>
    <row r="130" spans="1:39">
      <c r="A130" s="96"/>
      <c r="B130" s="45" t="str" cm="1">
        <f t="array" ref="B130">IF(H130="PROJECT", CHAR(10) &amp; "- " &amp; _xlfn.TEXTJOIN(CHAR(10) &amp; "- ", TRUE, _xlfn._xlws.FILTER($I$9:$I$1000, ($C$9:$C$1000=C130) * ($H$9:$H$1000="Topic"))), "")</f>
        <v/>
      </c>
      <c r="C130" s="45">
        <f t="shared" si="17"/>
        <v>90</v>
      </c>
      <c r="D130" s="57"/>
      <c r="E130" s="58"/>
      <c r="F130" s="54"/>
      <c r="G130" s="52"/>
      <c r="H130" s="52"/>
      <c r="I130" s="61"/>
      <c r="J130" s="62"/>
      <c r="K130" s="103" t="str">
        <f t="shared" si="18"/>
        <v/>
      </c>
      <c r="L130" s="105" t="str">
        <f t="shared" si="19"/>
        <v/>
      </c>
      <c r="M130" s="52">
        <v>0</v>
      </c>
      <c r="N130" s="104" t="str">
        <f t="shared" si="20"/>
        <v/>
      </c>
      <c r="O130" s="105" t="str">
        <f t="shared" si="21"/>
        <v/>
      </c>
      <c r="P130" s="52">
        <v>0</v>
      </c>
      <c r="Q130" s="104" t="str">
        <f t="shared" si="22"/>
        <v/>
      </c>
      <c r="R130" s="105" t="str">
        <f t="shared" si="23"/>
        <v/>
      </c>
      <c r="S130" s="52">
        <v>0</v>
      </c>
      <c r="T130" s="104" t="str">
        <f t="shared" si="24"/>
        <v/>
      </c>
      <c r="U130" s="105" t="str">
        <f t="shared" si="25"/>
        <v/>
      </c>
      <c r="V130" s="52">
        <v>0</v>
      </c>
      <c r="W130" s="88" t="str">
        <f t="shared" si="26"/>
        <v/>
      </c>
      <c r="X130" s="105" t="str">
        <f t="shared" si="27"/>
        <v/>
      </c>
      <c r="Y130" s="52">
        <v>0</v>
      </c>
      <c r="Z130" s="56" t="str">
        <f t="shared" si="28"/>
        <v/>
      </c>
      <c r="AA130" s="56" t="str">
        <f t="shared" si="29"/>
        <v/>
      </c>
      <c r="AB130" s="56" t="str">
        <f t="shared" si="30"/>
        <v/>
      </c>
      <c r="AC130" s="56" t="str">
        <f t="shared" si="31"/>
        <v/>
      </c>
      <c r="AD130" s="56" t="str">
        <f t="shared" si="32"/>
        <v/>
      </c>
      <c r="AE130" s="40"/>
      <c r="AF130" s="40"/>
      <c r="AG130" s="40"/>
      <c r="AH130" s="56" t="str">
        <f t="shared" si="33"/>
        <v/>
      </c>
      <c r="AI130" s="54"/>
      <c r="AJ130" s="54"/>
      <c r="AK130" s="54"/>
      <c r="AL130" s="54"/>
      <c r="AM130" s="54"/>
    </row>
    <row r="131" spans="1:39">
      <c r="A131" s="96"/>
      <c r="B131" s="45" t="str" cm="1">
        <f t="array" ref="B131">IF(H131="PROJECT", CHAR(10) &amp; "- " &amp; _xlfn.TEXTJOIN(CHAR(10) &amp; "- ", TRUE, _xlfn._xlws.FILTER($I$9:$I$1000, ($C$9:$C$1000=C131) * ($H$9:$H$1000="Topic"))), "")</f>
        <v/>
      </c>
      <c r="C131" s="45">
        <f t="shared" si="17"/>
        <v>91</v>
      </c>
      <c r="D131" s="46"/>
      <c r="E131" s="58"/>
      <c r="F131" s="67"/>
      <c r="G131" s="53"/>
      <c r="H131" s="53"/>
      <c r="I131" s="50"/>
      <c r="J131" s="51"/>
      <c r="K131" s="103" t="str">
        <f t="shared" si="18"/>
        <v/>
      </c>
      <c r="L131" s="105" t="str">
        <f t="shared" si="19"/>
        <v/>
      </c>
      <c r="M131" s="53">
        <v>0</v>
      </c>
      <c r="N131" s="104" t="str">
        <f t="shared" si="20"/>
        <v/>
      </c>
      <c r="O131" s="105" t="str">
        <f t="shared" si="21"/>
        <v/>
      </c>
      <c r="P131" s="53">
        <v>0</v>
      </c>
      <c r="Q131" s="104" t="str">
        <f t="shared" si="22"/>
        <v/>
      </c>
      <c r="R131" s="105" t="str">
        <f t="shared" si="23"/>
        <v/>
      </c>
      <c r="S131" s="53">
        <v>0</v>
      </c>
      <c r="T131" s="104" t="str">
        <f t="shared" si="24"/>
        <v/>
      </c>
      <c r="U131" s="105" t="str">
        <f t="shared" si="25"/>
        <v/>
      </c>
      <c r="V131" s="53">
        <v>0</v>
      </c>
      <c r="W131" s="88" t="str">
        <f t="shared" si="26"/>
        <v/>
      </c>
      <c r="X131" s="105" t="str">
        <f t="shared" si="27"/>
        <v/>
      </c>
      <c r="Y131" s="53">
        <v>0</v>
      </c>
      <c r="Z131" s="56" t="str">
        <f t="shared" si="28"/>
        <v/>
      </c>
      <c r="AA131" s="56" t="str">
        <f t="shared" si="29"/>
        <v/>
      </c>
      <c r="AB131" s="56" t="str">
        <f t="shared" si="30"/>
        <v/>
      </c>
      <c r="AC131" s="56" t="str">
        <f t="shared" si="31"/>
        <v/>
      </c>
      <c r="AD131" s="56" t="str">
        <f t="shared" si="32"/>
        <v/>
      </c>
      <c r="AE131" s="40"/>
      <c r="AF131" s="40"/>
      <c r="AG131" s="40"/>
      <c r="AH131" s="56" t="str">
        <f t="shared" si="33"/>
        <v/>
      </c>
      <c r="AI131" s="54"/>
      <c r="AJ131" s="54"/>
      <c r="AK131" s="54"/>
      <c r="AL131" s="54"/>
      <c r="AM131" s="54"/>
    </row>
    <row r="132" spans="1:39">
      <c r="A132" s="96"/>
      <c r="B132" s="45" t="str" cm="1">
        <f t="array" ref="B132">IF(H132="PROJECT", CHAR(10) &amp; "- " &amp; _xlfn.TEXTJOIN(CHAR(10) &amp; "- ", TRUE, _xlfn._xlws.FILTER($I$9:$I$1000, ($C$9:$C$1000=C132) * ($H$9:$H$1000="Topic"))), "")</f>
        <v/>
      </c>
      <c r="C132" s="45">
        <f t="shared" si="17"/>
        <v>92</v>
      </c>
      <c r="D132" s="57"/>
      <c r="E132" s="58"/>
      <c r="F132" s="54"/>
      <c r="G132" s="52"/>
      <c r="H132" s="52"/>
      <c r="I132" s="61"/>
      <c r="J132" s="62"/>
      <c r="K132" s="103" t="str">
        <f t="shared" si="18"/>
        <v/>
      </c>
      <c r="L132" s="105" t="str">
        <f t="shared" si="19"/>
        <v/>
      </c>
      <c r="M132" s="52">
        <v>0</v>
      </c>
      <c r="N132" s="104" t="str">
        <f t="shared" si="20"/>
        <v/>
      </c>
      <c r="O132" s="105" t="str">
        <f t="shared" si="21"/>
        <v/>
      </c>
      <c r="P132" s="52">
        <v>0</v>
      </c>
      <c r="Q132" s="104" t="str">
        <f t="shared" si="22"/>
        <v/>
      </c>
      <c r="R132" s="105" t="str">
        <f t="shared" si="23"/>
        <v/>
      </c>
      <c r="S132" s="52">
        <v>0</v>
      </c>
      <c r="T132" s="104" t="str">
        <f t="shared" si="24"/>
        <v/>
      </c>
      <c r="U132" s="105" t="str">
        <f t="shared" si="25"/>
        <v/>
      </c>
      <c r="V132" s="52">
        <v>0</v>
      </c>
      <c r="W132" s="88" t="str">
        <f t="shared" si="26"/>
        <v/>
      </c>
      <c r="X132" s="105" t="str">
        <f t="shared" si="27"/>
        <v/>
      </c>
      <c r="Y132" s="52">
        <v>0</v>
      </c>
      <c r="Z132" s="56" t="str">
        <f t="shared" si="28"/>
        <v/>
      </c>
      <c r="AA132" s="56" t="str">
        <f t="shared" si="29"/>
        <v/>
      </c>
      <c r="AB132" s="56" t="str">
        <f t="shared" si="30"/>
        <v/>
      </c>
      <c r="AC132" s="56" t="str">
        <f t="shared" si="31"/>
        <v/>
      </c>
      <c r="AD132" s="56" t="str">
        <f t="shared" si="32"/>
        <v/>
      </c>
      <c r="AE132" s="40"/>
      <c r="AF132" s="40"/>
      <c r="AG132" s="40"/>
      <c r="AH132" s="56" t="str">
        <f t="shared" si="33"/>
        <v/>
      </c>
      <c r="AI132" s="54"/>
      <c r="AJ132" s="54"/>
      <c r="AK132" s="54"/>
      <c r="AL132" s="54"/>
      <c r="AM132" s="54"/>
    </row>
    <row r="133" spans="1:39">
      <c r="A133" s="96"/>
      <c r="B133" s="45" t="str" cm="1">
        <f t="array" ref="B133">IF(H133="PROJECT", CHAR(10) &amp; "- " &amp; _xlfn.TEXTJOIN(CHAR(10) &amp; "- ", TRUE, _xlfn._xlws.FILTER($I$9:$I$1000, ($C$9:$C$1000=C133) * ($H$9:$H$1000="Topic"))), "")</f>
        <v/>
      </c>
      <c r="C133" s="45">
        <f t="shared" si="17"/>
        <v>93</v>
      </c>
      <c r="D133" s="46"/>
      <c r="E133" s="58"/>
      <c r="F133" s="67"/>
      <c r="G133" s="53"/>
      <c r="H133" s="53"/>
      <c r="I133" s="50"/>
      <c r="J133" s="51"/>
      <c r="K133" s="103" t="str">
        <f t="shared" si="18"/>
        <v/>
      </c>
      <c r="L133" s="105" t="str">
        <f t="shared" si="19"/>
        <v/>
      </c>
      <c r="M133" s="53">
        <v>0</v>
      </c>
      <c r="N133" s="104" t="str">
        <f t="shared" si="20"/>
        <v/>
      </c>
      <c r="O133" s="105" t="str">
        <f t="shared" si="21"/>
        <v/>
      </c>
      <c r="P133" s="53">
        <v>0</v>
      </c>
      <c r="Q133" s="104" t="str">
        <f t="shared" si="22"/>
        <v/>
      </c>
      <c r="R133" s="105" t="str">
        <f t="shared" si="23"/>
        <v/>
      </c>
      <c r="S133" s="53">
        <v>0</v>
      </c>
      <c r="T133" s="104" t="str">
        <f t="shared" si="24"/>
        <v/>
      </c>
      <c r="U133" s="105" t="str">
        <f t="shared" si="25"/>
        <v/>
      </c>
      <c r="V133" s="53">
        <v>0</v>
      </c>
      <c r="W133" s="88" t="str">
        <f t="shared" si="26"/>
        <v/>
      </c>
      <c r="X133" s="105" t="str">
        <f t="shared" si="27"/>
        <v/>
      </c>
      <c r="Y133" s="53">
        <v>0</v>
      </c>
      <c r="Z133" s="56" t="str">
        <f t="shared" si="28"/>
        <v/>
      </c>
      <c r="AA133" s="56" t="str">
        <f t="shared" si="29"/>
        <v/>
      </c>
      <c r="AB133" s="56" t="str">
        <f t="shared" si="30"/>
        <v/>
      </c>
      <c r="AC133" s="56" t="str">
        <f t="shared" si="31"/>
        <v/>
      </c>
      <c r="AD133" s="56" t="str">
        <f t="shared" si="32"/>
        <v/>
      </c>
      <c r="AE133" s="40"/>
      <c r="AF133" s="40"/>
      <c r="AG133" s="40"/>
      <c r="AH133" s="56" t="str">
        <f t="shared" si="33"/>
        <v/>
      </c>
      <c r="AI133" s="54"/>
      <c r="AJ133" s="54"/>
      <c r="AK133" s="54"/>
      <c r="AL133" s="54"/>
      <c r="AM133" s="54"/>
    </row>
    <row r="134" spans="1:39">
      <c r="A134" s="96"/>
      <c r="B134" s="45" t="str" cm="1">
        <f t="array" ref="B134">IF(H134="PROJECT", CHAR(10) &amp; "- " &amp; _xlfn.TEXTJOIN(CHAR(10) &amp; "- ", TRUE, _xlfn._xlws.FILTER($I$9:$I$1000, ($C$9:$C$1000=C134) * ($H$9:$H$1000="Topic"))), "")</f>
        <v/>
      </c>
      <c r="C134" s="45">
        <f t="shared" si="17"/>
        <v>94</v>
      </c>
      <c r="D134" s="57"/>
      <c r="E134" s="58"/>
      <c r="F134" s="54"/>
      <c r="G134" s="52"/>
      <c r="H134" s="52"/>
      <c r="I134" s="61"/>
      <c r="J134" s="62"/>
      <c r="K134" s="103" t="str">
        <f t="shared" si="18"/>
        <v/>
      </c>
      <c r="L134" s="105" t="str">
        <f t="shared" si="19"/>
        <v/>
      </c>
      <c r="M134" s="52">
        <v>0</v>
      </c>
      <c r="N134" s="104" t="str">
        <f t="shared" si="20"/>
        <v/>
      </c>
      <c r="O134" s="105" t="str">
        <f t="shared" si="21"/>
        <v/>
      </c>
      <c r="P134" s="52">
        <v>0</v>
      </c>
      <c r="Q134" s="104" t="str">
        <f t="shared" si="22"/>
        <v/>
      </c>
      <c r="R134" s="105" t="str">
        <f t="shared" si="23"/>
        <v/>
      </c>
      <c r="S134" s="52">
        <v>0</v>
      </c>
      <c r="T134" s="104" t="str">
        <f t="shared" si="24"/>
        <v/>
      </c>
      <c r="U134" s="105" t="str">
        <f t="shared" si="25"/>
        <v/>
      </c>
      <c r="V134" s="52">
        <v>0</v>
      </c>
      <c r="W134" s="88" t="str">
        <f t="shared" si="26"/>
        <v/>
      </c>
      <c r="X134" s="105" t="str">
        <f t="shared" si="27"/>
        <v/>
      </c>
      <c r="Y134" s="52">
        <v>0</v>
      </c>
      <c r="Z134" s="56" t="str">
        <f t="shared" si="28"/>
        <v/>
      </c>
      <c r="AA134" s="56" t="str">
        <f t="shared" si="29"/>
        <v/>
      </c>
      <c r="AB134" s="56" t="str">
        <f t="shared" si="30"/>
        <v/>
      </c>
      <c r="AC134" s="56" t="str">
        <f t="shared" si="31"/>
        <v/>
      </c>
      <c r="AD134" s="56" t="str">
        <f t="shared" si="32"/>
        <v/>
      </c>
      <c r="AE134" s="40"/>
      <c r="AF134" s="40"/>
      <c r="AG134" s="40"/>
      <c r="AH134" s="56" t="str">
        <f t="shared" si="33"/>
        <v/>
      </c>
      <c r="AI134" s="54"/>
      <c r="AJ134" s="54"/>
      <c r="AK134" s="54"/>
      <c r="AL134" s="54"/>
      <c r="AM134" s="54"/>
    </row>
    <row r="135" spans="1:39">
      <c r="A135" s="96"/>
      <c r="B135" s="45" t="str" cm="1">
        <f t="array" ref="B135">IF(H135="PROJECT", CHAR(10) &amp; "- " &amp; _xlfn.TEXTJOIN(CHAR(10) &amp; "- ", TRUE, _xlfn._xlws.FILTER($I$9:$I$1000, ($C$9:$C$1000=C135) * ($H$9:$H$1000="Topic"))), "")</f>
        <v/>
      </c>
      <c r="C135" s="45">
        <f t="shared" si="17"/>
        <v>95</v>
      </c>
      <c r="D135" s="46"/>
      <c r="E135" s="58"/>
      <c r="F135" s="67"/>
      <c r="G135" s="53"/>
      <c r="H135" s="53"/>
      <c r="I135" s="50"/>
      <c r="J135" s="51"/>
      <c r="K135" s="103" t="str">
        <f t="shared" si="18"/>
        <v/>
      </c>
      <c r="L135" s="105" t="str">
        <f t="shared" si="19"/>
        <v/>
      </c>
      <c r="M135" s="53">
        <v>0</v>
      </c>
      <c r="N135" s="104" t="str">
        <f t="shared" si="20"/>
        <v/>
      </c>
      <c r="O135" s="105" t="str">
        <f t="shared" si="21"/>
        <v/>
      </c>
      <c r="P135" s="53">
        <v>0</v>
      </c>
      <c r="Q135" s="104" t="str">
        <f t="shared" si="22"/>
        <v/>
      </c>
      <c r="R135" s="105" t="str">
        <f t="shared" si="23"/>
        <v/>
      </c>
      <c r="S135" s="53">
        <v>0</v>
      </c>
      <c r="T135" s="104" t="str">
        <f t="shared" si="24"/>
        <v/>
      </c>
      <c r="U135" s="105" t="str">
        <f t="shared" si="25"/>
        <v/>
      </c>
      <c r="V135" s="53">
        <v>0</v>
      </c>
      <c r="W135" s="88" t="str">
        <f t="shared" si="26"/>
        <v/>
      </c>
      <c r="X135" s="105" t="str">
        <f t="shared" si="27"/>
        <v/>
      </c>
      <c r="Y135" s="53">
        <v>0</v>
      </c>
      <c r="Z135" s="56" t="str">
        <f t="shared" si="28"/>
        <v/>
      </c>
      <c r="AA135" s="56" t="str">
        <f t="shared" si="29"/>
        <v/>
      </c>
      <c r="AB135" s="56" t="str">
        <f t="shared" si="30"/>
        <v/>
      </c>
      <c r="AC135" s="56" t="str">
        <f t="shared" si="31"/>
        <v/>
      </c>
      <c r="AD135" s="56" t="str">
        <f t="shared" si="32"/>
        <v/>
      </c>
      <c r="AE135" s="40"/>
      <c r="AF135" s="40"/>
      <c r="AG135" s="40"/>
      <c r="AH135" s="56" t="str">
        <f t="shared" si="33"/>
        <v/>
      </c>
      <c r="AI135" s="54"/>
      <c r="AJ135" s="54"/>
      <c r="AK135" s="54"/>
      <c r="AL135" s="54"/>
      <c r="AM135" s="54"/>
    </row>
    <row r="136" spans="1:39">
      <c r="A136" s="96"/>
      <c r="B136" s="45" t="str" cm="1">
        <f t="array" ref="B136">IF(H136="PROJECT", CHAR(10) &amp; "- " &amp; _xlfn.TEXTJOIN(CHAR(10) &amp; "- ", TRUE, _xlfn._xlws.FILTER($I$9:$I$1000, ($C$9:$C$1000=C136) * ($H$9:$H$1000="Topic"))), "")</f>
        <v/>
      </c>
      <c r="C136" s="45">
        <f t="shared" si="17"/>
        <v>96</v>
      </c>
      <c r="D136" s="57"/>
      <c r="E136" s="58"/>
      <c r="F136" s="54"/>
      <c r="G136" s="52"/>
      <c r="H136" s="52"/>
      <c r="I136" s="61"/>
      <c r="J136" s="62"/>
      <c r="K136" s="103" t="str">
        <f t="shared" si="18"/>
        <v/>
      </c>
      <c r="L136" s="105" t="str">
        <f t="shared" si="19"/>
        <v/>
      </c>
      <c r="M136" s="52">
        <v>0</v>
      </c>
      <c r="N136" s="104" t="str">
        <f t="shared" si="20"/>
        <v/>
      </c>
      <c r="O136" s="105" t="str">
        <f t="shared" si="21"/>
        <v/>
      </c>
      <c r="P136" s="52">
        <v>0</v>
      </c>
      <c r="Q136" s="104" t="str">
        <f t="shared" si="22"/>
        <v/>
      </c>
      <c r="R136" s="105" t="str">
        <f t="shared" si="23"/>
        <v/>
      </c>
      <c r="S136" s="52">
        <v>0</v>
      </c>
      <c r="T136" s="104" t="str">
        <f t="shared" si="24"/>
        <v/>
      </c>
      <c r="U136" s="105" t="str">
        <f t="shared" si="25"/>
        <v/>
      </c>
      <c r="V136" s="52">
        <v>0</v>
      </c>
      <c r="W136" s="88" t="str">
        <f t="shared" si="26"/>
        <v/>
      </c>
      <c r="X136" s="105" t="str">
        <f t="shared" si="27"/>
        <v/>
      </c>
      <c r="Y136" s="52">
        <v>0</v>
      </c>
      <c r="Z136" s="56" t="str">
        <f t="shared" si="28"/>
        <v/>
      </c>
      <c r="AA136" s="56" t="str">
        <f t="shared" si="29"/>
        <v/>
      </c>
      <c r="AB136" s="56" t="str">
        <f t="shared" si="30"/>
        <v/>
      </c>
      <c r="AC136" s="56" t="str">
        <f t="shared" si="31"/>
        <v/>
      </c>
      <c r="AD136" s="56" t="str">
        <f t="shared" si="32"/>
        <v/>
      </c>
      <c r="AE136" s="40"/>
      <c r="AF136" s="40"/>
      <c r="AG136" s="40"/>
      <c r="AH136" s="56" t="str">
        <f t="shared" si="33"/>
        <v/>
      </c>
      <c r="AI136" s="54"/>
      <c r="AJ136" s="54"/>
      <c r="AK136" s="54"/>
      <c r="AL136" s="54"/>
      <c r="AM136" s="54"/>
    </row>
    <row r="137" spans="1:39">
      <c r="A137" s="96"/>
      <c r="B137" s="45" t="str" cm="1">
        <f t="array" ref="B137">IF(H137="PROJECT", CHAR(10) &amp; "- " &amp; _xlfn.TEXTJOIN(CHAR(10) &amp; "- ", TRUE, _xlfn._xlws.FILTER($I$9:$I$1000, ($C$9:$C$1000=C137) * ($H$9:$H$1000="Topic"))), "")</f>
        <v/>
      </c>
      <c r="C137" s="45">
        <f t="shared" ref="C137:C200" si="34">IF(AND(H137="Topic",H136="PROJECT"),C136+1,IF(H137="PROJECT",C136,IF(AND(H137="Topic",H136="Topic"),C136,C136+1)))</f>
        <v>97</v>
      </c>
      <c r="D137" s="46"/>
      <c r="E137" s="58"/>
      <c r="F137" s="67"/>
      <c r="G137" s="53"/>
      <c r="H137" s="53"/>
      <c r="I137" s="50"/>
      <c r="J137" s="51"/>
      <c r="K137" s="103" t="str">
        <f t="shared" si="18"/>
        <v/>
      </c>
      <c r="L137" s="105" t="str">
        <f t="shared" si="19"/>
        <v/>
      </c>
      <c r="M137" s="53">
        <v>0</v>
      </c>
      <c r="N137" s="104" t="str">
        <f t="shared" si="20"/>
        <v/>
      </c>
      <c r="O137" s="105" t="str">
        <f t="shared" si="21"/>
        <v/>
      </c>
      <c r="P137" s="53">
        <v>0</v>
      </c>
      <c r="Q137" s="104" t="str">
        <f t="shared" si="22"/>
        <v/>
      </c>
      <c r="R137" s="105" t="str">
        <f t="shared" si="23"/>
        <v/>
      </c>
      <c r="S137" s="53">
        <v>0</v>
      </c>
      <c r="T137" s="104" t="str">
        <f t="shared" si="24"/>
        <v/>
      </c>
      <c r="U137" s="105" t="str">
        <f t="shared" si="25"/>
        <v/>
      </c>
      <c r="V137" s="53">
        <v>0</v>
      </c>
      <c r="W137" s="88" t="str">
        <f t="shared" si="26"/>
        <v/>
      </c>
      <c r="X137" s="105" t="str">
        <f t="shared" si="27"/>
        <v/>
      </c>
      <c r="Y137" s="53">
        <v>0</v>
      </c>
      <c r="Z137" s="56" t="str">
        <f t="shared" si="28"/>
        <v/>
      </c>
      <c r="AA137" s="56" t="str">
        <f t="shared" si="29"/>
        <v/>
      </c>
      <c r="AB137" s="56" t="str">
        <f t="shared" si="30"/>
        <v/>
      </c>
      <c r="AC137" s="56" t="str">
        <f t="shared" si="31"/>
        <v/>
      </c>
      <c r="AD137" s="56" t="str">
        <f t="shared" si="32"/>
        <v/>
      </c>
      <c r="AE137" s="40"/>
      <c r="AF137" s="40"/>
      <c r="AG137" s="40"/>
      <c r="AH137" s="56" t="str">
        <f t="shared" si="33"/>
        <v/>
      </c>
      <c r="AI137" s="54"/>
      <c r="AJ137" s="54"/>
      <c r="AK137" s="54"/>
      <c r="AL137" s="54"/>
      <c r="AM137" s="54"/>
    </row>
    <row r="138" spans="1:39">
      <c r="A138" s="96"/>
      <c r="B138" s="45" t="str" cm="1">
        <f t="array" ref="B138">IF(H138="PROJECT", CHAR(10) &amp; "- " &amp; _xlfn.TEXTJOIN(CHAR(10) &amp; "- ", TRUE, _xlfn._xlws.FILTER($I$9:$I$1000, ($C$9:$C$1000=C138) * ($H$9:$H$1000="Topic"))), "")</f>
        <v/>
      </c>
      <c r="C138" s="45">
        <f t="shared" si="34"/>
        <v>98</v>
      </c>
      <c r="D138" s="57"/>
      <c r="E138" s="58"/>
      <c r="F138" s="54"/>
      <c r="G138" s="52"/>
      <c r="H138" s="52"/>
      <c r="I138" s="61"/>
      <c r="J138" s="62"/>
      <c r="K138" s="103" t="str">
        <f t="shared" ref="K138:K200" si="35">IF(H138="Topic",
"[ROLE] Friendly tutor specializing in " &amp; $I$2 &amp; " | " &amp;
"[TOPIC] " &amp; I138 &amp; " | " &amp;
"[LEVEL] " &amp; G138 &amp; " | " &amp;
"[COUNT] " &amp; D138 &amp; " examples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$A138 &amp; " lines of EXECUTABLE code (STRICT: Do NOT count comments or blank lines). - NEVER exceed this limit. | " &amp;
"[CODE CONSTRAINTS] Single logical flow (no unnecessary complexity) - CRITICAL PROHIBITION: Do NOT include 'if __name__ == '__main__':' blocks or 'pass' statements. Write scripts as flat, top-level execution flows. | " &amp;
"[SYNTAX CONFIGURATION RULE] This: " &amp; IF(F138&gt;=10, "You MUST format output strings elegantly using f-strings natively.", "CRITICAL PROHIBITION: Do NOT use f-strings (f""..."") or any advanced text formatting methods yet. Use basic print() with multiple arguments separated by commas for text labels and variables.")&amp;" | " &amp;
"[FUNCTION RULE] STRICT ARCHITECTURE: " &amp; IF(G138="Beginner","Do NOT use functions unless absolutely required by the concept. Use flat, linear scripts. ",IF(G138="Intermediate","MUST use modular functions. Encapsulate logic in def blocks. ","MUST use modular functions. ABSOLUTELY PROHIBITED: Flat linear scripts. All logic must be contained within callable functions with clear entry points.")) &amp; " | " &amp;
"[FILE HANDLING RULE] Use correct loaders and enforce encoding='utf-8' and newline='' when applicable | " &amp;
"[SUPPORT FILES RULE] If env/config is used, include: 1. Instructional sentence 2. File content in markdown code block 3. BEFORE the main code | " &amp;
"[OUTPUT FORMAT RULE] This: " &amp; IF(F138&gt;=10, "Monetary values formatted with '$', commas, 2 decimals using f-strings.", "Print raw numeric outputs directly without forcing custom monetary formatting structures yet.")&amp;" | " &amp;
"[BOOLEAN HANDLING RULE] Normalize boolean values before comparison | " &amp;
"[DATA TYPE RULE] Explicit casting required before calculations | " &amp;
"[DATA ROBUSTNESS RULE] Handle missing, malformed, or inconsistent data safely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D138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5" t="str">
        <f t="shared" ref="L138:L200" si="36">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B138 &amp; ". Project objective: " &amp; J138, "learning: " &amp; I138 &amp; ". Topic details: " &amp; J138)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"[ARCHITECTURAL CONSTRAINTS] "&amp; IF(G138="Beginner","Do NOT use functions unless absolutely required by the concept. Use flat, linear scripts. NO classes. ", IF(G138="Intermediate","MUST use modular functions ONLY IF the student attempted them or the exercise explicitly demands it. Do NOT over-refactor flat scripts just to make them modular. NO classes. ","MUST use modular functions appropriately for architecture and clarity. "))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4" t="str">
        <f t="shared" ref="N138:N200" si="37">IF(H138="Topic",
"[ROLE] Careless " &amp; $I$2 &amp; " Developer | " &amp;
"[TASK] Generate debugging challenges in " &amp; $I$2 &amp; " | | " &amp;
"[TOPIC] " &amp; I138 &amp; " | | " &amp;
"[LEVEL] " &amp; G138 &amp; " | | " &amp;
"[COUNT] " &amp; D138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"[FILE HANDLING RULE] Use correct loaders and enforce encoding='utf-8' and newline='' when applicable | " &amp;
"[DATA TYPE RULE] Explicit casting required before comparisons or calculations | " &amp;
"[ENV USAGE RULE] Environment variables may be used but bugs MUST exist ONLY in code logic, NEVER in config files | " &amp;
"[CODE CONSTRAINTS] Each challenge MUST include: - Internal data OR dataset usage (based on DATA RULE) - At least 1 loop (when applicable) - At least 1 print statement - " &amp; IF(G138="Beginner", "5–15", IF(G138="Intermediate", "10–25", "15–35")) &amp; " lines of EXECUTABLE code per example (STRICT: Do NOT count blank lines towards this limit) " &amp; IF(G138&lt;&gt;"Advanced", "- NO classes ", "") &amp; "- EXACTLY 1 function - EXACTLY 1 function call - NO global executable code EXCEPT the single function call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5" t="str">
        <f t="shared" ref="O138:O200" si="38">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B138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4" t="str">
        <f t="shared" ref="Q138:Q200" si="39">IF(H138="Topic",
"[ROLE] Tech Lead | " &amp;
"[TASK] Assign incomplete " &amp; $I$2 &amp; " script challenges | " &amp;
"[TOPIC] " &amp; I138 &amp; " | " &amp;
"[LEVEL] " &amp; G138 &amp; " | " &amp;
"[COUNT] " &amp; D138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
"[FILE PROCESSING RULE] Use standard native libraries for " &amp; $I$2 &amp; " to parse the file type correctly. Adapt code to data structure (tabular, key-value, etc.). Dataset exists locally with original filename. | " &amp;
"[CODE CONSTRAINTS] MUST be between " &amp; IF(G138="Beginner", "5–15", IF(G138="Intermediate", "10–25", "15–35")) &amp; " lines of EXECUTABLE code (STRICT: Do NOT count comments or TODOs) - Length MUST vary across challenges - EXACTLY 1 function - EXACTLY 1 function call - NO classes - NO multiple functions - NO global code EXCEPT the single function call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5" t="str">
        <f t="shared" ref="R138:R200" si="40">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B138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4" t="str">
        <f t="shared" ref="T138:T200" si="41">IF(H138="Topic",
"[ROLE] Tech Lead | " &amp;
"[TASK] Provide intentionally messy but functional code for learning debugging and improvement | " &amp;
"[TOPIC] " &amp; I138 &amp; " | " &amp;
"[LEVEL] " &amp; G138 &amp; " | " &amp;
"[COUNT] " &amp; D138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"[FUNCTION RULE] Rule: " &amp; IF(G138="Beginner", "Do NOT use functions unless absolutely required by the concept. Use linear scripts. ", IF(G138="Intermediate", "Functions are optional. Use them only if they improve clarity. Avoid over-engineering. ", "Use functions appropriately but code can still be messy. " ))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5" t="str">
        <f t="shared" ref="U138:U200" si="42">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B138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8" t="str">
        <f t="shared" ref="W138:W200" si="43">IF(H138="Topic",
"[ROLE] Tech Product Manager assigning a " &amp; $I$2 &amp; " Jira Ticket | " &amp;
"[TASK] Provide a guided implementation exercise with full solution for learning purposes | " &amp;
"[TOPIC] " &amp; I138 &amp; " | " &amp;
"[LEVEL] " &amp; G138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_xlfn._LONGTEXT("[CRITICAL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Rule: " &amp; IF(G138="Beginner", "Use simple scripts or minimal functions. ", IF(G138="Intermediate", "Use functions where appropriate. ", "Use modular functions with clear structure. ")) &amp; " | " &amp;
"[CODE QUALITY RULE] Code MUST be clean, readable, and production-like | " &amp;
"[FILE HANDLING RULE] Use correct loaders and enforce encoding='utf-8' and newline=' when applicable | " &amp;
"[DATA TYPE RULE] Explicit casting required before calculations | " &amp;
"[DATA ROBUSTNESS RULE] Handle missing or malformed data safely | " &amp;
"[BOOLEAN HANDLING RULE] Normalize boolean values before comparison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5" t="str">
        <f t="shared" ref="X138:X200" si="44">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B138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5">IF(H138&lt;&gt;"PROJECT","",
"[TASK] Teach through a practical " &amp; $I$2 &amp; " - " &amp; $I$3 &amp; " project following the micro-learning methodology, acting as a supportive tutor, creating a project about  " &amp; I138 &amp; " | " &amp;
"[TOPICS USED] " &amp; B138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"[CODE CONSTRAINTS] MUST be between " &amp; IF(G138="Beginner", "25–40", IF(G138="Intermediate", "30–60", "40–100")) &amp; " lines (STRICT) - Multi-step flow " &amp; IF(G138&lt;&gt;"Advanced", "- NO classes ", "") &amp; " | " &amp;
"[FUNCTION RULE] " &amp; IF(G138="Beginner", "Avoid functions unless required. Use flat, linear scripts. ", IF(G138="Intermediate", "MUST use modular functions with a main() entry point. ", "MUST use well-structured modular functions with a main() entry point. " )) &amp; " | " &amp;
_xlfn._LONGTEXT("[ARCHITECTURE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
"[DATA ROBUSTNESS RULE] Handle real-world data safely | " &amp;
"[FILE HANDLING RULE] Use correct loaders and enforce encoding='utf-8' and newline='' when applicable | " &amp;
"[SUPPORT FILES RULE] IF an external configuration or data file is needed, include: 1. Short instructional sentence 2. File content in markdown code block 3. Place it strictly BEFORE the main code.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6">IF(H138&lt;&gt;"PROJECT","",
"[ROLE] Careless " &amp; $I$2 &amp; " Developer | " &amp;
"[TASK] Generate debugging project in " &amp; $I$2 &amp; " | " &amp;
"[PROJECT] " &amp; I138 &amp; " | " &amp;
"[TOPICS USED] " &amp; B138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"[ENV USAGE RULE] Bugs ONLY in code logic, not config files | " &amp;
"[SUPPORT FILES RULE] IF an external configuration or data file is needed, include: 1. Short instructional sentence 2. File content in markdown code block 3. Place it strictly BEFORE the main code. | " &amp;
_xlfn._LONGTEXT("[BUG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
"[NO SOLUTION RULE - STRICT] You are generating an EXAM. You MUST NOT provide the fixed code, bug diagnosis, hints, explanations, or takeaways. Output ONLY the broken code. Do NOT solve your own challenges. Let the student find the bugs.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47">IF(H138&lt;&gt;"PROJECT","",
"[ROLE] Tech Lead | " &amp;
"[TASK] Assign incomplete project script | " &amp;
"[PROJECT] " &amp; I138 &amp; " | " &amp;
"[TOPICS USED] " &amp; B138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"[CODE CONSTRAINTS] MUST be between " &amp; IF(G138="Beginner", "25–40", IF(G138="Intermediate", "30–60", "40–100")) &amp; " lines of EXECUTABLE code (STRICT: Do NOT count comments or TODOs) - Multi-step flow - Max 2 functions - NO OOP / classes | " &amp;
"[FILE PROCESSING RULE] Use standard native libraries for " &amp; $I$2 &amp; " to parse the file type correctly. Adapt code to data structure. Dataset exists locally with original filename.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48">IF(H138&lt;&gt;"PROJECT","",
"[ROLE] Tech Lead | " &amp;
"[TASK] Provide a messy but functional project for refactoring | " &amp;
"[PROJECT] " &amp; I138 &amp; " | " &amp;
"[TOPICS USED] " &amp; B138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"[FUNCTION RULE] Rule: " &amp; IF(G138="Beginner", "Avoid functions unless required. ", IF(G138="Intermediate", "Functions optional. ", "Use 2–4 functions but code can still be messy. " ))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49">IF(H138&lt;&gt;"PROJECT","",
"[ROLE] Tech Product Manager assigning a " &amp; $I$2 &amp; " Jira Ticket | " &amp;
"[TASK] Provide a guided project implementation with full solution | " &amp;
"[PROJECT] " &amp; I138 &amp; " | " &amp;
"[TOPICS USED] " &amp; B138 &amp; " | " &amp;
"[LEVEL] " &amp; G138 &amp; " | " &amp;
"[PERSONA RULE] Act as a professional Tech Product Manager defining a project ticket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classes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3"/>
        <v/>
      </c>
      <c r="AI138" s="54"/>
      <c r="AJ138" s="54"/>
      <c r="AK138" s="54"/>
      <c r="AL138" s="54"/>
      <c r="AM138" s="54"/>
    </row>
    <row r="139" spans="1:39">
      <c r="A139" s="96"/>
      <c r="B139" s="45" t="str" cm="1">
        <f t="array" ref="B139">IF(H139="PROJECT", CHAR(10) &amp; "- " &amp; _xlfn.TEXTJOIN(CHAR(10) &amp; "- ", TRUE, _xlfn._xlws.FILTER($I$9:$I$1000, ($C$9:$C$1000=C139) * ($H$9:$H$1000="Topic"))), "")</f>
        <v/>
      </c>
      <c r="C139" s="45">
        <f t="shared" si="34"/>
        <v>99</v>
      </c>
      <c r="D139" s="46"/>
      <c r="E139" s="58"/>
      <c r="F139" s="67"/>
      <c r="G139" s="53"/>
      <c r="H139" s="53"/>
      <c r="I139" s="50"/>
      <c r="J139" s="51"/>
      <c r="K139" s="103" t="str">
        <f t="shared" si="35"/>
        <v/>
      </c>
      <c r="L139" s="105" t="str">
        <f t="shared" si="36"/>
        <v/>
      </c>
      <c r="M139" s="53">
        <v>0</v>
      </c>
      <c r="N139" s="104" t="str">
        <f t="shared" si="37"/>
        <v/>
      </c>
      <c r="O139" s="105" t="str">
        <f t="shared" si="38"/>
        <v/>
      </c>
      <c r="P139" s="53">
        <v>0</v>
      </c>
      <c r="Q139" s="104" t="str">
        <f t="shared" si="39"/>
        <v/>
      </c>
      <c r="R139" s="105" t="str">
        <f t="shared" si="40"/>
        <v/>
      </c>
      <c r="S139" s="53">
        <v>0</v>
      </c>
      <c r="T139" s="104" t="str">
        <f t="shared" si="41"/>
        <v/>
      </c>
      <c r="U139" s="105" t="str">
        <f t="shared" si="42"/>
        <v/>
      </c>
      <c r="V139" s="53">
        <v>0</v>
      </c>
      <c r="W139" s="88" t="str">
        <f t="shared" si="43"/>
        <v/>
      </c>
      <c r="X139" s="105" t="str">
        <f t="shared" si="44"/>
        <v/>
      </c>
      <c r="Y139" s="53">
        <v>0</v>
      </c>
      <c r="Z139" s="56" t="str">
        <f t="shared" si="45"/>
        <v/>
      </c>
      <c r="AA139" s="56" t="str">
        <f t="shared" si="46"/>
        <v/>
      </c>
      <c r="AB139" s="56" t="str">
        <f t="shared" si="47"/>
        <v/>
      </c>
      <c r="AC139" s="56" t="str">
        <f t="shared" si="48"/>
        <v/>
      </c>
      <c r="AD139" s="56" t="str">
        <f t="shared" si="49"/>
        <v/>
      </c>
      <c r="AE139" s="40"/>
      <c r="AF139" s="40"/>
      <c r="AG139" s="40"/>
      <c r="AH139" s="56" t="str">
        <f t="shared" si="33"/>
        <v/>
      </c>
      <c r="AI139" s="54"/>
      <c r="AJ139" s="54"/>
      <c r="AK139" s="54"/>
      <c r="AL139" s="54"/>
      <c r="AM139" s="54"/>
    </row>
    <row r="140" spans="1:39">
      <c r="A140" s="96"/>
      <c r="B140" s="45" t="str" cm="1">
        <f t="array" ref="B140">IF(H140="PROJECT", CHAR(10) &amp; "- " &amp; _xlfn.TEXTJOIN(CHAR(10) &amp; "- ", TRUE, _xlfn._xlws.FILTER($I$9:$I$1000, ($C$9:$C$1000=C140) * ($H$9:$H$1000="Topic"))), "")</f>
        <v/>
      </c>
      <c r="C140" s="45">
        <f t="shared" si="34"/>
        <v>100</v>
      </c>
      <c r="D140" s="57"/>
      <c r="E140" s="58"/>
      <c r="F140" s="54"/>
      <c r="G140" s="52"/>
      <c r="H140" s="52"/>
      <c r="I140" s="61"/>
      <c r="J140" s="62"/>
      <c r="K140" s="103" t="str">
        <f t="shared" si="35"/>
        <v/>
      </c>
      <c r="L140" s="105" t="str">
        <f t="shared" si="36"/>
        <v/>
      </c>
      <c r="M140" s="52">
        <v>0</v>
      </c>
      <c r="N140" s="104" t="str">
        <f t="shared" si="37"/>
        <v/>
      </c>
      <c r="O140" s="105" t="str">
        <f t="shared" si="38"/>
        <v/>
      </c>
      <c r="P140" s="52">
        <v>0</v>
      </c>
      <c r="Q140" s="104" t="str">
        <f t="shared" si="39"/>
        <v/>
      </c>
      <c r="R140" s="105" t="str">
        <f t="shared" si="40"/>
        <v/>
      </c>
      <c r="S140" s="52">
        <v>0</v>
      </c>
      <c r="T140" s="104" t="str">
        <f t="shared" si="41"/>
        <v/>
      </c>
      <c r="U140" s="105" t="str">
        <f t="shared" si="42"/>
        <v/>
      </c>
      <c r="V140" s="52">
        <v>0</v>
      </c>
      <c r="W140" s="88" t="str">
        <f t="shared" si="43"/>
        <v/>
      </c>
      <c r="X140" s="105" t="str">
        <f t="shared" si="44"/>
        <v/>
      </c>
      <c r="Y140" s="52">
        <v>0</v>
      </c>
      <c r="Z140" s="56" t="str">
        <f t="shared" si="45"/>
        <v/>
      </c>
      <c r="AA140" s="56" t="str">
        <f t="shared" si="46"/>
        <v/>
      </c>
      <c r="AB140" s="56" t="str">
        <f t="shared" si="47"/>
        <v/>
      </c>
      <c r="AC140" s="56" t="str">
        <f t="shared" si="48"/>
        <v/>
      </c>
      <c r="AD140" s="56" t="str">
        <f t="shared" si="49"/>
        <v/>
      </c>
      <c r="AE140" s="40"/>
      <c r="AF140" s="40"/>
      <c r="AG140" s="40"/>
      <c r="AH140" s="56" t="str">
        <f t="shared" si="33"/>
        <v/>
      </c>
      <c r="AI140" s="54"/>
      <c r="AJ140" s="54"/>
      <c r="AK140" s="54"/>
      <c r="AL140" s="54"/>
      <c r="AM140" s="54"/>
    </row>
    <row r="141" spans="1:39">
      <c r="A141" s="96"/>
      <c r="B141" s="45" t="str" cm="1">
        <f t="array" ref="B141">IF(H141="PROJECT", CHAR(10) &amp; "- " &amp; _xlfn.TEXTJOIN(CHAR(10) &amp; "- ", TRUE, _xlfn._xlws.FILTER($I$9:$I$1000, ($C$9:$C$1000=C141) * ($H$9:$H$1000="Topic"))), "")</f>
        <v/>
      </c>
      <c r="C141" s="45">
        <f t="shared" si="34"/>
        <v>101</v>
      </c>
      <c r="D141" s="46"/>
      <c r="E141" s="58"/>
      <c r="F141" s="67"/>
      <c r="G141" s="53"/>
      <c r="H141" s="53"/>
      <c r="I141" s="50"/>
      <c r="J141" s="51"/>
      <c r="K141" s="103" t="str">
        <f t="shared" si="35"/>
        <v/>
      </c>
      <c r="L141" s="105" t="str">
        <f t="shared" si="36"/>
        <v/>
      </c>
      <c r="M141" s="53">
        <v>0</v>
      </c>
      <c r="N141" s="104" t="str">
        <f t="shared" si="37"/>
        <v/>
      </c>
      <c r="O141" s="105" t="str">
        <f t="shared" si="38"/>
        <v/>
      </c>
      <c r="P141" s="53">
        <v>0</v>
      </c>
      <c r="Q141" s="104" t="str">
        <f t="shared" si="39"/>
        <v/>
      </c>
      <c r="R141" s="105" t="str">
        <f t="shared" si="40"/>
        <v/>
      </c>
      <c r="S141" s="53">
        <v>0</v>
      </c>
      <c r="T141" s="104" t="str">
        <f t="shared" si="41"/>
        <v/>
      </c>
      <c r="U141" s="105" t="str">
        <f t="shared" si="42"/>
        <v/>
      </c>
      <c r="V141" s="53">
        <v>0</v>
      </c>
      <c r="W141" s="88" t="str">
        <f t="shared" si="43"/>
        <v/>
      </c>
      <c r="X141" s="105" t="str">
        <f t="shared" si="44"/>
        <v/>
      </c>
      <c r="Y141" s="53">
        <v>0</v>
      </c>
      <c r="Z141" s="56" t="str">
        <f t="shared" si="45"/>
        <v/>
      </c>
      <c r="AA141" s="56" t="str">
        <f t="shared" si="46"/>
        <v/>
      </c>
      <c r="AB141" s="56" t="str">
        <f t="shared" si="47"/>
        <v/>
      </c>
      <c r="AC141" s="56" t="str">
        <f t="shared" si="48"/>
        <v/>
      </c>
      <c r="AD141" s="56" t="str">
        <f t="shared" si="49"/>
        <v/>
      </c>
      <c r="AE141" s="40"/>
      <c r="AF141" s="40"/>
      <c r="AG141" s="40"/>
      <c r="AH141" s="56" t="str">
        <f t="shared" ref="AH141:AH200" si="50">IF(AE141=$B$6,AG141,"")</f>
        <v/>
      </c>
      <c r="AI141" s="54"/>
      <c r="AJ141" s="54"/>
      <c r="AK141" s="54"/>
      <c r="AL141" s="54"/>
      <c r="AM141" s="54"/>
    </row>
    <row r="142" spans="1:39">
      <c r="A142" s="96"/>
      <c r="B142" s="45" t="str" cm="1">
        <f t="array" ref="B142">IF(H142="PROJECT", CHAR(10) &amp; "- " &amp; _xlfn.TEXTJOIN(CHAR(10) &amp; "- ", TRUE, _xlfn._xlws.FILTER($I$9:$I$1000, ($C$9:$C$1000=C142) * ($H$9:$H$1000="Topic"))), "")</f>
        <v/>
      </c>
      <c r="C142" s="45">
        <f t="shared" si="34"/>
        <v>102</v>
      </c>
      <c r="D142" s="57"/>
      <c r="E142" s="58"/>
      <c r="F142" s="54"/>
      <c r="G142" s="52"/>
      <c r="H142" s="52"/>
      <c r="I142" s="61"/>
      <c r="J142" s="62"/>
      <c r="K142" s="103" t="str">
        <f t="shared" si="35"/>
        <v/>
      </c>
      <c r="L142" s="105" t="str">
        <f t="shared" si="36"/>
        <v/>
      </c>
      <c r="M142" s="52">
        <v>0</v>
      </c>
      <c r="N142" s="104" t="str">
        <f t="shared" si="37"/>
        <v/>
      </c>
      <c r="O142" s="105" t="str">
        <f t="shared" si="38"/>
        <v/>
      </c>
      <c r="P142" s="52">
        <v>0</v>
      </c>
      <c r="Q142" s="104" t="str">
        <f t="shared" si="39"/>
        <v/>
      </c>
      <c r="R142" s="105" t="str">
        <f t="shared" si="40"/>
        <v/>
      </c>
      <c r="S142" s="52">
        <v>0</v>
      </c>
      <c r="T142" s="104" t="str">
        <f t="shared" si="41"/>
        <v/>
      </c>
      <c r="U142" s="105" t="str">
        <f t="shared" si="42"/>
        <v/>
      </c>
      <c r="V142" s="52">
        <v>0</v>
      </c>
      <c r="W142" s="88" t="str">
        <f t="shared" si="43"/>
        <v/>
      </c>
      <c r="X142" s="105" t="str">
        <f t="shared" si="44"/>
        <v/>
      </c>
      <c r="Y142" s="52">
        <v>0</v>
      </c>
      <c r="Z142" s="56" t="str">
        <f t="shared" si="45"/>
        <v/>
      </c>
      <c r="AA142" s="56" t="str">
        <f t="shared" si="46"/>
        <v/>
      </c>
      <c r="AB142" s="56" t="str">
        <f t="shared" si="47"/>
        <v/>
      </c>
      <c r="AC142" s="56" t="str">
        <f t="shared" si="48"/>
        <v/>
      </c>
      <c r="AD142" s="56" t="str">
        <f t="shared" si="49"/>
        <v/>
      </c>
      <c r="AE142" s="40"/>
      <c r="AF142" s="40"/>
      <c r="AG142" s="40"/>
      <c r="AH142" s="56" t="str">
        <f t="shared" si="50"/>
        <v/>
      </c>
      <c r="AI142" s="54"/>
      <c r="AJ142" s="54"/>
      <c r="AK142" s="54"/>
      <c r="AL142" s="54"/>
      <c r="AM142" s="54"/>
    </row>
    <row r="143" spans="1:39">
      <c r="A143" s="96"/>
      <c r="B143" s="45" t="str" cm="1">
        <f t="array" ref="B143">IF(H143="PROJECT", CHAR(10) &amp; "- " &amp; _xlfn.TEXTJOIN(CHAR(10) &amp; "- ", TRUE, _xlfn._xlws.FILTER($I$9:$I$1000, ($C$9:$C$1000=C143) * ($H$9:$H$1000="Topic"))), "")</f>
        <v/>
      </c>
      <c r="C143" s="45">
        <f t="shared" si="34"/>
        <v>103</v>
      </c>
      <c r="D143" s="46"/>
      <c r="E143" s="58"/>
      <c r="F143" s="67"/>
      <c r="G143" s="53"/>
      <c r="H143" s="53"/>
      <c r="I143" s="50"/>
      <c r="J143" s="51"/>
      <c r="K143" s="103" t="str">
        <f t="shared" si="35"/>
        <v/>
      </c>
      <c r="L143" s="105" t="str">
        <f t="shared" si="36"/>
        <v/>
      </c>
      <c r="M143" s="53">
        <v>0</v>
      </c>
      <c r="N143" s="104" t="str">
        <f t="shared" si="37"/>
        <v/>
      </c>
      <c r="O143" s="105" t="str">
        <f t="shared" si="38"/>
        <v/>
      </c>
      <c r="P143" s="53">
        <v>0</v>
      </c>
      <c r="Q143" s="104" t="str">
        <f t="shared" si="39"/>
        <v/>
      </c>
      <c r="R143" s="105" t="str">
        <f t="shared" si="40"/>
        <v/>
      </c>
      <c r="S143" s="53">
        <v>0</v>
      </c>
      <c r="T143" s="104" t="str">
        <f t="shared" si="41"/>
        <v/>
      </c>
      <c r="U143" s="105" t="str">
        <f t="shared" si="42"/>
        <v/>
      </c>
      <c r="V143" s="53">
        <v>0</v>
      </c>
      <c r="W143" s="88" t="str">
        <f t="shared" si="43"/>
        <v/>
      </c>
      <c r="X143" s="105" t="str">
        <f t="shared" si="44"/>
        <v/>
      </c>
      <c r="Y143" s="53">
        <v>0</v>
      </c>
      <c r="Z143" s="56" t="str">
        <f t="shared" si="45"/>
        <v/>
      </c>
      <c r="AA143" s="56" t="str">
        <f t="shared" si="46"/>
        <v/>
      </c>
      <c r="AB143" s="56" t="str">
        <f t="shared" si="47"/>
        <v/>
      </c>
      <c r="AC143" s="56" t="str">
        <f t="shared" si="48"/>
        <v/>
      </c>
      <c r="AD143" s="56" t="str">
        <f t="shared" si="49"/>
        <v/>
      </c>
      <c r="AE143" s="40"/>
      <c r="AF143" s="40"/>
      <c r="AG143" s="40"/>
      <c r="AH143" s="56" t="str">
        <f t="shared" si="50"/>
        <v/>
      </c>
      <c r="AI143" s="54"/>
      <c r="AJ143" s="54"/>
      <c r="AK143" s="54"/>
      <c r="AL143" s="54"/>
      <c r="AM143" s="54"/>
    </row>
    <row r="144" spans="1:39">
      <c r="A144" s="96"/>
      <c r="B144" s="45" t="str" cm="1">
        <f t="array" ref="B144">IF(H144="PROJECT", CHAR(10) &amp; "- " &amp; _xlfn.TEXTJOIN(CHAR(10) &amp; "- ", TRUE, _xlfn._xlws.FILTER($I$9:$I$1000, ($C$9:$C$1000=C144) * ($H$9:$H$1000="Topic"))), "")</f>
        <v/>
      </c>
      <c r="C144" s="45">
        <f t="shared" si="34"/>
        <v>104</v>
      </c>
      <c r="D144" s="57"/>
      <c r="E144" s="58"/>
      <c r="F144" s="54"/>
      <c r="G144" s="52"/>
      <c r="H144" s="52"/>
      <c r="I144" s="61"/>
      <c r="J144" s="62"/>
      <c r="K144" s="103" t="str">
        <f t="shared" si="35"/>
        <v/>
      </c>
      <c r="L144" s="105" t="str">
        <f t="shared" si="36"/>
        <v/>
      </c>
      <c r="M144" s="52">
        <v>0</v>
      </c>
      <c r="N144" s="104" t="str">
        <f t="shared" si="37"/>
        <v/>
      </c>
      <c r="O144" s="105" t="str">
        <f t="shared" si="38"/>
        <v/>
      </c>
      <c r="P144" s="52">
        <v>0</v>
      </c>
      <c r="Q144" s="104" t="str">
        <f t="shared" si="39"/>
        <v/>
      </c>
      <c r="R144" s="105" t="str">
        <f t="shared" si="40"/>
        <v/>
      </c>
      <c r="S144" s="52">
        <v>0</v>
      </c>
      <c r="T144" s="104" t="str">
        <f t="shared" si="41"/>
        <v/>
      </c>
      <c r="U144" s="105" t="str">
        <f t="shared" si="42"/>
        <v/>
      </c>
      <c r="V144" s="52">
        <v>0</v>
      </c>
      <c r="W144" s="88" t="str">
        <f t="shared" si="43"/>
        <v/>
      </c>
      <c r="X144" s="105" t="str">
        <f t="shared" si="44"/>
        <v/>
      </c>
      <c r="Y144" s="52">
        <v>0</v>
      </c>
      <c r="Z144" s="56" t="str">
        <f t="shared" si="45"/>
        <v/>
      </c>
      <c r="AA144" s="56" t="str">
        <f t="shared" si="46"/>
        <v/>
      </c>
      <c r="AB144" s="56" t="str">
        <f t="shared" si="47"/>
        <v/>
      </c>
      <c r="AC144" s="56" t="str">
        <f t="shared" si="48"/>
        <v/>
      </c>
      <c r="AD144" s="56" t="str">
        <f t="shared" si="49"/>
        <v/>
      </c>
      <c r="AE144" s="40"/>
      <c r="AF144" s="40"/>
      <c r="AG144" s="40"/>
      <c r="AH144" s="56" t="str">
        <f t="shared" si="50"/>
        <v/>
      </c>
      <c r="AI144" s="54"/>
      <c r="AJ144" s="54"/>
      <c r="AK144" s="54"/>
      <c r="AL144" s="54"/>
      <c r="AM144" s="54"/>
    </row>
    <row r="145" spans="1:39">
      <c r="A145" s="96"/>
      <c r="B145" s="45" t="str" cm="1">
        <f t="array" ref="B145">IF(H145="PROJECT", CHAR(10) &amp; "- " &amp; _xlfn.TEXTJOIN(CHAR(10) &amp; "- ", TRUE, _xlfn._xlws.FILTER($I$9:$I$1000, ($C$9:$C$1000=C145) * ($H$9:$H$1000="Topic"))), "")</f>
        <v/>
      </c>
      <c r="C145" s="45">
        <f t="shared" si="34"/>
        <v>105</v>
      </c>
      <c r="D145" s="46"/>
      <c r="E145" s="58"/>
      <c r="F145" s="67"/>
      <c r="G145" s="53"/>
      <c r="H145" s="53"/>
      <c r="I145" s="50"/>
      <c r="J145" s="51"/>
      <c r="K145" s="103" t="str">
        <f t="shared" si="35"/>
        <v/>
      </c>
      <c r="L145" s="105" t="str">
        <f t="shared" si="36"/>
        <v/>
      </c>
      <c r="M145" s="53">
        <v>0</v>
      </c>
      <c r="N145" s="104" t="str">
        <f t="shared" si="37"/>
        <v/>
      </c>
      <c r="O145" s="105" t="str">
        <f t="shared" si="38"/>
        <v/>
      </c>
      <c r="P145" s="53">
        <v>0</v>
      </c>
      <c r="Q145" s="104" t="str">
        <f t="shared" si="39"/>
        <v/>
      </c>
      <c r="R145" s="105" t="str">
        <f t="shared" si="40"/>
        <v/>
      </c>
      <c r="S145" s="53">
        <v>0</v>
      </c>
      <c r="T145" s="104" t="str">
        <f t="shared" si="41"/>
        <v/>
      </c>
      <c r="U145" s="105" t="str">
        <f t="shared" si="42"/>
        <v/>
      </c>
      <c r="V145" s="53">
        <v>0</v>
      </c>
      <c r="W145" s="88" t="str">
        <f t="shared" si="43"/>
        <v/>
      </c>
      <c r="X145" s="105" t="str">
        <f t="shared" si="44"/>
        <v/>
      </c>
      <c r="Y145" s="53">
        <v>0</v>
      </c>
      <c r="Z145" s="56" t="str">
        <f t="shared" si="45"/>
        <v/>
      </c>
      <c r="AA145" s="56" t="str">
        <f t="shared" si="46"/>
        <v/>
      </c>
      <c r="AB145" s="56" t="str">
        <f t="shared" si="47"/>
        <v/>
      </c>
      <c r="AC145" s="56" t="str">
        <f t="shared" si="48"/>
        <v/>
      </c>
      <c r="AD145" s="56" t="str">
        <f t="shared" si="49"/>
        <v/>
      </c>
      <c r="AE145" s="40"/>
      <c r="AF145" s="40"/>
      <c r="AG145" s="40"/>
      <c r="AH145" s="56" t="str">
        <f t="shared" si="50"/>
        <v/>
      </c>
      <c r="AI145" s="54"/>
      <c r="AJ145" s="54"/>
      <c r="AK145" s="54"/>
      <c r="AL145" s="54"/>
      <c r="AM145" s="54"/>
    </row>
    <row r="146" spans="1:39">
      <c r="A146" s="96"/>
      <c r="B146" s="45" t="str" cm="1">
        <f t="array" ref="B146">IF(H146="PROJECT", CHAR(10) &amp; "- " &amp; _xlfn.TEXTJOIN(CHAR(10) &amp; "- ", TRUE, _xlfn._xlws.FILTER($I$9:$I$1000, ($C$9:$C$1000=C146) * ($H$9:$H$1000="Topic"))), "")</f>
        <v/>
      </c>
      <c r="C146" s="45">
        <f t="shared" si="34"/>
        <v>106</v>
      </c>
      <c r="D146" s="57"/>
      <c r="E146" s="58"/>
      <c r="F146" s="54"/>
      <c r="G146" s="52"/>
      <c r="H146" s="52"/>
      <c r="I146" s="61"/>
      <c r="J146" s="62"/>
      <c r="K146" s="103" t="str">
        <f t="shared" si="35"/>
        <v/>
      </c>
      <c r="L146" s="105" t="str">
        <f t="shared" si="36"/>
        <v/>
      </c>
      <c r="M146" s="52">
        <v>0</v>
      </c>
      <c r="N146" s="104" t="str">
        <f t="shared" si="37"/>
        <v/>
      </c>
      <c r="O146" s="105" t="str">
        <f t="shared" si="38"/>
        <v/>
      </c>
      <c r="P146" s="52">
        <v>0</v>
      </c>
      <c r="Q146" s="104" t="str">
        <f t="shared" si="39"/>
        <v/>
      </c>
      <c r="R146" s="105" t="str">
        <f t="shared" si="40"/>
        <v/>
      </c>
      <c r="S146" s="52">
        <v>0</v>
      </c>
      <c r="T146" s="104" t="str">
        <f t="shared" si="41"/>
        <v/>
      </c>
      <c r="U146" s="105" t="str">
        <f t="shared" si="42"/>
        <v/>
      </c>
      <c r="V146" s="52">
        <v>0</v>
      </c>
      <c r="W146" s="88" t="str">
        <f t="shared" si="43"/>
        <v/>
      </c>
      <c r="X146" s="105" t="str">
        <f t="shared" si="44"/>
        <v/>
      </c>
      <c r="Y146" s="52">
        <v>0</v>
      </c>
      <c r="Z146" s="56" t="str">
        <f t="shared" si="45"/>
        <v/>
      </c>
      <c r="AA146" s="56" t="str">
        <f t="shared" si="46"/>
        <v/>
      </c>
      <c r="AB146" s="56" t="str">
        <f t="shared" si="47"/>
        <v/>
      </c>
      <c r="AC146" s="56" t="str">
        <f t="shared" si="48"/>
        <v/>
      </c>
      <c r="AD146" s="56" t="str">
        <f t="shared" si="49"/>
        <v/>
      </c>
      <c r="AE146" s="40"/>
      <c r="AF146" s="40"/>
      <c r="AG146" s="40"/>
      <c r="AH146" s="56" t="str">
        <f t="shared" si="50"/>
        <v/>
      </c>
      <c r="AI146" s="54"/>
      <c r="AJ146" s="54"/>
      <c r="AK146" s="54"/>
      <c r="AL146" s="54"/>
      <c r="AM146" s="54"/>
    </row>
    <row r="147" spans="1:39">
      <c r="A147" s="96"/>
      <c r="B147" s="45" t="str" cm="1">
        <f t="array" ref="B147">IF(H147="PROJECT", CHAR(10) &amp; "- " &amp; _xlfn.TEXTJOIN(CHAR(10) &amp; "- ", TRUE, _xlfn._xlws.FILTER($I$9:$I$1000, ($C$9:$C$1000=C147) * ($H$9:$H$1000="Topic"))), "")</f>
        <v/>
      </c>
      <c r="C147" s="45">
        <f t="shared" si="34"/>
        <v>107</v>
      </c>
      <c r="D147" s="46"/>
      <c r="E147" s="58"/>
      <c r="F147" s="67"/>
      <c r="G147" s="53"/>
      <c r="H147" s="53"/>
      <c r="I147" s="50"/>
      <c r="J147" s="51"/>
      <c r="K147" s="103" t="str">
        <f t="shared" si="35"/>
        <v/>
      </c>
      <c r="L147" s="105" t="str">
        <f t="shared" si="36"/>
        <v/>
      </c>
      <c r="M147" s="53">
        <v>0</v>
      </c>
      <c r="N147" s="104" t="str">
        <f t="shared" si="37"/>
        <v/>
      </c>
      <c r="O147" s="105" t="str">
        <f t="shared" si="38"/>
        <v/>
      </c>
      <c r="P147" s="53">
        <v>0</v>
      </c>
      <c r="Q147" s="104" t="str">
        <f t="shared" si="39"/>
        <v/>
      </c>
      <c r="R147" s="105" t="str">
        <f t="shared" si="40"/>
        <v/>
      </c>
      <c r="S147" s="53">
        <v>0</v>
      </c>
      <c r="T147" s="104" t="str">
        <f t="shared" si="41"/>
        <v/>
      </c>
      <c r="U147" s="105" t="str">
        <f t="shared" si="42"/>
        <v/>
      </c>
      <c r="V147" s="53">
        <v>0</v>
      </c>
      <c r="W147" s="88" t="str">
        <f t="shared" si="43"/>
        <v/>
      </c>
      <c r="X147" s="105" t="str">
        <f t="shared" si="44"/>
        <v/>
      </c>
      <c r="Y147" s="53">
        <v>0</v>
      </c>
      <c r="Z147" s="56" t="str">
        <f t="shared" si="45"/>
        <v/>
      </c>
      <c r="AA147" s="56" t="str">
        <f t="shared" si="46"/>
        <v/>
      </c>
      <c r="AB147" s="56" t="str">
        <f t="shared" si="47"/>
        <v/>
      </c>
      <c r="AC147" s="56" t="str">
        <f t="shared" si="48"/>
        <v/>
      </c>
      <c r="AD147" s="56" t="str">
        <f t="shared" si="49"/>
        <v/>
      </c>
      <c r="AE147" s="40"/>
      <c r="AF147" s="40"/>
      <c r="AG147" s="40"/>
      <c r="AH147" s="56" t="str">
        <f t="shared" si="50"/>
        <v/>
      </c>
      <c r="AI147" s="54"/>
      <c r="AJ147" s="54"/>
      <c r="AK147" s="54"/>
      <c r="AL147" s="54"/>
      <c r="AM147" s="54"/>
    </row>
    <row r="148" spans="1:39">
      <c r="A148" s="96"/>
      <c r="B148" s="45" t="str" cm="1">
        <f t="array" ref="B148">IF(H148="PROJECT", CHAR(10) &amp; "- " &amp; _xlfn.TEXTJOIN(CHAR(10) &amp; "- ", TRUE, _xlfn._xlws.FILTER($I$9:$I$1000, ($C$9:$C$1000=C148) * ($H$9:$H$1000="Topic"))), "")</f>
        <v/>
      </c>
      <c r="C148" s="45">
        <f t="shared" si="34"/>
        <v>108</v>
      </c>
      <c r="D148" s="57"/>
      <c r="E148" s="58"/>
      <c r="F148" s="54"/>
      <c r="G148" s="52"/>
      <c r="H148" s="52"/>
      <c r="I148" s="61"/>
      <c r="J148" s="62"/>
      <c r="K148" s="103" t="str">
        <f t="shared" si="35"/>
        <v/>
      </c>
      <c r="L148" s="105" t="str">
        <f t="shared" si="36"/>
        <v/>
      </c>
      <c r="M148" s="52">
        <v>0</v>
      </c>
      <c r="N148" s="104" t="str">
        <f t="shared" si="37"/>
        <v/>
      </c>
      <c r="O148" s="105" t="str">
        <f t="shared" si="38"/>
        <v/>
      </c>
      <c r="P148" s="52">
        <v>0</v>
      </c>
      <c r="Q148" s="104" t="str">
        <f t="shared" si="39"/>
        <v/>
      </c>
      <c r="R148" s="105" t="str">
        <f t="shared" si="40"/>
        <v/>
      </c>
      <c r="S148" s="52">
        <v>0</v>
      </c>
      <c r="T148" s="104" t="str">
        <f t="shared" si="41"/>
        <v/>
      </c>
      <c r="U148" s="105" t="str">
        <f t="shared" si="42"/>
        <v/>
      </c>
      <c r="V148" s="52">
        <v>0</v>
      </c>
      <c r="W148" s="88" t="str">
        <f t="shared" si="43"/>
        <v/>
      </c>
      <c r="X148" s="105" t="str">
        <f t="shared" si="44"/>
        <v/>
      </c>
      <c r="Y148" s="52">
        <v>0</v>
      </c>
      <c r="Z148" s="56" t="str">
        <f t="shared" si="45"/>
        <v/>
      </c>
      <c r="AA148" s="56" t="str">
        <f t="shared" si="46"/>
        <v/>
      </c>
      <c r="AB148" s="56" t="str">
        <f t="shared" si="47"/>
        <v/>
      </c>
      <c r="AC148" s="56" t="str">
        <f t="shared" si="48"/>
        <v/>
      </c>
      <c r="AD148" s="56" t="str">
        <f t="shared" si="49"/>
        <v/>
      </c>
      <c r="AE148" s="40"/>
      <c r="AF148" s="40"/>
      <c r="AG148" s="40"/>
      <c r="AH148" s="56" t="str">
        <f t="shared" si="50"/>
        <v/>
      </c>
      <c r="AI148" s="54"/>
      <c r="AJ148" s="54"/>
      <c r="AK148" s="54"/>
      <c r="AL148" s="54"/>
      <c r="AM148" s="54"/>
    </row>
    <row r="149" spans="1:39">
      <c r="A149" s="96"/>
      <c r="B149" s="45" t="str" cm="1">
        <f t="array" ref="B149">IF(H149="PROJECT", CHAR(10) &amp; "- " &amp; _xlfn.TEXTJOIN(CHAR(10) &amp; "- ", TRUE, _xlfn._xlws.FILTER($I$9:$I$1000, ($C$9:$C$1000=C149) * ($H$9:$H$1000="Topic"))), "")</f>
        <v/>
      </c>
      <c r="C149" s="45">
        <f t="shared" si="34"/>
        <v>109</v>
      </c>
      <c r="D149" s="46"/>
      <c r="E149" s="58"/>
      <c r="F149" s="67"/>
      <c r="G149" s="53"/>
      <c r="H149" s="53"/>
      <c r="I149" s="50"/>
      <c r="J149" s="51"/>
      <c r="K149" s="103" t="str">
        <f t="shared" si="35"/>
        <v/>
      </c>
      <c r="L149" s="105" t="str">
        <f t="shared" si="36"/>
        <v/>
      </c>
      <c r="M149" s="53">
        <v>0</v>
      </c>
      <c r="N149" s="104" t="str">
        <f t="shared" si="37"/>
        <v/>
      </c>
      <c r="O149" s="105" t="str">
        <f t="shared" si="38"/>
        <v/>
      </c>
      <c r="P149" s="53">
        <v>0</v>
      </c>
      <c r="Q149" s="104" t="str">
        <f t="shared" si="39"/>
        <v/>
      </c>
      <c r="R149" s="105" t="str">
        <f t="shared" si="40"/>
        <v/>
      </c>
      <c r="S149" s="53">
        <v>0</v>
      </c>
      <c r="T149" s="104" t="str">
        <f t="shared" si="41"/>
        <v/>
      </c>
      <c r="U149" s="105" t="str">
        <f t="shared" si="42"/>
        <v/>
      </c>
      <c r="V149" s="53">
        <v>0</v>
      </c>
      <c r="W149" s="88" t="str">
        <f t="shared" si="43"/>
        <v/>
      </c>
      <c r="X149" s="105" t="str">
        <f t="shared" si="44"/>
        <v/>
      </c>
      <c r="Y149" s="53">
        <v>0</v>
      </c>
      <c r="Z149" s="56" t="str">
        <f t="shared" si="45"/>
        <v/>
      </c>
      <c r="AA149" s="56" t="str">
        <f t="shared" si="46"/>
        <v/>
      </c>
      <c r="AB149" s="56" t="str">
        <f t="shared" si="47"/>
        <v/>
      </c>
      <c r="AC149" s="56" t="str">
        <f t="shared" si="48"/>
        <v/>
      </c>
      <c r="AD149" s="56" t="str">
        <f t="shared" si="49"/>
        <v/>
      </c>
      <c r="AE149" s="40"/>
      <c r="AF149" s="40"/>
      <c r="AG149" s="40"/>
      <c r="AH149" s="56" t="str">
        <f t="shared" si="50"/>
        <v/>
      </c>
      <c r="AI149" s="54"/>
      <c r="AJ149" s="54"/>
      <c r="AK149" s="54"/>
      <c r="AL149" s="54"/>
      <c r="AM149" s="54"/>
    </row>
    <row r="150" spans="1:39">
      <c r="A150" s="96"/>
      <c r="B150" s="45" t="str" cm="1">
        <f t="array" ref="B150">IF(H150="PROJECT", CHAR(10) &amp; "- " &amp; _xlfn.TEXTJOIN(CHAR(10) &amp; "- ", TRUE, _xlfn._xlws.FILTER($I$9:$I$1000, ($C$9:$C$1000=C150) * ($H$9:$H$1000="Topic"))), "")</f>
        <v/>
      </c>
      <c r="C150" s="45">
        <f t="shared" si="34"/>
        <v>110</v>
      </c>
      <c r="D150" s="57"/>
      <c r="E150" s="58"/>
      <c r="F150" s="54"/>
      <c r="G150" s="52"/>
      <c r="H150" s="52"/>
      <c r="I150" s="61"/>
      <c r="J150" s="62"/>
      <c r="K150" s="103" t="str">
        <f t="shared" si="35"/>
        <v/>
      </c>
      <c r="L150" s="105" t="str">
        <f t="shared" si="36"/>
        <v/>
      </c>
      <c r="M150" s="52">
        <v>0</v>
      </c>
      <c r="N150" s="104" t="str">
        <f t="shared" si="37"/>
        <v/>
      </c>
      <c r="O150" s="105" t="str">
        <f t="shared" si="38"/>
        <v/>
      </c>
      <c r="P150" s="52">
        <v>0</v>
      </c>
      <c r="Q150" s="104" t="str">
        <f t="shared" si="39"/>
        <v/>
      </c>
      <c r="R150" s="105" t="str">
        <f t="shared" si="40"/>
        <v/>
      </c>
      <c r="S150" s="52">
        <v>0</v>
      </c>
      <c r="T150" s="104" t="str">
        <f t="shared" si="41"/>
        <v/>
      </c>
      <c r="U150" s="105" t="str">
        <f t="shared" si="42"/>
        <v/>
      </c>
      <c r="V150" s="52">
        <v>0</v>
      </c>
      <c r="W150" s="88" t="str">
        <f t="shared" si="43"/>
        <v/>
      </c>
      <c r="X150" s="105" t="str">
        <f t="shared" si="44"/>
        <v/>
      </c>
      <c r="Y150" s="52">
        <v>0</v>
      </c>
      <c r="Z150" s="56" t="str">
        <f t="shared" si="45"/>
        <v/>
      </c>
      <c r="AA150" s="56" t="str">
        <f t="shared" si="46"/>
        <v/>
      </c>
      <c r="AB150" s="56" t="str">
        <f t="shared" si="47"/>
        <v/>
      </c>
      <c r="AC150" s="56" t="str">
        <f t="shared" si="48"/>
        <v/>
      </c>
      <c r="AD150" s="56" t="str">
        <f t="shared" si="49"/>
        <v/>
      </c>
      <c r="AE150" s="40"/>
      <c r="AF150" s="40"/>
      <c r="AG150" s="40"/>
      <c r="AH150" s="56" t="str">
        <f t="shared" si="50"/>
        <v/>
      </c>
      <c r="AI150" s="54"/>
      <c r="AJ150" s="54"/>
      <c r="AK150" s="54"/>
      <c r="AL150" s="54"/>
      <c r="AM150" s="54"/>
    </row>
    <row r="151" spans="1:39">
      <c r="A151" s="96"/>
      <c r="B151" s="45" t="str" cm="1">
        <f t="array" ref="B151">IF(H151="PROJECT", CHAR(10) &amp; "- " &amp; _xlfn.TEXTJOIN(CHAR(10) &amp; "- ", TRUE, _xlfn._xlws.FILTER($I$9:$I$1000, ($C$9:$C$1000=C151) * ($H$9:$H$1000="Topic"))), "")</f>
        <v/>
      </c>
      <c r="C151" s="45">
        <f t="shared" si="34"/>
        <v>111</v>
      </c>
      <c r="D151" s="46"/>
      <c r="E151" s="58"/>
      <c r="F151" s="67"/>
      <c r="G151" s="53"/>
      <c r="H151" s="53"/>
      <c r="I151" s="50"/>
      <c r="J151" s="51"/>
      <c r="K151" s="103" t="str">
        <f t="shared" si="35"/>
        <v/>
      </c>
      <c r="L151" s="105" t="str">
        <f t="shared" si="36"/>
        <v/>
      </c>
      <c r="M151" s="53">
        <v>0</v>
      </c>
      <c r="N151" s="104" t="str">
        <f t="shared" si="37"/>
        <v/>
      </c>
      <c r="O151" s="105" t="str">
        <f t="shared" si="38"/>
        <v/>
      </c>
      <c r="P151" s="53">
        <v>0</v>
      </c>
      <c r="Q151" s="104" t="str">
        <f t="shared" si="39"/>
        <v/>
      </c>
      <c r="R151" s="105" t="str">
        <f t="shared" si="40"/>
        <v/>
      </c>
      <c r="S151" s="53">
        <v>0</v>
      </c>
      <c r="T151" s="104" t="str">
        <f t="shared" si="41"/>
        <v/>
      </c>
      <c r="U151" s="105" t="str">
        <f t="shared" si="42"/>
        <v/>
      </c>
      <c r="V151" s="53">
        <v>0</v>
      </c>
      <c r="W151" s="88" t="str">
        <f t="shared" si="43"/>
        <v/>
      </c>
      <c r="X151" s="105" t="str">
        <f t="shared" si="44"/>
        <v/>
      </c>
      <c r="Y151" s="53">
        <v>0</v>
      </c>
      <c r="Z151" s="56" t="str">
        <f t="shared" si="45"/>
        <v/>
      </c>
      <c r="AA151" s="56" t="str">
        <f t="shared" si="46"/>
        <v/>
      </c>
      <c r="AB151" s="56" t="str">
        <f t="shared" si="47"/>
        <v/>
      </c>
      <c r="AC151" s="56" t="str">
        <f t="shared" si="48"/>
        <v/>
      </c>
      <c r="AD151" s="56" t="str">
        <f t="shared" si="49"/>
        <v/>
      </c>
      <c r="AE151" s="40"/>
      <c r="AF151" s="40"/>
      <c r="AG151" s="40"/>
      <c r="AH151" s="56" t="str">
        <f t="shared" si="50"/>
        <v/>
      </c>
      <c r="AI151" s="54"/>
      <c r="AJ151" s="54"/>
      <c r="AK151" s="54"/>
      <c r="AL151" s="54"/>
      <c r="AM151" s="54"/>
    </row>
    <row r="152" spans="1:39">
      <c r="A152" s="96"/>
      <c r="B152" s="45" t="str" cm="1">
        <f t="array" ref="B152">IF(H152="PROJECT", CHAR(10) &amp; "- " &amp; _xlfn.TEXTJOIN(CHAR(10) &amp; "- ", TRUE, _xlfn._xlws.FILTER($I$9:$I$1000, ($C$9:$C$1000=C152) * ($H$9:$H$1000="Topic"))), "")</f>
        <v/>
      </c>
      <c r="C152" s="45">
        <f t="shared" si="34"/>
        <v>112</v>
      </c>
      <c r="D152" s="57"/>
      <c r="E152" s="58"/>
      <c r="F152" s="54"/>
      <c r="G152" s="52"/>
      <c r="H152" s="52"/>
      <c r="I152" s="61"/>
      <c r="J152" s="62"/>
      <c r="K152" s="103" t="str">
        <f t="shared" si="35"/>
        <v/>
      </c>
      <c r="L152" s="105" t="str">
        <f t="shared" si="36"/>
        <v/>
      </c>
      <c r="M152" s="52">
        <v>0</v>
      </c>
      <c r="N152" s="104" t="str">
        <f t="shared" si="37"/>
        <v/>
      </c>
      <c r="O152" s="105" t="str">
        <f t="shared" si="38"/>
        <v/>
      </c>
      <c r="P152" s="52">
        <v>0</v>
      </c>
      <c r="Q152" s="104" t="str">
        <f t="shared" si="39"/>
        <v/>
      </c>
      <c r="R152" s="105" t="str">
        <f t="shared" si="40"/>
        <v/>
      </c>
      <c r="S152" s="52">
        <v>0</v>
      </c>
      <c r="T152" s="104" t="str">
        <f t="shared" si="41"/>
        <v/>
      </c>
      <c r="U152" s="105" t="str">
        <f t="shared" si="42"/>
        <v/>
      </c>
      <c r="V152" s="52">
        <v>0</v>
      </c>
      <c r="W152" s="88" t="str">
        <f t="shared" si="43"/>
        <v/>
      </c>
      <c r="X152" s="105" t="str">
        <f t="shared" si="44"/>
        <v/>
      </c>
      <c r="Y152" s="52">
        <v>0</v>
      </c>
      <c r="Z152" s="56" t="str">
        <f t="shared" si="45"/>
        <v/>
      </c>
      <c r="AA152" s="56" t="str">
        <f t="shared" si="46"/>
        <v/>
      </c>
      <c r="AB152" s="56" t="str">
        <f t="shared" si="47"/>
        <v/>
      </c>
      <c r="AC152" s="56" t="str">
        <f t="shared" si="48"/>
        <v/>
      </c>
      <c r="AD152" s="56" t="str">
        <f t="shared" si="49"/>
        <v/>
      </c>
      <c r="AE152" s="40"/>
      <c r="AF152" s="40"/>
      <c r="AG152" s="40"/>
      <c r="AH152" s="56" t="str">
        <f t="shared" si="50"/>
        <v/>
      </c>
      <c r="AI152" s="54"/>
      <c r="AJ152" s="54"/>
      <c r="AK152" s="54"/>
      <c r="AL152" s="54"/>
      <c r="AM152" s="54"/>
    </row>
    <row r="153" spans="1:39">
      <c r="A153" s="96"/>
      <c r="B153" s="45" t="str" cm="1">
        <f t="array" ref="B153">IF(H153="PROJECT", CHAR(10) &amp; "- " &amp; _xlfn.TEXTJOIN(CHAR(10) &amp; "- ", TRUE, _xlfn._xlws.FILTER($I$9:$I$1000, ($C$9:$C$1000=C153) * ($H$9:$H$1000="Topic"))), "")</f>
        <v/>
      </c>
      <c r="C153" s="45">
        <f t="shared" si="34"/>
        <v>113</v>
      </c>
      <c r="D153" s="46"/>
      <c r="E153" s="58"/>
      <c r="F153" s="67"/>
      <c r="G153" s="53"/>
      <c r="H153" s="53"/>
      <c r="I153" s="50"/>
      <c r="J153" s="51"/>
      <c r="K153" s="103" t="str">
        <f t="shared" si="35"/>
        <v/>
      </c>
      <c r="L153" s="105" t="str">
        <f t="shared" si="36"/>
        <v/>
      </c>
      <c r="M153" s="53">
        <v>0</v>
      </c>
      <c r="N153" s="104" t="str">
        <f t="shared" si="37"/>
        <v/>
      </c>
      <c r="O153" s="105" t="str">
        <f t="shared" si="38"/>
        <v/>
      </c>
      <c r="P153" s="53">
        <v>0</v>
      </c>
      <c r="Q153" s="104" t="str">
        <f t="shared" si="39"/>
        <v/>
      </c>
      <c r="R153" s="105" t="str">
        <f t="shared" si="40"/>
        <v/>
      </c>
      <c r="S153" s="53">
        <v>0</v>
      </c>
      <c r="T153" s="104" t="str">
        <f t="shared" si="41"/>
        <v/>
      </c>
      <c r="U153" s="105" t="str">
        <f t="shared" si="42"/>
        <v/>
      </c>
      <c r="V153" s="53">
        <v>0</v>
      </c>
      <c r="W153" s="88" t="str">
        <f t="shared" si="43"/>
        <v/>
      </c>
      <c r="X153" s="105" t="str">
        <f t="shared" si="44"/>
        <v/>
      </c>
      <c r="Y153" s="53">
        <v>0</v>
      </c>
      <c r="Z153" s="56" t="str">
        <f t="shared" si="45"/>
        <v/>
      </c>
      <c r="AA153" s="56" t="str">
        <f t="shared" si="46"/>
        <v/>
      </c>
      <c r="AB153" s="56" t="str">
        <f t="shared" si="47"/>
        <v/>
      </c>
      <c r="AC153" s="56" t="str">
        <f t="shared" si="48"/>
        <v/>
      </c>
      <c r="AD153" s="56" t="str">
        <f t="shared" si="49"/>
        <v/>
      </c>
      <c r="AE153" s="40"/>
      <c r="AF153" s="40"/>
      <c r="AG153" s="40"/>
      <c r="AH153" s="56" t="str">
        <f t="shared" si="50"/>
        <v/>
      </c>
      <c r="AI153" s="54"/>
      <c r="AJ153" s="54"/>
      <c r="AK153" s="54"/>
      <c r="AL153" s="54"/>
      <c r="AM153" s="54"/>
    </row>
    <row r="154" spans="1:39">
      <c r="A154" s="96"/>
      <c r="B154" s="45" t="str" cm="1">
        <f t="array" ref="B154">IF(H154="PROJECT", CHAR(10) &amp; "- " &amp; _xlfn.TEXTJOIN(CHAR(10) &amp; "- ", TRUE, _xlfn._xlws.FILTER($I$9:$I$1000, ($C$9:$C$1000=C154) * ($H$9:$H$1000="Topic"))), "")</f>
        <v/>
      </c>
      <c r="C154" s="45">
        <f t="shared" si="34"/>
        <v>114</v>
      </c>
      <c r="D154" s="57"/>
      <c r="E154" s="58"/>
      <c r="F154" s="54"/>
      <c r="G154" s="52"/>
      <c r="H154" s="52"/>
      <c r="I154" s="61"/>
      <c r="J154" s="62"/>
      <c r="K154" s="103" t="str">
        <f t="shared" si="35"/>
        <v/>
      </c>
      <c r="L154" s="105" t="str">
        <f t="shared" si="36"/>
        <v/>
      </c>
      <c r="M154" s="52">
        <v>0</v>
      </c>
      <c r="N154" s="104" t="str">
        <f t="shared" si="37"/>
        <v/>
      </c>
      <c r="O154" s="105" t="str">
        <f t="shared" si="38"/>
        <v/>
      </c>
      <c r="P154" s="52">
        <v>0</v>
      </c>
      <c r="Q154" s="104" t="str">
        <f t="shared" si="39"/>
        <v/>
      </c>
      <c r="R154" s="105" t="str">
        <f t="shared" si="40"/>
        <v/>
      </c>
      <c r="S154" s="52">
        <v>0</v>
      </c>
      <c r="T154" s="104" t="str">
        <f t="shared" si="41"/>
        <v/>
      </c>
      <c r="U154" s="105" t="str">
        <f t="shared" si="42"/>
        <v/>
      </c>
      <c r="V154" s="52">
        <v>0</v>
      </c>
      <c r="W154" s="88" t="str">
        <f t="shared" si="43"/>
        <v/>
      </c>
      <c r="X154" s="105" t="str">
        <f t="shared" si="44"/>
        <v/>
      </c>
      <c r="Y154" s="52">
        <v>0</v>
      </c>
      <c r="Z154" s="56" t="str">
        <f t="shared" si="45"/>
        <v/>
      </c>
      <c r="AA154" s="56" t="str">
        <f t="shared" si="46"/>
        <v/>
      </c>
      <c r="AB154" s="56" t="str">
        <f t="shared" si="47"/>
        <v/>
      </c>
      <c r="AC154" s="56" t="str">
        <f t="shared" si="48"/>
        <v/>
      </c>
      <c r="AD154" s="56" t="str">
        <f t="shared" si="49"/>
        <v/>
      </c>
      <c r="AE154" s="40"/>
      <c r="AF154" s="40"/>
      <c r="AG154" s="40"/>
      <c r="AH154" s="56" t="str">
        <f t="shared" si="50"/>
        <v/>
      </c>
      <c r="AI154" s="54"/>
      <c r="AJ154" s="54"/>
      <c r="AK154" s="54"/>
      <c r="AL154" s="54"/>
      <c r="AM154" s="54"/>
    </row>
    <row r="155" spans="1:39">
      <c r="A155" s="96"/>
      <c r="B155" s="45" t="str" cm="1">
        <f t="array" ref="B155">IF(H155="PROJECT", CHAR(10) &amp; "- " &amp; _xlfn.TEXTJOIN(CHAR(10) &amp; "- ", TRUE, _xlfn._xlws.FILTER($I$9:$I$1000, ($C$9:$C$1000=C155) * ($H$9:$H$1000="Topic"))), "")</f>
        <v/>
      </c>
      <c r="C155" s="45">
        <f t="shared" si="34"/>
        <v>115</v>
      </c>
      <c r="D155" s="46"/>
      <c r="E155" s="58"/>
      <c r="F155" s="67"/>
      <c r="G155" s="53"/>
      <c r="H155" s="53"/>
      <c r="I155" s="50"/>
      <c r="J155" s="51"/>
      <c r="K155" s="103" t="str">
        <f t="shared" si="35"/>
        <v/>
      </c>
      <c r="L155" s="105" t="str">
        <f t="shared" si="36"/>
        <v/>
      </c>
      <c r="M155" s="53">
        <v>0</v>
      </c>
      <c r="N155" s="104" t="str">
        <f t="shared" si="37"/>
        <v/>
      </c>
      <c r="O155" s="105" t="str">
        <f t="shared" si="38"/>
        <v/>
      </c>
      <c r="P155" s="53">
        <v>0</v>
      </c>
      <c r="Q155" s="104" t="str">
        <f t="shared" si="39"/>
        <v/>
      </c>
      <c r="R155" s="105" t="str">
        <f t="shared" si="40"/>
        <v/>
      </c>
      <c r="S155" s="53">
        <v>0</v>
      </c>
      <c r="T155" s="104" t="str">
        <f t="shared" si="41"/>
        <v/>
      </c>
      <c r="U155" s="105" t="str">
        <f t="shared" si="42"/>
        <v/>
      </c>
      <c r="V155" s="53">
        <v>0</v>
      </c>
      <c r="W155" s="88" t="str">
        <f t="shared" si="43"/>
        <v/>
      </c>
      <c r="X155" s="105" t="str">
        <f t="shared" si="44"/>
        <v/>
      </c>
      <c r="Y155" s="53">
        <v>0</v>
      </c>
      <c r="Z155" s="56" t="str">
        <f t="shared" si="45"/>
        <v/>
      </c>
      <c r="AA155" s="56" t="str">
        <f t="shared" si="46"/>
        <v/>
      </c>
      <c r="AB155" s="56" t="str">
        <f t="shared" si="47"/>
        <v/>
      </c>
      <c r="AC155" s="56" t="str">
        <f t="shared" si="48"/>
        <v/>
      </c>
      <c r="AD155" s="56" t="str">
        <f t="shared" si="49"/>
        <v/>
      </c>
      <c r="AE155" s="40"/>
      <c r="AF155" s="40"/>
      <c r="AG155" s="40"/>
      <c r="AH155" s="56" t="str">
        <f t="shared" si="50"/>
        <v/>
      </c>
      <c r="AI155" s="54"/>
      <c r="AJ155" s="54"/>
      <c r="AK155" s="54"/>
      <c r="AL155" s="54"/>
      <c r="AM155" s="54"/>
    </row>
    <row r="156" spans="1:39">
      <c r="A156" s="96"/>
      <c r="B156" s="45" t="str" cm="1">
        <f t="array" ref="B156">IF(H156="PROJECT", CHAR(10) &amp; "- " &amp; _xlfn.TEXTJOIN(CHAR(10) &amp; "- ", TRUE, _xlfn._xlws.FILTER($I$9:$I$1000, ($C$9:$C$1000=C156) * ($H$9:$H$1000="Topic"))), "")</f>
        <v/>
      </c>
      <c r="C156" s="45">
        <f t="shared" si="34"/>
        <v>116</v>
      </c>
      <c r="D156" s="57"/>
      <c r="E156" s="58"/>
      <c r="F156" s="54"/>
      <c r="G156" s="52"/>
      <c r="H156" s="52"/>
      <c r="I156" s="61"/>
      <c r="J156" s="62"/>
      <c r="K156" s="103" t="str">
        <f t="shared" si="35"/>
        <v/>
      </c>
      <c r="L156" s="105" t="str">
        <f t="shared" si="36"/>
        <v/>
      </c>
      <c r="M156" s="52">
        <v>0</v>
      </c>
      <c r="N156" s="104" t="str">
        <f t="shared" si="37"/>
        <v/>
      </c>
      <c r="O156" s="105" t="str">
        <f t="shared" si="38"/>
        <v/>
      </c>
      <c r="P156" s="52">
        <v>0</v>
      </c>
      <c r="Q156" s="104" t="str">
        <f t="shared" si="39"/>
        <v/>
      </c>
      <c r="R156" s="105" t="str">
        <f t="shared" si="40"/>
        <v/>
      </c>
      <c r="S156" s="52">
        <v>0</v>
      </c>
      <c r="T156" s="104" t="str">
        <f t="shared" si="41"/>
        <v/>
      </c>
      <c r="U156" s="105" t="str">
        <f t="shared" si="42"/>
        <v/>
      </c>
      <c r="V156" s="52">
        <v>0</v>
      </c>
      <c r="W156" s="88" t="str">
        <f t="shared" si="43"/>
        <v/>
      </c>
      <c r="X156" s="105" t="str">
        <f t="shared" si="44"/>
        <v/>
      </c>
      <c r="Y156" s="52">
        <v>0</v>
      </c>
      <c r="Z156" s="56" t="str">
        <f t="shared" si="45"/>
        <v/>
      </c>
      <c r="AA156" s="56" t="str">
        <f t="shared" si="46"/>
        <v/>
      </c>
      <c r="AB156" s="56" t="str">
        <f t="shared" si="47"/>
        <v/>
      </c>
      <c r="AC156" s="56" t="str">
        <f t="shared" si="48"/>
        <v/>
      </c>
      <c r="AD156" s="56" t="str">
        <f t="shared" si="49"/>
        <v/>
      </c>
      <c r="AE156" s="40"/>
      <c r="AF156" s="40"/>
      <c r="AG156" s="40"/>
      <c r="AH156" s="56" t="str">
        <f t="shared" si="50"/>
        <v/>
      </c>
      <c r="AI156" s="54"/>
      <c r="AJ156" s="54"/>
      <c r="AK156" s="54"/>
      <c r="AL156" s="54"/>
      <c r="AM156" s="54"/>
    </row>
    <row r="157" spans="1:39">
      <c r="A157" s="96"/>
      <c r="B157" s="45" t="str" cm="1">
        <f t="array" ref="B157">IF(H157="PROJECT", CHAR(10) &amp; "- " &amp; _xlfn.TEXTJOIN(CHAR(10) &amp; "- ", TRUE, _xlfn._xlws.FILTER($I$9:$I$1000, ($C$9:$C$1000=C157) * ($H$9:$H$1000="Topic"))), "")</f>
        <v/>
      </c>
      <c r="C157" s="45">
        <f t="shared" si="34"/>
        <v>117</v>
      </c>
      <c r="D157" s="46"/>
      <c r="E157" s="58"/>
      <c r="F157" s="67"/>
      <c r="G157" s="53"/>
      <c r="H157" s="53"/>
      <c r="I157" s="50"/>
      <c r="J157" s="51"/>
      <c r="K157" s="103" t="str">
        <f t="shared" si="35"/>
        <v/>
      </c>
      <c r="L157" s="105" t="str">
        <f t="shared" si="36"/>
        <v/>
      </c>
      <c r="M157" s="53">
        <v>0</v>
      </c>
      <c r="N157" s="104" t="str">
        <f t="shared" si="37"/>
        <v/>
      </c>
      <c r="O157" s="105" t="str">
        <f t="shared" si="38"/>
        <v/>
      </c>
      <c r="P157" s="53">
        <v>0</v>
      </c>
      <c r="Q157" s="104" t="str">
        <f t="shared" si="39"/>
        <v/>
      </c>
      <c r="R157" s="105" t="str">
        <f t="shared" si="40"/>
        <v/>
      </c>
      <c r="S157" s="53">
        <v>0</v>
      </c>
      <c r="T157" s="104" t="str">
        <f t="shared" si="41"/>
        <v/>
      </c>
      <c r="U157" s="105" t="str">
        <f t="shared" si="42"/>
        <v/>
      </c>
      <c r="V157" s="53">
        <v>0</v>
      </c>
      <c r="W157" s="88" t="str">
        <f t="shared" si="43"/>
        <v/>
      </c>
      <c r="X157" s="105" t="str">
        <f t="shared" si="44"/>
        <v/>
      </c>
      <c r="Y157" s="53">
        <v>0</v>
      </c>
      <c r="Z157" s="56" t="str">
        <f t="shared" si="45"/>
        <v/>
      </c>
      <c r="AA157" s="56" t="str">
        <f t="shared" si="46"/>
        <v/>
      </c>
      <c r="AB157" s="56" t="str">
        <f t="shared" si="47"/>
        <v/>
      </c>
      <c r="AC157" s="56" t="str">
        <f t="shared" si="48"/>
        <v/>
      </c>
      <c r="AD157" s="56" t="str">
        <f t="shared" si="49"/>
        <v/>
      </c>
      <c r="AE157" s="40"/>
      <c r="AF157" s="40"/>
      <c r="AG157" s="40"/>
      <c r="AH157" s="56" t="str">
        <f t="shared" si="50"/>
        <v/>
      </c>
      <c r="AI157" s="54"/>
      <c r="AJ157" s="54"/>
      <c r="AK157" s="54"/>
      <c r="AL157" s="54"/>
      <c r="AM157" s="54"/>
    </row>
    <row r="158" spans="1:39">
      <c r="A158" s="96"/>
      <c r="B158" s="45" t="str" cm="1">
        <f t="array" ref="B158">IF(H158="PROJECT", CHAR(10) &amp; "- " &amp; _xlfn.TEXTJOIN(CHAR(10) &amp; "- ", TRUE, _xlfn._xlws.FILTER($I$9:$I$1000, ($C$9:$C$1000=C158) * ($H$9:$H$1000="Topic"))), "")</f>
        <v/>
      </c>
      <c r="C158" s="45">
        <f t="shared" si="34"/>
        <v>118</v>
      </c>
      <c r="D158" s="57"/>
      <c r="E158" s="58"/>
      <c r="F158" s="54"/>
      <c r="G158" s="52"/>
      <c r="H158" s="52"/>
      <c r="I158" s="61"/>
      <c r="J158" s="62"/>
      <c r="K158" s="103" t="str">
        <f t="shared" si="35"/>
        <v/>
      </c>
      <c r="L158" s="105" t="str">
        <f t="shared" si="36"/>
        <v/>
      </c>
      <c r="M158" s="52">
        <v>0</v>
      </c>
      <c r="N158" s="104" t="str">
        <f t="shared" si="37"/>
        <v/>
      </c>
      <c r="O158" s="105" t="str">
        <f t="shared" si="38"/>
        <v/>
      </c>
      <c r="P158" s="52">
        <v>0</v>
      </c>
      <c r="Q158" s="104" t="str">
        <f t="shared" si="39"/>
        <v/>
      </c>
      <c r="R158" s="105" t="str">
        <f t="shared" si="40"/>
        <v/>
      </c>
      <c r="S158" s="52">
        <v>0</v>
      </c>
      <c r="T158" s="104" t="str">
        <f t="shared" si="41"/>
        <v/>
      </c>
      <c r="U158" s="105" t="str">
        <f t="shared" si="42"/>
        <v/>
      </c>
      <c r="V158" s="52">
        <v>0</v>
      </c>
      <c r="W158" s="88" t="str">
        <f t="shared" si="43"/>
        <v/>
      </c>
      <c r="X158" s="105" t="str">
        <f t="shared" si="44"/>
        <v/>
      </c>
      <c r="Y158" s="52">
        <v>0</v>
      </c>
      <c r="Z158" s="56" t="str">
        <f t="shared" si="45"/>
        <v/>
      </c>
      <c r="AA158" s="56" t="str">
        <f t="shared" si="46"/>
        <v/>
      </c>
      <c r="AB158" s="56" t="str">
        <f t="shared" si="47"/>
        <v/>
      </c>
      <c r="AC158" s="56" t="str">
        <f t="shared" si="48"/>
        <v/>
      </c>
      <c r="AD158" s="56" t="str">
        <f t="shared" si="49"/>
        <v/>
      </c>
      <c r="AE158" s="40"/>
      <c r="AF158" s="40"/>
      <c r="AG158" s="40"/>
      <c r="AH158" s="56" t="str">
        <f t="shared" si="50"/>
        <v/>
      </c>
      <c r="AI158" s="54"/>
      <c r="AJ158" s="54"/>
      <c r="AK158" s="54"/>
      <c r="AL158" s="54"/>
      <c r="AM158" s="54"/>
    </row>
    <row r="159" spans="1:39">
      <c r="A159" s="96"/>
      <c r="B159" s="45" t="str" cm="1">
        <f t="array" ref="B159">IF(H159="PROJECT", CHAR(10) &amp; "- " &amp; _xlfn.TEXTJOIN(CHAR(10) &amp; "- ", TRUE, _xlfn._xlws.FILTER($I$9:$I$1000, ($C$9:$C$1000=C159) * ($H$9:$H$1000="Topic"))), "")</f>
        <v/>
      </c>
      <c r="C159" s="45">
        <f t="shared" si="34"/>
        <v>119</v>
      </c>
      <c r="D159" s="46"/>
      <c r="E159" s="58"/>
      <c r="F159" s="67"/>
      <c r="G159" s="53"/>
      <c r="H159" s="53"/>
      <c r="I159" s="50"/>
      <c r="J159" s="51"/>
      <c r="K159" s="103" t="str">
        <f t="shared" si="35"/>
        <v/>
      </c>
      <c r="L159" s="105" t="str">
        <f t="shared" si="36"/>
        <v/>
      </c>
      <c r="M159" s="53">
        <v>0</v>
      </c>
      <c r="N159" s="104" t="str">
        <f t="shared" si="37"/>
        <v/>
      </c>
      <c r="O159" s="105" t="str">
        <f t="shared" si="38"/>
        <v/>
      </c>
      <c r="P159" s="53">
        <v>0</v>
      </c>
      <c r="Q159" s="104" t="str">
        <f t="shared" si="39"/>
        <v/>
      </c>
      <c r="R159" s="105" t="str">
        <f t="shared" si="40"/>
        <v/>
      </c>
      <c r="S159" s="53">
        <v>0</v>
      </c>
      <c r="T159" s="104" t="str">
        <f t="shared" si="41"/>
        <v/>
      </c>
      <c r="U159" s="105" t="str">
        <f t="shared" si="42"/>
        <v/>
      </c>
      <c r="V159" s="53">
        <v>0</v>
      </c>
      <c r="W159" s="88" t="str">
        <f t="shared" si="43"/>
        <v/>
      </c>
      <c r="X159" s="105" t="str">
        <f t="shared" si="44"/>
        <v/>
      </c>
      <c r="Y159" s="53">
        <v>0</v>
      </c>
      <c r="Z159" s="56" t="str">
        <f t="shared" si="45"/>
        <v/>
      </c>
      <c r="AA159" s="56" t="str">
        <f t="shared" si="46"/>
        <v/>
      </c>
      <c r="AB159" s="56" t="str">
        <f t="shared" si="47"/>
        <v/>
      </c>
      <c r="AC159" s="56" t="str">
        <f t="shared" si="48"/>
        <v/>
      </c>
      <c r="AD159" s="56" t="str">
        <f t="shared" si="49"/>
        <v/>
      </c>
      <c r="AE159" s="40"/>
      <c r="AF159" s="40"/>
      <c r="AG159" s="40"/>
      <c r="AH159" s="56" t="str">
        <f t="shared" si="50"/>
        <v/>
      </c>
      <c r="AI159" s="54"/>
      <c r="AJ159" s="54"/>
      <c r="AK159" s="54"/>
      <c r="AL159" s="54"/>
      <c r="AM159" s="54"/>
    </row>
    <row r="160" spans="1:39">
      <c r="A160" s="96"/>
      <c r="B160" s="45" t="str" cm="1">
        <f t="array" ref="B160">IF(H160="PROJECT", CHAR(10) &amp; "- " &amp; _xlfn.TEXTJOIN(CHAR(10) &amp; "- ", TRUE, _xlfn._xlws.FILTER($I$9:$I$1000, ($C$9:$C$1000=C160) * ($H$9:$H$1000="Topic"))), "")</f>
        <v/>
      </c>
      <c r="C160" s="45">
        <f t="shared" si="34"/>
        <v>120</v>
      </c>
      <c r="D160" s="57"/>
      <c r="E160" s="58"/>
      <c r="F160" s="54"/>
      <c r="G160" s="52"/>
      <c r="H160" s="52"/>
      <c r="I160" s="61"/>
      <c r="J160" s="62"/>
      <c r="K160" s="103" t="str">
        <f t="shared" si="35"/>
        <v/>
      </c>
      <c r="L160" s="105" t="str">
        <f t="shared" si="36"/>
        <v/>
      </c>
      <c r="M160" s="52">
        <v>0</v>
      </c>
      <c r="N160" s="104" t="str">
        <f t="shared" si="37"/>
        <v/>
      </c>
      <c r="O160" s="105" t="str">
        <f t="shared" si="38"/>
        <v/>
      </c>
      <c r="P160" s="52">
        <v>0</v>
      </c>
      <c r="Q160" s="104" t="str">
        <f t="shared" si="39"/>
        <v/>
      </c>
      <c r="R160" s="105" t="str">
        <f t="shared" si="40"/>
        <v/>
      </c>
      <c r="S160" s="52">
        <v>0</v>
      </c>
      <c r="T160" s="104" t="str">
        <f t="shared" si="41"/>
        <v/>
      </c>
      <c r="U160" s="105" t="str">
        <f t="shared" si="42"/>
        <v/>
      </c>
      <c r="V160" s="52">
        <v>0</v>
      </c>
      <c r="W160" s="88" t="str">
        <f t="shared" si="43"/>
        <v/>
      </c>
      <c r="X160" s="105" t="str">
        <f t="shared" si="44"/>
        <v/>
      </c>
      <c r="Y160" s="52">
        <v>0</v>
      </c>
      <c r="Z160" s="56" t="str">
        <f t="shared" si="45"/>
        <v/>
      </c>
      <c r="AA160" s="56" t="str">
        <f t="shared" si="46"/>
        <v/>
      </c>
      <c r="AB160" s="56" t="str">
        <f t="shared" si="47"/>
        <v/>
      </c>
      <c r="AC160" s="56" t="str">
        <f t="shared" si="48"/>
        <v/>
      </c>
      <c r="AD160" s="56" t="str">
        <f t="shared" si="49"/>
        <v/>
      </c>
      <c r="AE160" s="40"/>
      <c r="AF160" s="40"/>
      <c r="AG160" s="40"/>
      <c r="AH160" s="56" t="str">
        <f t="shared" si="50"/>
        <v/>
      </c>
      <c r="AI160" s="54"/>
      <c r="AJ160" s="54"/>
      <c r="AK160" s="54"/>
      <c r="AL160" s="54"/>
      <c r="AM160" s="54"/>
    </row>
    <row r="161" spans="1:39">
      <c r="A161" s="96"/>
      <c r="B161" s="45" t="str" cm="1">
        <f t="array" ref="B161">IF(H161="PROJECT", CHAR(10) &amp; "- " &amp; _xlfn.TEXTJOIN(CHAR(10) &amp; "- ", TRUE, _xlfn._xlws.FILTER($I$9:$I$1000, ($C$9:$C$1000=C161) * ($H$9:$H$1000="Topic"))), "")</f>
        <v/>
      </c>
      <c r="C161" s="45">
        <f t="shared" si="34"/>
        <v>121</v>
      </c>
      <c r="D161" s="46"/>
      <c r="E161" s="58"/>
      <c r="F161" s="67"/>
      <c r="G161" s="53"/>
      <c r="H161" s="53"/>
      <c r="I161" s="50"/>
      <c r="J161" s="51"/>
      <c r="K161" s="103" t="str">
        <f t="shared" si="35"/>
        <v/>
      </c>
      <c r="L161" s="105" t="str">
        <f t="shared" si="36"/>
        <v/>
      </c>
      <c r="M161" s="53">
        <v>0</v>
      </c>
      <c r="N161" s="104" t="str">
        <f t="shared" si="37"/>
        <v/>
      </c>
      <c r="O161" s="105" t="str">
        <f t="shared" si="38"/>
        <v/>
      </c>
      <c r="P161" s="53">
        <v>0</v>
      </c>
      <c r="Q161" s="104" t="str">
        <f t="shared" si="39"/>
        <v/>
      </c>
      <c r="R161" s="105" t="str">
        <f t="shared" si="40"/>
        <v/>
      </c>
      <c r="S161" s="53">
        <v>0</v>
      </c>
      <c r="T161" s="104" t="str">
        <f t="shared" si="41"/>
        <v/>
      </c>
      <c r="U161" s="105" t="str">
        <f t="shared" si="42"/>
        <v/>
      </c>
      <c r="V161" s="53">
        <v>0</v>
      </c>
      <c r="W161" s="88" t="str">
        <f t="shared" si="43"/>
        <v/>
      </c>
      <c r="X161" s="105" t="str">
        <f t="shared" si="44"/>
        <v/>
      </c>
      <c r="Y161" s="53">
        <v>0</v>
      </c>
      <c r="Z161" s="56" t="str">
        <f t="shared" si="45"/>
        <v/>
      </c>
      <c r="AA161" s="56" t="str">
        <f t="shared" si="46"/>
        <v/>
      </c>
      <c r="AB161" s="56" t="str">
        <f t="shared" si="47"/>
        <v/>
      </c>
      <c r="AC161" s="56" t="str">
        <f t="shared" si="48"/>
        <v/>
      </c>
      <c r="AD161" s="56" t="str">
        <f t="shared" si="49"/>
        <v/>
      </c>
      <c r="AE161" s="40"/>
      <c r="AF161" s="40"/>
      <c r="AG161" s="40"/>
      <c r="AH161" s="56" t="str">
        <f t="shared" si="50"/>
        <v/>
      </c>
      <c r="AI161" s="54"/>
      <c r="AJ161" s="54"/>
      <c r="AK161" s="54"/>
      <c r="AL161" s="54"/>
      <c r="AM161" s="54"/>
    </row>
    <row r="162" spans="1:39">
      <c r="A162" s="96"/>
      <c r="B162" s="45" t="str" cm="1">
        <f t="array" ref="B162">IF(H162="PROJECT", CHAR(10) &amp; "- " &amp; _xlfn.TEXTJOIN(CHAR(10) &amp; "- ", TRUE, _xlfn._xlws.FILTER($I$9:$I$1000, ($C$9:$C$1000=C162) * ($H$9:$H$1000="Topic"))), "")</f>
        <v/>
      </c>
      <c r="C162" s="45">
        <f t="shared" si="34"/>
        <v>122</v>
      </c>
      <c r="D162" s="57"/>
      <c r="E162" s="58"/>
      <c r="F162" s="54"/>
      <c r="G162" s="52"/>
      <c r="H162" s="52"/>
      <c r="I162" s="61"/>
      <c r="J162" s="62"/>
      <c r="K162" s="103" t="str">
        <f t="shared" si="35"/>
        <v/>
      </c>
      <c r="L162" s="105" t="str">
        <f t="shared" si="36"/>
        <v/>
      </c>
      <c r="M162" s="52">
        <v>0</v>
      </c>
      <c r="N162" s="104" t="str">
        <f t="shared" si="37"/>
        <v/>
      </c>
      <c r="O162" s="105" t="str">
        <f t="shared" si="38"/>
        <v/>
      </c>
      <c r="P162" s="52">
        <v>0</v>
      </c>
      <c r="Q162" s="104" t="str">
        <f t="shared" si="39"/>
        <v/>
      </c>
      <c r="R162" s="105" t="str">
        <f t="shared" si="40"/>
        <v/>
      </c>
      <c r="S162" s="52">
        <v>0</v>
      </c>
      <c r="T162" s="104" t="str">
        <f t="shared" si="41"/>
        <v/>
      </c>
      <c r="U162" s="105" t="str">
        <f t="shared" si="42"/>
        <v/>
      </c>
      <c r="V162" s="52">
        <v>0</v>
      </c>
      <c r="W162" s="88" t="str">
        <f t="shared" si="43"/>
        <v/>
      </c>
      <c r="X162" s="105" t="str">
        <f t="shared" si="44"/>
        <v/>
      </c>
      <c r="Y162" s="52">
        <v>0</v>
      </c>
      <c r="Z162" s="56" t="str">
        <f t="shared" si="45"/>
        <v/>
      </c>
      <c r="AA162" s="56" t="str">
        <f t="shared" si="46"/>
        <v/>
      </c>
      <c r="AB162" s="56" t="str">
        <f t="shared" si="47"/>
        <v/>
      </c>
      <c r="AC162" s="56" t="str">
        <f t="shared" si="48"/>
        <v/>
      </c>
      <c r="AD162" s="56" t="str">
        <f t="shared" si="49"/>
        <v/>
      </c>
      <c r="AE162" s="40"/>
      <c r="AF162" s="40"/>
      <c r="AG162" s="40"/>
      <c r="AH162" s="56" t="str">
        <f t="shared" si="50"/>
        <v/>
      </c>
      <c r="AI162" s="54"/>
      <c r="AJ162" s="54"/>
      <c r="AK162" s="54"/>
      <c r="AL162" s="54"/>
      <c r="AM162" s="54"/>
    </row>
    <row r="163" spans="1:39">
      <c r="A163" s="96"/>
      <c r="B163" s="45" t="str" cm="1">
        <f t="array" ref="B163">IF(H163="PROJECT", CHAR(10) &amp; "- " &amp; _xlfn.TEXTJOIN(CHAR(10) &amp; "- ", TRUE, _xlfn._xlws.FILTER($I$9:$I$1000, ($C$9:$C$1000=C163) * ($H$9:$H$1000="Topic"))), "")</f>
        <v/>
      </c>
      <c r="C163" s="45">
        <f t="shared" si="34"/>
        <v>123</v>
      </c>
      <c r="D163" s="46"/>
      <c r="E163" s="58"/>
      <c r="F163" s="67"/>
      <c r="G163" s="53"/>
      <c r="H163" s="53"/>
      <c r="I163" s="50"/>
      <c r="J163" s="51"/>
      <c r="K163" s="103" t="str">
        <f t="shared" si="35"/>
        <v/>
      </c>
      <c r="L163" s="105" t="str">
        <f t="shared" si="36"/>
        <v/>
      </c>
      <c r="M163" s="53">
        <v>0</v>
      </c>
      <c r="N163" s="104" t="str">
        <f t="shared" si="37"/>
        <v/>
      </c>
      <c r="O163" s="105" t="str">
        <f t="shared" si="38"/>
        <v/>
      </c>
      <c r="P163" s="53">
        <v>0</v>
      </c>
      <c r="Q163" s="104" t="str">
        <f t="shared" si="39"/>
        <v/>
      </c>
      <c r="R163" s="105" t="str">
        <f t="shared" si="40"/>
        <v/>
      </c>
      <c r="S163" s="53">
        <v>0</v>
      </c>
      <c r="T163" s="104" t="str">
        <f t="shared" si="41"/>
        <v/>
      </c>
      <c r="U163" s="105" t="str">
        <f t="shared" si="42"/>
        <v/>
      </c>
      <c r="V163" s="53">
        <v>0</v>
      </c>
      <c r="W163" s="88" t="str">
        <f t="shared" si="43"/>
        <v/>
      </c>
      <c r="X163" s="105" t="str">
        <f t="shared" si="44"/>
        <v/>
      </c>
      <c r="Y163" s="53">
        <v>0</v>
      </c>
      <c r="Z163" s="56" t="str">
        <f t="shared" si="45"/>
        <v/>
      </c>
      <c r="AA163" s="56" t="str">
        <f t="shared" si="46"/>
        <v/>
      </c>
      <c r="AB163" s="56" t="str">
        <f t="shared" si="47"/>
        <v/>
      </c>
      <c r="AC163" s="56" t="str">
        <f t="shared" si="48"/>
        <v/>
      </c>
      <c r="AD163" s="56" t="str">
        <f t="shared" si="49"/>
        <v/>
      </c>
      <c r="AE163" s="40"/>
      <c r="AF163" s="40"/>
      <c r="AG163" s="40"/>
      <c r="AH163" s="56" t="str">
        <f t="shared" si="50"/>
        <v/>
      </c>
      <c r="AI163" s="54"/>
      <c r="AJ163" s="54"/>
      <c r="AK163" s="54"/>
      <c r="AL163" s="54"/>
      <c r="AM163" s="54"/>
    </row>
    <row r="164" spans="1:39">
      <c r="A164" s="96"/>
      <c r="B164" s="45" t="str" cm="1">
        <f t="array" ref="B164">IF(H164="PROJECT", CHAR(10) &amp; "- " &amp; _xlfn.TEXTJOIN(CHAR(10) &amp; "- ", TRUE, _xlfn._xlws.FILTER($I$9:$I$1000, ($C$9:$C$1000=C164) * ($H$9:$H$1000="Topic"))), "")</f>
        <v/>
      </c>
      <c r="C164" s="45">
        <f t="shared" si="34"/>
        <v>124</v>
      </c>
      <c r="D164" s="57"/>
      <c r="E164" s="58"/>
      <c r="F164" s="54"/>
      <c r="G164" s="52"/>
      <c r="H164" s="52"/>
      <c r="I164" s="61"/>
      <c r="J164" s="62"/>
      <c r="K164" s="103" t="str">
        <f t="shared" si="35"/>
        <v/>
      </c>
      <c r="L164" s="105" t="str">
        <f t="shared" si="36"/>
        <v/>
      </c>
      <c r="M164" s="52">
        <v>0</v>
      </c>
      <c r="N164" s="104" t="str">
        <f t="shared" si="37"/>
        <v/>
      </c>
      <c r="O164" s="105" t="str">
        <f t="shared" si="38"/>
        <v/>
      </c>
      <c r="P164" s="52">
        <v>0</v>
      </c>
      <c r="Q164" s="104" t="str">
        <f t="shared" si="39"/>
        <v/>
      </c>
      <c r="R164" s="105" t="str">
        <f t="shared" si="40"/>
        <v/>
      </c>
      <c r="S164" s="52">
        <v>0</v>
      </c>
      <c r="T164" s="104" t="str">
        <f t="shared" si="41"/>
        <v/>
      </c>
      <c r="U164" s="105" t="str">
        <f t="shared" si="42"/>
        <v/>
      </c>
      <c r="V164" s="52">
        <v>0</v>
      </c>
      <c r="W164" s="88" t="str">
        <f t="shared" si="43"/>
        <v/>
      </c>
      <c r="X164" s="105" t="str">
        <f t="shared" si="44"/>
        <v/>
      </c>
      <c r="Y164" s="52">
        <v>0</v>
      </c>
      <c r="Z164" s="56" t="str">
        <f t="shared" si="45"/>
        <v/>
      </c>
      <c r="AA164" s="56" t="str">
        <f t="shared" si="46"/>
        <v/>
      </c>
      <c r="AB164" s="56" t="str">
        <f t="shared" si="47"/>
        <v/>
      </c>
      <c r="AC164" s="56" t="str">
        <f t="shared" si="48"/>
        <v/>
      </c>
      <c r="AD164" s="56" t="str">
        <f t="shared" si="49"/>
        <v/>
      </c>
      <c r="AE164" s="40"/>
      <c r="AF164" s="40"/>
      <c r="AG164" s="40"/>
      <c r="AH164" s="56" t="str">
        <f t="shared" si="50"/>
        <v/>
      </c>
      <c r="AI164" s="54"/>
      <c r="AJ164" s="54"/>
      <c r="AK164" s="54"/>
      <c r="AL164" s="54"/>
      <c r="AM164" s="54"/>
    </row>
    <row r="165" spans="1:39">
      <c r="A165" s="96"/>
      <c r="B165" s="45" t="str" cm="1">
        <f t="array" ref="B165">IF(H165="PROJECT", CHAR(10) &amp; "- " &amp; _xlfn.TEXTJOIN(CHAR(10) &amp; "- ", TRUE, _xlfn._xlws.FILTER($I$9:$I$1000, ($C$9:$C$1000=C165) * ($H$9:$H$1000="Topic"))), "")</f>
        <v/>
      </c>
      <c r="C165" s="45">
        <f t="shared" si="34"/>
        <v>125</v>
      </c>
      <c r="D165" s="46"/>
      <c r="E165" s="58"/>
      <c r="F165" s="67"/>
      <c r="G165" s="53"/>
      <c r="H165" s="53"/>
      <c r="I165" s="50"/>
      <c r="J165" s="51"/>
      <c r="K165" s="103" t="str">
        <f t="shared" si="35"/>
        <v/>
      </c>
      <c r="L165" s="105" t="str">
        <f t="shared" si="36"/>
        <v/>
      </c>
      <c r="M165" s="53">
        <v>0</v>
      </c>
      <c r="N165" s="104" t="str">
        <f t="shared" si="37"/>
        <v/>
      </c>
      <c r="O165" s="105" t="str">
        <f t="shared" si="38"/>
        <v/>
      </c>
      <c r="P165" s="53">
        <v>0</v>
      </c>
      <c r="Q165" s="104" t="str">
        <f t="shared" si="39"/>
        <v/>
      </c>
      <c r="R165" s="105" t="str">
        <f t="shared" si="40"/>
        <v/>
      </c>
      <c r="S165" s="53">
        <v>0</v>
      </c>
      <c r="T165" s="104" t="str">
        <f t="shared" si="41"/>
        <v/>
      </c>
      <c r="U165" s="105" t="str">
        <f t="shared" si="42"/>
        <v/>
      </c>
      <c r="V165" s="53">
        <v>0</v>
      </c>
      <c r="W165" s="88" t="str">
        <f t="shared" si="43"/>
        <v/>
      </c>
      <c r="X165" s="105" t="str">
        <f t="shared" si="44"/>
        <v/>
      </c>
      <c r="Y165" s="53">
        <v>0</v>
      </c>
      <c r="Z165" s="56" t="str">
        <f t="shared" si="45"/>
        <v/>
      </c>
      <c r="AA165" s="56" t="str">
        <f t="shared" si="46"/>
        <v/>
      </c>
      <c r="AB165" s="56" t="str">
        <f t="shared" si="47"/>
        <v/>
      </c>
      <c r="AC165" s="56" t="str">
        <f t="shared" si="48"/>
        <v/>
      </c>
      <c r="AD165" s="56" t="str">
        <f t="shared" si="49"/>
        <v/>
      </c>
      <c r="AE165" s="40"/>
      <c r="AF165" s="40"/>
      <c r="AG165" s="40"/>
      <c r="AH165" s="56" t="str">
        <f t="shared" si="50"/>
        <v/>
      </c>
      <c r="AI165" s="54"/>
      <c r="AJ165" s="54"/>
      <c r="AK165" s="54"/>
      <c r="AL165" s="54"/>
      <c r="AM165" s="54"/>
    </row>
    <row r="166" spans="1:39">
      <c r="A166" s="96"/>
      <c r="B166" s="45" t="str" cm="1">
        <f t="array" ref="B166">IF(H166="PROJECT", CHAR(10) &amp; "- " &amp; _xlfn.TEXTJOIN(CHAR(10) &amp; "- ", TRUE, _xlfn._xlws.FILTER($I$9:$I$1000, ($C$9:$C$1000=C166) * ($H$9:$H$1000="Topic"))), "")</f>
        <v/>
      </c>
      <c r="C166" s="45">
        <f t="shared" si="34"/>
        <v>126</v>
      </c>
      <c r="D166" s="57"/>
      <c r="E166" s="58"/>
      <c r="F166" s="54"/>
      <c r="G166" s="52"/>
      <c r="H166" s="52"/>
      <c r="I166" s="61"/>
      <c r="J166" s="62"/>
      <c r="K166" s="103" t="str">
        <f t="shared" si="35"/>
        <v/>
      </c>
      <c r="L166" s="105" t="str">
        <f t="shared" si="36"/>
        <v/>
      </c>
      <c r="M166" s="52">
        <v>0</v>
      </c>
      <c r="N166" s="104" t="str">
        <f t="shared" si="37"/>
        <v/>
      </c>
      <c r="O166" s="105" t="str">
        <f t="shared" si="38"/>
        <v/>
      </c>
      <c r="P166" s="52">
        <v>0</v>
      </c>
      <c r="Q166" s="104" t="str">
        <f t="shared" si="39"/>
        <v/>
      </c>
      <c r="R166" s="105" t="str">
        <f t="shared" si="40"/>
        <v/>
      </c>
      <c r="S166" s="52">
        <v>0</v>
      </c>
      <c r="T166" s="104" t="str">
        <f t="shared" si="41"/>
        <v/>
      </c>
      <c r="U166" s="105" t="str">
        <f t="shared" si="42"/>
        <v/>
      </c>
      <c r="V166" s="52">
        <v>0</v>
      </c>
      <c r="W166" s="88" t="str">
        <f t="shared" si="43"/>
        <v/>
      </c>
      <c r="X166" s="105" t="str">
        <f t="shared" si="44"/>
        <v/>
      </c>
      <c r="Y166" s="52">
        <v>0</v>
      </c>
      <c r="Z166" s="56" t="str">
        <f t="shared" si="45"/>
        <v/>
      </c>
      <c r="AA166" s="56" t="str">
        <f t="shared" si="46"/>
        <v/>
      </c>
      <c r="AB166" s="56" t="str">
        <f t="shared" si="47"/>
        <v/>
      </c>
      <c r="AC166" s="56" t="str">
        <f t="shared" si="48"/>
        <v/>
      </c>
      <c r="AD166" s="56" t="str">
        <f t="shared" si="49"/>
        <v/>
      </c>
      <c r="AE166" s="40"/>
      <c r="AF166" s="40"/>
      <c r="AG166" s="40"/>
      <c r="AH166" s="56" t="str">
        <f t="shared" si="50"/>
        <v/>
      </c>
      <c r="AI166" s="54"/>
      <c r="AJ166" s="54"/>
      <c r="AK166" s="54"/>
      <c r="AL166" s="54"/>
      <c r="AM166" s="54"/>
    </row>
    <row r="167" spans="1:39">
      <c r="A167" s="96"/>
      <c r="B167" s="45" t="str" cm="1">
        <f t="array" ref="B167">IF(H167="PROJECT", CHAR(10) &amp; "- " &amp; _xlfn.TEXTJOIN(CHAR(10) &amp; "- ", TRUE, _xlfn._xlws.FILTER($I$9:$I$1000, ($C$9:$C$1000=C167) * ($H$9:$H$1000="Topic"))), "")</f>
        <v/>
      </c>
      <c r="C167" s="45">
        <f t="shared" si="34"/>
        <v>127</v>
      </c>
      <c r="D167" s="46"/>
      <c r="E167" s="58"/>
      <c r="F167" s="67"/>
      <c r="G167" s="53"/>
      <c r="H167" s="53"/>
      <c r="I167" s="50"/>
      <c r="J167" s="51"/>
      <c r="K167" s="103" t="str">
        <f t="shared" si="35"/>
        <v/>
      </c>
      <c r="L167" s="105" t="str">
        <f t="shared" si="36"/>
        <v/>
      </c>
      <c r="M167" s="53">
        <v>0</v>
      </c>
      <c r="N167" s="104" t="str">
        <f t="shared" si="37"/>
        <v/>
      </c>
      <c r="O167" s="105" t="str">
        <f t="shared" si="38"/>
        <v/>
      </c>
      <c r="P167" s="53">
        <v>0</v>
      </c>
      <c r="Q167" s="104" t="str">
        <f t="shared" si="39"/>
        <v/>
      </c>
      <c r="R167" s="105" t="str">
        <f t="shared" si="40"/>
        <v/>
      </c>
      <c r="S167" s="53">
        <v>0</v>
      </c>
      <c r="T167" s="104" t="str">
        <f t="shared" si="41"/>
        <v/>
      </c>
      <c r="U167" s="105" t="str">
        <f t="shared" si="42"/>
        <v/>
      </c>
      <c r="V167" s="53">
        <v>0</v>
      </c>
      <c r="W167" s="88" t="str">
        <f t="shared" si="43"/>
        <v/>
      </c>
      <c r="X167" s="105" t="str">
        <f t="shared" si="44"/>
        <v/>
      </c>
      <c r="Y167" s="53">
        <v>0</v>
      </c>
      <c r="Z167" s="56" t="str">
        <f t="shared" si="45"/>
        <v/>
      </c>
      <c r="AA167" s="56" t="str">
        <f t="shared" si="46"/>
        <v/>
      </c>
      <c r="AB167" s="56" t="str">
        <f t="shared" si="47"/>
        <v/>
      </c>
      <c r="AC167" s="56" t="str">
        <f t="shared" si="48"/>
        <v/>
      </c>
      <c r="AD167" s="56" t="str">
        <f t="shared" si="49"/>
        <v/>
      </c>
      <c r="AE167" s="40"/>
      <c r="AF167" s="40"/>
      <c r="AG167" s="40"/>
      <c r="AH167" s="56" t="str">
        <f t="shared" si="50"/>
        <v/>
      </c>
      <c r="AI167" s="54"/>
      <c r="AJ167" s="54"/>
      <c r="AK167" s="54"/>
      <c r="AL167" s="54"/>
      <c r="AM167" s="54"/>
    </row>
    <row r="168" spans="1:39">
      <c r="A168" s="96"/>
      <c r="B168" s="45" t="str" cm="1">
        <f t="array" ref="B168">IF(H168="PROJECT", CHAR(10) &amp; "- " &amp; _xlfn.TEXTJOIN(CHAR(10) &amp; "- ", TRUE, _xlfn._xlws.FILTER($I$9:$I$1000, ($C$9:$C$1000=C168) * ($H$9:$H$1000="Topic"))), "")</f>
        <v/>
      </c>
      <c r="C168" s="45">
        <f t="shared" si="34"/>
        <v>128</v>
      </c>
      <c r="D168" s="57"/>
      <c r="E168" s="58"/>
      <c r="F168" s="54"/>
      <c r="G168" s="52"/>
      <c r="H168" s="52"/>
      <c r="I168" s="61"/>
      <c r="J168" s="62"/>
      <c r="K168" s="103" t="str">
        <f t="shared" si="35"/>
        <v/>
      </c>
      <c r="L168" s="105" t="str">
        <f t="shared" si="36"/>
        <v/>
      </c>
      <c r="M168" s="52">
        <v>0</v>
      </c>
      <c r="N168" s="104" t="str">
        <f t="shared" si="37"/>
        <v/>
      </c>
      <c r="O168" s="105" t="str">
        <f t="shared" si="38"/>
        <v/>
      </c>
      <c r="P168" s="52">
        <v>0</v>
      </c>
      <c r="Q168" s="104" t="str">
        <f t="shared" si="39"/>
        <v/>
      </c>
      <c r="R168" s="105" t="str">
        <f t="shared" si="40"/>
        <v/>
      </c>
      <c r="S168" s="52">
        <v>0</v>
      </c>
      <c r="T168" s="104" t="str">
        <f t="shared" si="41"/>
        <v/>
      </c>
      <c r="U168" s="105" t="str">
        <f t="shared" si="42"/>
        <v/>
      </c>
      <c r="V168" s="52">
        <v>0</v>
      </c>
      <c r="W168" s="88" t="str">
        <f t="shared" si="43"/>
        <v/>
      </c>
      <c r="X168" s="105" t="str">
        <f t="shared" si="44"/>
        <v/>
      </c>
      <c r="Y168" s="52">
        <v>0</v>
      </c>
      <c r="Z168" s="56" t="str">
        <f t="shared" si="45"/>
        <v/>
      </c>
      <c r="AA168" s="56" t="str">
        <f t="shared" si="46"/>
        <v/>
      </c>
      <c r="AB168" s="56" t="str">
        <f t="shared" si="47"/>
        <v/>
      </c>
      <c r="AC168" s="56" t="str">
        <f t="shared" si="48"/>
        <v/>
      </c>
      <c r="AD168" s="56" t="str">
        <f t="shared" si="49"/>
        <v/>
      </c>
      <c r="AE168" s="40"/>
      <c r="AF168" s="40"/>
      <c r="AG168" s="40"/>
      <c r="AH168" s="56" t="str">
        <f t="shared" si="50"/>
        <v/>
      </c>
      <c r="AI168" s="54"/>
      <c r="AJ168" s="54"/>
      <c r="AK168" s="54"/>
      <c r="AL168" s="54"/>
      <c r="AM168" s="54"/>
    </row>
    <row r="169" spans="1:39">
      <c r="A169" s="96"/>
      <c r="B169" s="45" t="str" cm="1">
        <f t="array" ref="B169">IF(H169="PROJECT", CHAR(10) &amp; "- " &amp; _xlfn.TEXTJOIN(CHAR(10) &amp; "- ", TRUE, _xlfn._xlws.FILTER($I$9:$I$1000, ($C$9:$C$1000=C169) * ($H$9:$H$1000="Topic"))), "")</f>
        <v/>
      </c>
      <c r="C169" s="45">
        <f t="shared" si="34"/>
        <v>129</v>
      </c>
      <c r="D169" s="46"/>
      <c r="E169" s="58"/>
      <c r="F169" s="67"/>
      <c r="G169" s="53"/>
      <c r="H169" s="53"/>
      <c r="I169" s="50"/>
      <c r="J169" s="51"/>
      <c r="K169" s="103" t="str">
        <f t="shared" si="35"/>
        <v/>
      </c>
      <c r="L169" s="105" t="str">
        <f t="shared" si="36"/>
        <v/>
      </c>
      <c r="M169" s="53">
        <v>0</v>
      </c>
      <c r="N169" s="104" t="str">
        <f t="shared" si="37"/>
        <v/>
      </c>
      <c r="O169" s="105" t="str">
        <f t="shared" si="38"/>
        <v/>
      </c>
      <c r="P169" s="53">
        <v>0</v>
      </c>
      <c r="Q169" s="104" t="str">
        <f t="shared" si="39"/>
        <v/>
      </c>
      <c r="R169" s="105" t="str">
        <f t="shared" si="40"/>
        <v/>
      </c>
      <c r="S169" s="53">
        <v>0</v>
      </c>
      <c r="T169" s="104" t="str">
        <f t="shared" si="41"/>
        <v/>
      </c>
      <c r="U169" s="105" t="str">
        <f t="shared" si="42"/>
        <v/>
      </c>
      <c r="V169" s="53">
        <v>0</v>
      </c>
      <c r="W169" s="88" t="str">
        <f t="shared" si="43"/>
        <v/>
      </c>
      <c r="X169" s="105" t="str">
        <f t="shared" si="44"/>
        <v/>
      </c>
      <c r="Y169" s="53">
        <v>0</v>
      </c>
      <c r="Z169" s="56" t="str">
        <f t="shared" si="45"/>
        <v/>
      </c>
      <c r="AA169" s="56" t="str">
        <f t="shared" si="46"/>
        <v/>
      </c>
      <c r="AB169" s="56" t="str">
        <f t="shared" si="47"/>
        <v/>
      </c>
      <c r="AC169" s="56" t="str">
        <f t="shared" si="48"/>
        <v/>
      </c>
      <c r="AD169" s="56" t="str">
        <f t="shared" si="49"/>
        <v/>
      </c>
      <c r="AE169" s="40"/>
      <c r="AF169" s="40"/>
      <c r="AG169" s="40"/>
      <c r="AH169" s="56" t="str">
        <f t="shared" si="50"/>
        <v/>
      </c>
      <c r="AI169" s="54"/>
      <c r="AJ169" s="54"/>
      <c r="AK169" s="54"/>
      <c r="AL169" s="54"/>
      <c r="AM169" s="54"/>
    </row>
    <row r="170" spans="1:39">
      <c r="A170" s="96"/>
      <c r="B170" s="45" t="str" cm="1">
        <f t="array" ref="B170">IF(H170="PROJECT", CHAR(10) &amp; "- " &amp; _xlfn.TEXTJOIN(CHAR(10) &amp; "- ", TRUE, _xlfn._xlws.FILTER($I$9:$I$1000, ($C$9:$C$1000=C170) * ($H$9:$H$1000="Topic"))), "")</f>
        <v/>
      </c>
      <c r="C170" s="45">
        <f t="shared" si="34"/>
        <v>130</v>
      </c>
      <c r="D170" s="57"/>
      <c r="E170" s="58"/>
      <c r="F170" s="54"/>
      <c r="G170" s="52"/>
      <c r="H170" s="52"/>
      <c r="I170" s="61"/>
      <c r="J170" s="62"/>
      <c r="K170" s="103" t="str">
        <f t="shared" si="35"/>
        <v/>
      </c>
      <c r="L170" s="105" t="str">
        <f t="shared" si="36"/>
        <v/>
      </c>
      <c r="M170" s="52">
        <v>0</v>
      </c>
      <c r="N170" s="104" t="str">
        <f t="shared" si="37"/>
        <v/>
      </c>
      <c r="O170" s="105" t="str">
        <f t="shared" si="38"/>
        <v/>
      </c>
      <c r="P170" s="52">
        <v>0</v>
      </c>
      <c r="Q170" s="104" t="str">
        <f t="shared" si="39"/>
        <v/>
      </c>
      <c r="R170" s="105" t="str">
        <f t="shared" si="40"/>
        <v/>
      </c>
      <c r="S170" s="52">
        <v>0</v>
      </c>
      <c r="T170" s="104" t="str">
        <f t="shared" si="41"/>
        <v/>
      </c>
      <c r="U170" s="105" t="str">
        <f t="shared" si="42"/>
        <v/>
      </c>
      <c r="V170" s="52">
        <v>0</v>
      </c>
      <c r="W170" s="88" t="str">
        <f t="shared" si="43"/>
        <v/>
      </c>
      <c r="X170" s="105" t="str">
        <f t="shared" si="44"/>
        <v/>
      </c>
      <c r="Y170" s="52">
        <v>0</v>
      </c>
      <c r="Z170" s="56" t="str">
        <f t="shared" si="45"/>
        <v/>
      </c>
      <c r="AA170" s="56" t="str">
        <f t="shared" si="46"/>
        <v/>
      </c>
      <c r="AB170" s="56" t="str">
        <f t="shared" si="47"/>
        <v/>
      </c>
      <c r="AC170" s="56" t="str">
        <f t="shared" si="48"/>
        <v/>
      </c>
      <c r="AD170" s="56" t="str">
        <f t="shared" si="49"/>
        <v/>
      </c>
      <c r="AE170" s="40"/>
      <c r="AF170" s="40"/>
      <c r="AG170" s="40"/>
      <c r="AH170" s="56" t="str">
        <f t="shared" si="50"/>
        <v/>
      </c>
      <c r="AI170" s="54"/>
      <c r="AJ170" s="54"/>
      <c r="AK170" s="54"/>
      <c r="AL170" s="54"/>
      <c r="AM170" s="54"/>
    </row>
    <row r="171" spans="1:39">
      <c r="A171" s="96"/>
      <c r="B171" s="45" t="str" cm="1">
        <f t="array" ref="B171">IF(H171="PROJECT", CHAR(10) &amp; "- " &amp; _xlfn.TEXTJOIN(CHAR(10) &amp; "- ", TRUE, _xlfn._xlws.FILTER($I$9:$I$1000, ($C$9:$C$1000=C171) * ($H$9:$H$1000="Topic"))), "")</f>
        <v/>
      </c>
      <c r="C171" s="45">
        <f t="shared" si="34"/>
        <v>131</v>
      </c>
      <c r="D171" s="46"/>
      <c r="E171" s="58"/>
      <c r="F171" s="67"/>
      <c r="G171" s="53"/>
      <c r="H171" s="53"/>
      <c r="I171" s="50"/>
      <c r="J171" s="51"/>
      <c r="K171" s="103" t="str">
        <f t="shared" si="35"/>
        <v/>
      </c>
      <c r="L171" s="105" t="str">
        <f t="shared" si="36"/>
        <v/>
      </c>
      <c r="M171" s="53">
        <v>0</v>
      </c>
      <c r="N171" s="104" t="str">
        <f t="shared" si="37"/>
        <v/>
      </c>
      <c r="O171" s="105" t="str">
        <f t="shared" si="38"/>
        <v/>
      </c>
      <c r="P171" s="53">
        <v>0</v>
      </c>
      <c r="Q171" s="104" t="str">
        <f t="shared" si="39"/>
        <v/>
      </c>
      <c r="R171" s="105" t="str">
        <f t="shared" si="40"/>
        <v/>
      </c>
      <c r="S171" s="53">
        <v>0</v>
      </c>
      <c r="T171" s="104" t="str">
        <f t="shared" si="41"/>
        <v/>
      </c>
      <c r="U171" s="105" t="str">
        <f t="shared" si="42"/>
        <v/>
      </c>
      <c r="V171" s="53">
        <v>0</v>
      </c>
      <c r="W171" s="88" t="str">
        <f t="shared" si="43"/>
        <v/>
      </c>
      <c r="X171" s="105" t="str">
        <f t="shared" si="44"/>
        <v/>
      </c>
      <c r="Y171" s="53">
        <v>0</v>
      </c>
      <c r="Z171" s="56" t="str">
        <f t="shared" si="45"/>
        <v/>
      </c>
      <c r="AA171" s="56" t="str">
        <f t="shared" si="46"/>
        <v/>
      </c>
      <c r="AB171" s="56" t="str">
        <f t="shared" si="47"/>
        <v/>
      </c>
      <c r="AC171" s="56" t="str">
        <f t="shared" si="48"/>
        <v/>
      </c>
      <c r="AD171" s="56" t="str">
        <f t="shared" si="49"/>
        <v/>
      </c>
      <c r="AE171" s="40"/>
      <c r="AF171" s="40"/>
      <c r="AG171" s="40"/>
      <c r="AH171" s="56" t="str">
        <f t="shared" si="50"/>
        <v/>
      </c>
      <c r="AI171" s="54"/>
      <c r="AJ171" s="54"/>
      <c r="AK171" s="54"/>
      <c r="AL171" s="54"/>
      <c r="AM171" s="54"/>
    </row>
    <row r="172" spans="1:39">
      <c r="A172" s="96"/>
      <c r="B172" s="45" t="str" cm="1">
        <f t="array" ref="B172">IF(H172="PROJECT", CHAR(10) &amp; "- " &amp; _xlfn.TEXTJOIN(CHAR(10) &amp; "- ", TRUE, _xlfn._xlws.FILTER($I$9:$I$1000, ($C$9:$C$1000=C172) * ($H$9:$H$1000="Topic"))), "")</f>
        <v/>
      </c>
      <c r="C172" s="45">
        <f t="shared" si="34"/>
        <v>132</v>
      </c>
      <c r="D172" s="57"/>
      <c r="E172" s="58"/>
      <c r="F172" s="54"/>
      <c r="G172" s="52"/>
      <c r="H172" s="52"/>
      <c r="I172" s="61"/>
      <c r="J172" s="62"/>
      <c r="K172" s="103" t="str">
        <f t="shared" si="35"/>
        <v/>
      </c>
      <c r="L172" s="105" t="str">
        <f t="shared" si="36"/>
        <v/>
      </c>
      <c r="M172" s="52">
        <v>0</v>
      </c>
      <c r="N172" s="104" t="str">
        <f t="shared" si="37"/>
        <v/>
      </c>
      <c r="O172" s="105" t="str">
        <f t="shared" si="38"/>
        <v/>
      </c>
      <c r="P172" s="52">
        <v>0</v>
      </c>
      <c r="Q172" s="104" t="str">
        <f t="shared" si="39"/>
        <v/>
      </c>
      <c r="R172" s="105" t="str">
        <f t="shared" si="40"/>
        <v/>
      </c>
      <c r="S172" s="52">
        <v>0</v>
      </c>
      <c r="T172" s="104" t="str">
        <f t="shared" si="41"/>
        <v/>
      </c>
      <c r="U172" s="105" t="str">
        <f t="shared" si="42"/>
        <v/>
      </c>
      <c r="V172" s="52">
        <v>0</v>
      </c>
      <c r="W172" s="88" t="str">
        <f t="shared" si="43"/>
        <v/>
      </c>
      <c r="X172" s="105" t="str">
        <f t="shared" si="44"/>
        <v/>
      </c>
      <c r="Y172" s="52">
        <v>0</v>
      </c>
      <c r="Z172" s="56" t="str">
        <f t="shared" si="45"/>
        <v/>
      </c>
      <c r="AA172" s="56" t="str">
        <f t="shared" si="46"/>
        <v/>
      </c>
      <c r="AB172" s="56" t="str">
        <f t="shared" si="47"/>
        <v/>
      </c>
      <c r="AC172" s="56" t="str">
        <f t="shared" si="48"/>
        <v/>
      </c>
      <c r="AD172" s="56" t="str">
        <f t="shared" si="49"/>
        <v/>
      </c>
      <c r="AE172" s="40"/>
      <c r="AF172" s="40"/>
      <c r="AG172" s="40"/>
      <c r="AH172" s="56" t="str">
        <f t="shared" si="50"/>
        <v/>
      </c>
      <c r="AI172" s="54"/>
      <c r="AJ172" s="54"/>
      <c r="AK172" s="54"/>
      <c r="AL172" s="54"/>
      <c r="AM172" s="54"/>
    </row>
    <row r="173" spans="1:39">
      <c r="A173" s="96"/>
      <c r="B173" s="45" t="str" cm="1">
        <f t="array" ref="B173">IF(H173="PROJECT", CHAR(10) &amp; "- " &amp; _xlfn.TEXTJOIN(CHAR(10) &amp; "- ", TRUE, _xlfn._xlws.FILTER($I$9:$I$1000, ($C$9:$C$1000=C173) * ($H$9:$H$1000="Topic"))), "")</f>
        <v/>
      </c>
      <c r="C173" s="45">
        <f t="shared" si="34"/>
        <v>133</v>
      </c>
      <c r="D173" s="46"/>
      <c r="E173" s="58"/>
      <c r="F173" s="67"/>
      <c r="G173" s="53"/>
      <c r="H173" s="53"/>
      <c r="I173" s="50"/>
      <c r="J173" s="51"/>
      <c r="K173" s="103" t="str">
        <f t="shared" si="35"/>
        <v/>
      </c>
      <c r="L173" s="105" t="str">
        <f t="shared" si="36"/>
        <v/>
      </c>
      <c r="M173" s="53">
        <v>0</v>
      </c>
      <c r="N173" s="104" t="str">
        <f t="shared" si="37"/>
        <v/>
      </c>
      <c r="O173" s="105" t="str">
        <f t="shared" si="38"/>
        <v/>
      </c>
      <c r="P173" s="53">
        <v>0</v>
      </c>
      <c r="Q173" s="104" t="str">
        <f t="shared" si="39"/>
        <v/>
      </c>
      <c r="R173" s="105" t="str">
        <f t="shared" si="40"/>
        <v/>
      </c>
      <c r="S173" s="53">
        <v>0</v>
      </c>
      <c r="T173" s="104" t="str">
        <f t="shared" si="41"/>
        <v/>
      </c>
      <c r="U173" s="105" t="str">
        <f t="shared" si="42"/>
        <v/>
      </c>
      <c r="V173" s="53">
        <v>0</v>
      </c>
      <c r="W173" s="88" t="str">
        <f t="shared" si="43"/>
        <v/>
      </c>
      <c r="X173" s="105" t="str">
        <f t="shared" si="44"/>
        <v/>
      </c>
      <c r="Y173" s="53">
        <v>0</v>
      </c>
      <c r="Z173" s="56" t="str">
        <f t="shared" si="45"/>
        <v/>
      </c>
      <c r="AA173" s="56" t="str">
        <f t="shared" si="46"/>
        <v/>
      </c>
      <c r="AB173" s="56" t="str">
        <f t="shared" si="47"/>
        <v/>
      </c>
      <c r="AC173" s="56" t="str">
        <f t="shared" si="48"/>
        <v/>
      </c>
      <c r="AD173" s="56" t="str">
        <f t="shared" si="49"/>
        <v/>
      </c>
      <c r="AE173" s="40"/>
      <c r="AF173" s="40"/>
      <c r="AG173" s="40"/>
      <c r="AH173" s="56" t="str">
        <f t="shared" si="50"/>
        <v/>
      </c>
      <c r="AI173" s="54"/>
      <c r="AJ173" s="54"/>
      <c r="AK173" s="54"/>
      <c r="AL173" s="54"/>
      <c r="AM173" s="54"/>
    </row>
    <row r="174" spans="1:39">
      <c r="A174" s="96"/>
      <c r="B174" s="45" t="str" cm="1">
        <f t="array" ref="B174">IF(H174="PROJECT", CHAR(10) &amp; "- " &amp; _xlfn.TEXTJOIN(CHAR(10) &amp; "- ", TRUE, _xlfn._xlws.FILTER($I$9:$I$1000, ($C$9:$C$1000=C174) * ($H$9:$H$1000="Topic"))), "")</f>
        <v/>
      </c>
      <c r="C174" s="45">
        <f t="shared" si="34"/>
        <v>134</v>
      </c>
      <c r="D174" s="57"/>
      <c r="E174" s="58"/>
      <c r="F174" s="54"/>
      <c r="G174" s="52"/>
      <c r="H174" s="52"/>
      <c r="I174" s="61"/>
      <c r="J174" s="62"/>
      <c r="K174" s="103" t="str">
        <f t="shared" si="35"/>
        <v/>
      </c>
      <c r="L174" s="105" t="str">
        <f t="shared" si="36"/>
        <v/>
      </c>
      <c r="M174" s="52">
        <v>0</v>
      </c>
      <c r="N174" s="104" t="str">
        <f t="shared" si="37"/>
        <v/>
      </c>
      <c r="O174" s="105" t="str">
        <f t="shared" si="38"/>
        <v/>
      </c>
      <c r="P174" s="52">
        <v>0</v>
      </c>
      <c r="Q174" s="104" t="str">
        <f t="shared" si="39"/>
        <v/>
      </c>
      <c r="R174" s="105" t="str">
        <f t="shared" si="40"/>
        <v/>
      </c>
      <c r="S174" s="52">
        <v>0</v>
      </c>
      <c r="T174" s="104" t="str">
        <f t="shared" si="41"/>
        <v/>
      </c>
      <c r="U174" s="105" t="str">
        <f t="shared" si="42"/>
        <v/>
      </c>
      <c r="V174" s="52">
        <v>0</v>
      </c>
      <c r="W174" s="88" t="str">
        <f t="shared" si="43"/>
        <v/>
      </c>
      <c r="X174" s="105" t="str">
        <f t="shared" si="44"/>
        <v/>
      </c>
      <c r="Y174" s="52">
        <v>0</v>
      </c>
      <c r="Z174" s="56" t="str">
        <f t="shared" si="45"/>
        <v/>
      </c>
      <c r="AA174" s="56" t="str">
        <f t="shared" si="46"/>
        <v/>
      </c>
      <c r="AB174" s="56" t="str">
        <f t="shared" si="47"/>
        <v/>
      </c>
      <c r="AC174" s="56" t="str">
        <f t="shared" si="48"/>
        <v/>
      </c>
      <c r="AD174" s="56" t="str">
        <f t="shared" si="49"/>
        <v/>
      </c>
      <c r="AE174" s="40"/>
      <c r="AF174" s="40"/>
      <c r="AG174" s="40"/>
      <c r="AH174" s="56" t="str">
        <f t="shared" si="50"/>
        <v/>
      </c>
      <c r="AI174" s="54"/>
      <c r="AJ174" s="54"/>
      <c r="AK174" s="54"/>
      <c r="AL174" s="54"/>
      <c r="AM174" s="54"/>
    </row>
    <row r="175" spans="1:39">
      <c r="A175" s="96"/>
      <c r="B175" s="45" t="str" cm="1">
        <f t="array" ref="B175">IF(H175="PROJECT", CHAR(10) &amp; "- " &amp; _xlfn.TEXTJOIN(CHAR(10) &amp; "- ", TRUE, _xlfn._xlws.FILTER($I$9:$I$1000, ($C$9:$C$1000=C175) * ($H$9:$H$1000="Topic"))), "")</f>
        <v/>
      </c>
      <c r="C175" s="45">
        <f t="shared" si="34"/>
        <v>135</v>
      </c>
      <c r="D175" s="46"/>
      <c r="E175" s="58"/>
      <c r="F175" s="67"/>
      <c r="G175" s="53"/>
      <c r="H175" s="53"/>
      <c r="I175" s="50"/>
      <c r="J175" s="51"/>
      <c r="K175" s="103" t="str">
        <f t="shared" si="35"/>
        <v/>
      </c>
      <c r="L175" s="105" t="str">
        <f t="shared" si="36"/>
        <v/>
      </c>
      <c r="M175" s="53">
        <v>0</v>
      </c>
      <c r="N175" s="104" t="str">
        <f t="shared" si="37"/>
        <v/>
      </c>
      <c r="O175" s="105" t="str">
        <f t="shared" si="38"/>
        <v/>
      </c>
      <c r="P175" s="53">
        <v>0</v>
      </c>
      <c r="Q175" s="104" t="str">
        <f t="shared" si="39"/>
        <v/>
      </c>
      <c r="R175" s="105" t="str">
        <f t="shared" si="40"/>
        <v/>
      </c>
      <c r="S175" s="53">
        <v>0</v>
      </c>
      <c r="T175" s="104" t="str">
        <f t="shared" si="41"/>
        <v/>
      </c>
      <c r="U175" s="105" t="str">
        <f t="shared" si="42"/>
        <v/>
      </c>
      <c r="V175" s="53">
        <v>0</v>
      </c>
      <c r="W175" s="88" t="str">
        <f t="shared" si="43"/>
        <v/>
      </c>
      <c r="X175" s="105" t="str">
        <f t="shared" si="44"/>
        <v/>
      </c>
      <c r="Y175" s="53">
        <v>0</v>
      </c>
      <c r="Z175" s="56" t="str">
        <f t="shared" si="45"/>
        <v/>
      </c>
      <c r="AA175" s="56" t="str">
        <f t="shared" si="46"/>
        <v/>
      </c>
      <c r="AB175" s="56" t="str">
        <f t="shared" si="47"/>
        <v/>
      </c>
      <c r="AC175" s="56" t="str">
        <f t="shared" si="48"/>
        <v/>
      </c>
      <c r="AD175" s="56" t="str">
        <f t="shared" si="49"/>
        <v/>
      </c>
      <c r="AE175" s="40"/>
      <c r="AF175" s="40"/>
      <c r="AG175" s="40"/>
      <c r="AH175" s="56" t="str">
        <f t="shared" si="50"/>
        <v/>
      </c>
      <c r="AI175" s="54"/>
      <c r="AJ175" s="54"/>
      <c r="AK175" s="54"/>
      <c r="AL175" s="54"/>
      <c r="AM175" s="54"/>
    </row>
    <row r="176" spans="1:39">
      <c r="A176" s="96"/>
      <c r="B176" s="45" t="str" cm="1">
        <f t="array" ref="B176">IF(H176="PROJECT", CHAR(10) &amp; "- " &amp; _xlfn.TEXTJOIN(CHAR(10) &amp; "- ", TRUE, _xlfn._xlws.FILTER($I$9:$I$1000, ($C$9:$C$1000=C176) * ($H$9:$H$1000="Topic"))), "")</f>
        <v/>
      </c>
      <c r="C176" s="45">
        <f t="shared" si="34"/>
        <v>136</v>
      </c>
      <c r="D176" s="57"/>
      <c r="E176" s="58"/>
      <c r="F176" s="54"/>
      <c r="G176" s="52"/>
      <c r="H176" s="52"/>
      <c r="I176" s="61"/>
      <c r="J176" s="62"/>
      <c r="K176" s="103" t="str">
        <f t="shared" si="35"/>
        <v/>
      </c>
      <c r="L176" s="105" t="str">
        <f t="shared" si="36"/>
        <v/>
      </c>
      <c r="M176" s="52">
        <v>0</v>
      </c>
      <c r="N176" s="104" t="str">
        <f t="shared" si="37"/>
        <v/>
      </c>
      <c r="O176" s="105" t="str">
        <f t="shared" si="38"/>
        <v/>
      </c>
      <c r="P176" s="52">
        <v>0</v>
      </c>
      <c r="Q176" s="104" t="str">
        <f t="shared" si="39"/>
        <v/>
      </c>
      <c r="R176" s="105" t="str">
        <f t="shared" si="40"/>
        <v/>
      </c>
      <c r="S176" s="52">
        <v>0</v>
      </c>
      <c r="T176" s="104" t="str">
        <f t="shared" si="41"/>
        <v/>
      </c>
      <c r="U176" s="105" t="str">
        <f t="shared" si="42"/>
        <v/>
      </c>
      <c r="V176" s="52">
        <v>0</v>
      </c>
      <c r="W176" s="88" t="str">
        <f t="shared" si="43"/>
        <v/>
      </c>
      <c r="X176" s="105" t="str">
        <f t="shared" si="44"/>
        <v/>
      </c>
      <c r="Y176" s="52">
        <v>0</v>
      </c>
      <c r="Z176" s="56" t="str">
        <f t="shared" si="45"/>
        <v/>
      </c>
      <c r="AA176" s="56" t="str">
        <f t="shared" si="46"/>
        <v/>
      </c>
      <c r="AB176" s="56" t="str">
        <f t="shared" si="47"/>
        <v/>
      </c>
      <c r="AC176" s="56" t="str">
        <f t="shared" si="48"/>
        <v/>
      </c>
      <c r="AD176" s="56" t="str">
        <f t="shared" si="49"/>
        <v/>
      </c>
      <c r="AE176" s="40"/>
      <c r="AF176" s="40"/>
      <c r="AG176" s="40"/>
      <c r="AH176" s="56" t="str">
        <f t="shared" si="50"/>
        <v/>
      </c>
      <c r="AI176" s="54"/>
      <c r="AJ176" s="54"/>
      <c r="AK176" s="54"/>
      <c r="AL176" s="54"/>
      <c r="AM176" s="54"/>
    </row>
    <row r="177" spans="1:39">
      <c r="A177" s="96"/>
      <c r="B177" s="45" t="str" cm="1">
        <f t="array" ref="B177">IF(H177="PROJECT", CHAR(10) &amp; "- " &amp; _xlfn.TEXTJOIN(CHAR(10) &amp; "- ", TRUE, _xlfn._xlws.FILTER($I$9:$I$1000, ($C$9:$C$1000=C177) * ($H$9:$H$1000="Topic"))), "")</f>
        <v/>
      </c>
      <c r="C177" s="45">
        <f t="shared" si="34"/>
        <v>137</v>
      </c>
      <c r="D177" s="46"/>
      <c r="E177" s="58"/>
      <c r="F177" s="67"/>
      <c r="G177" s="53"/>
      <c r="H177" s="53"/>
      <c r="I177" s="50"/>
      <c r="J177" s="51"/>
      <c r="K177" s="103" t="str">
        <f t="shared" si="35"/>
        <v/>
      </c>
      <c r="L177" s="105" t="str">
        <f t="shared" si="36"/>
        <v/>
      </c>
      <c r="M177" s="53">
        <v>0</v>
      </c>
      <c r="N177" s="104" t="str">
        <f t="shared" si="37"/>
        <v/>
      </c>
      <c r="O177" s="105" t="str">
        <f t="shared" si="38"/>
        <v/>
      </c>
      <c r="P177" s="53">
        <v>0</v>
      </c>
      <c r="Q177" s="104" t="str">
        <f t="shared" si="39"/>
        <v/>
      </c>
      <c r="R177" s="105" t="str">
        <f t="shared" si="40"/>
        <v/>
      </c>
      <c r="S177" s="53">
        <v>0</v>
      </c>
      <c r="T177" s="104" t="str">
        <f t="shared" si="41"/>
        <v/>
      </c>
      <c r="U177" s="105" t="str">
        <f t="shared" si="42"/>
        <v/>
      </c>
      <c r="V177" s="53">
        <v>0</v>
      </c>
      <c r="W177" s="88" t="str">
        <f t="shared" si="43"/>
        <v/>
      </c>
      <c r="X177" s="105" t="str">
        <f t="shared" si="44"/>
        <v/>
      </c>
      <c r="Y177" s="53">
        <v>0</v>
      </c>
      <c r="Z177" s="56" t="str">
        <f t="shared" si="45"/>
        <v/>
      </c>
      <c r="AA177" s="56" t="str">
        <f t="shared" si="46"/>
        <v/>
      </c>
      <c r="AB177" s="56" t="str">
        <f t="shared" si="47"/>
        <v/>
      </c>
      <c r="AC177" s="56" t="str">
        <f t="shared" si="48"/>
        <v/>
      </c>
      <c r="AD177" s="56" t="str">
        <f t="shared" si="49"/>
        <v/>
      </c>
      <c r="AE177" s="40"/>
      <c r="AF177" s="40"/>
      <c r="AG177" s="40"/>
      <c r="AH177" s="56" t="str">
        <f t="shared" si="50"/>
        <v/>
      </c>
      <c r="AI177" s="54"/>
      <c r="AJ177" s="54"/>
      <c r="AK177" s="54"/>
      <c r="AL177" s="54"/>
      <c r="AM177" s="54"/>
    </row>
    <row r="178" spans="1:39">
      <c r="A178" s="96"/>
      <c r="B178" s="45" t="str" cm="1">
        <f t="array" ref="B178">IF(H178="PROJECT", CHAR(10) &amp; "- " &amp; _xlfn.TEXTJOIN(CHAR(10) &amp; "- ", TRUE, _xlfn._xlws.FILTER($I$9:$I$1000, ($C$9:$C$1000=C178) * ($H$9:$H$1000="Topic"))), "")</f>
        <v/>
      </c>
      <c r="C178" s="45">
        <f t="shared" si="34"/>
        <v>138</v>
      </c>
      <c r="D178" s="57"/>
      <c r="E178" s="58"/>
      <c r="F178" s="54"/>
      <c r="G178" s="52"/>
      <c r="H178" s="52"/>
      <c r="I178" s="61"/>
      <c r="J178" s="62"/>
      <c r="K178" s="103" t="str">
        <f t="shared" si="35"/>
        <v/>
      </c>
      <c r="L178" s="105" t="str">
        <f t="shared" si="36"/>
        <v/>
      </c>
      <c r="M178" s="52">
        <v>0</v>
      </c>
      <c r="N178" s="104" t="str">
        <f t="shared" si="37"/>
        <v/>
      </c>
      <c r="O178" s="105" t="str">
        <f t="shared" si="38"/>
        <v/>
      </c>
      <c r="P178" s="52">
        <v>0</v>
      </c>
      <c r="Q178" s="104" t="str">
        <f t="shared" si="39"/>
        <v/>
      </c>
      <c r="R178" s="105" t="str">
        <f t="shared" si="40"/>
        <v/>
      </c>
      <c r="S178" s="52">
        <v>0</v>
      </c>
      <c r="T178" s="104" t="str">
        <f t="shared" si="41"/>
        <v/>
      </c>
      <c r="U178" s="105" t="str">
        <f t="shared" si="42"/>
        <v/>
      </c>
      <c r="V178" s="52">
        <v>0</v>
      </c>
      <c r="W178" s="88" t="str">
        <f t="shared" si="43"/>
        <v/>
      </c>
      <c r="X178" s="105" t="str">
        <f t="shared" si="44"/>
        <v/>
      </c>
      <c r="Y178" s="52">
        <v>0</v>
      </c>
      <c r="Z178" s="56" t="str">
        <f t="shared" si="45"/>
        <v/>
      </c>
      <c r="AA178" s="56" t="str">
        <f t="shared" si="46"/>
        <v/>
      </c>
      <c r="AB178" s="56" t="str">
        <f t="shared" si="47"/>
        <v/>
      </c>
      <c r="AC178" s="56" t="str">
        <f t="shared" si="48"/>
        <v/>
      </c>
      <c r="AD178" s="56" t="str">
        <f t="shared" si="49"/>
        <v/>
      </c>
      <c r="AE178" s="40"/>
      <c r="AF178" s="40"/>
      <c r="AG178" s="40"/>
      <c r="AH178" s="56" t="str">
        <f t="shared" si="50"/>
        <v/>
      </c>
      <c r="AI178" s="54"/>
      <c r="AJ178" s="54"/>
      <c r="AK178" s="54"/>
      <c r="AL178" s="54"/>
      <c r="AM178" s="54"/>
    </row>
    <row r="179" spans="1:39">
      <c r="A179" s="96"/>
      <c r="B179" s="45" t="str" cm="1">
        <f t="array" ref="B179">IF(H179="PROJECT", CHAR(10) &amp; "- " &amp; _xlfn.TEXTJOIN(CHAR(10) &amp; "- ", TRUE, _xlfn._xlws.FILTER($I$9:$I$1000, ($C$9:$C$1000=C179) * ($H$9:$H$1000="Topic"))), "")</f>
        <v/>
      </c>
      <c r="C179" s="45">
        <f t="shared" si="34"/>
        <v>139</v>
      </c>
      <c r="D179" s="46"/>
      <c r="E179" s="58"/>
      <c r="F179" s="67"/>
      <c r="G179" s="53"/>
      <c r="H179" s="53"/>
      <c r="I179" s="50"/>
      <c r="J179" s="51"/>
      <c r="K179" s="103" t="str">
        <f t="shared" si="35"/>
        <v/>
      </c>
      <c r="L179" s="105" t="str">
        <f t="shared" si="36"/>
        <v/>
      </c>
      <c r="M179" s="53">
        <v>0</v>
      </c>
      <c r="N179" s="104" t="str">
        <f t="shared" si="37"/>
        <v/>
      </c>
      <c r="O179" s="105" t="str">
        <f t="shared" si="38"/>
        <v/>
      </c>
      <c r="P179" s="53">
        <v>0</v>
      </c>
      <c r="Q179" s="104" t="str">
        <f t="shared" si="39"/>
        <v/>
      </c>
      <c r="R179" s="105" t="str">
        <f t="shared" si="40"/>
        <v/>
      </c>
      <c r="S179" s="53">
        <v>0</v>
      </c>
      <c r="T179" s="104" t="str">
        <f t="shared" si="41"/>
        <v/>
      </c>
      <c r="U179" s="105" t="str">
        <f t="shared" si="42"/>
        <v/>
      </c>
      <c r="V179" s="53">
        <v>0</v>
      </c>
      <c r="W179" s="88" t="str">
        <f t="shared" si="43"/>
        <v/>
      </c>
      <c r="X179" s="105" t="str">
        <f t="shared" si="44"/>
        <v/>
      </c>
      <c r="Y179" s="53">
        <v>0</v>
      </c>
      <c r="Z179" s="56" t="str">
        <f t="shared" si="45"/>
        <v/>
      </c>
      <c r="AA179" s="56" t="str">
        <f t="shared" si="46"/>
        <v/>
      </c>
      <c r="AB179" s="56" t="str">
        <f t="shared" si="47"/>
        <v/>
      </c>
      <c r="AC179" s="56" t="str">
        <f t="shared" si="48"/>
        <v/>
      </c>
      <c r="AD179" s="56" t="str">
        <f t="shared" si="49"/>
        <v/>
      </c>
      <c r="AE179" s="40"/>
      <c r="AF179" s="40"/>
      <c r="AG179" s="40"/>
      <c r="AH179" s="56" t="str">
        <f t="shared" si="50"/>
        <v/>
      </c>
      <c r="AI179" s="54"/>
      <c r="AJ179" s="54"/>
      <c r="AK179" s="54"/>
      <c r="AL179" s="54"/>
      <c r="AM179" s="54"/>
    </row>
    <row r="180" spans="1:39">
      <c r="A180" s="96"/>
      <c r="B180" s="45" t="str" cm="1">
        <f t="array" ref="B180">IF(H180="PROJECT", CHAR(10) &amp; "- " &amp; _xlfn.TEXTJOIN(CHAR(10) &amp; "- ", TRUE, _xlfn._xlws.FILTER($I$9:$I$1000, ($C$9:$C$1000=C180) * ($H$9:$H$1000="Topic"))), "")</f>
        <v/>
      </c>
      <c r="C180" s="45">
        <f t="shared" si="34"/>
        <v>140</v>
      </c>
      <c r="D180" s="57"/>
      <c r="E180" s="58"/>
      <c r="F180" s="54"/>
      <c r="G180" s="52"/>
      <c r="H180" s="52"/>
      <c r="I180" s="61"/>
      <c r="J180" s="62"/>
      <c r="K180" s="103" t="str">
        <f t="shared" si="35"/>
        <v/>
      </c>
      <c r="L180" s="105" t="str">
        <f t="shared" si="36"/>
        <v/>
      </c>
      <c r="M180" s="52">
        <v>0</v>
      </c>
      <c r="N180" s="104" t="str">
        <f t="shared" si="37"/>
        <v/>
      </c>
      <c r="O180" s="105" t="str">
        <f t="shared" si="38"/>
        <v/>
      </c>
      <c r="P180" s="52">
        <v>0</v>
      </c>
      <c r="Q180" s="104" t="str">
        <f t="shared" si="39"/>
        <v/>
      </c>
      <c r="R180" s="105" t="str">
        <f t="shared" si="40"/>
        <v/>
      </c>
      <c r="S180" s="52">
        <v>0</v>
      </c>
      <c r="T180" s="104" t="str">
        <f t="shared" si="41"/>
        <v/>
      </c>
      <c r="U180" s="105" t="str">
        <f t="shared" si="42"/>
        <v/>
      </c>
      <c r="V180" s="52">
        <v>0</v>
      </c>
      <c r="W180" s="88" t="str">
        <f t="shared" si="43"/>
        <v/>
      </c>
      <c r="X180" s="105" t="str">
        <f t="shared" si="44"/>
        <v/>
      </c>
      <c r="Y180" s="52">
        <v>0</v>
      </c>
      <c r="Z180" s="56" t="str">
        <f t="shared" si="45"/>
        <v/>
      </c>
      <c r="AA180" s="56" t="str">
        <f t="shared" si="46"/>
        <v/>
      </c>
      <c r="AB180" s="56" t="str">
        <f t="shared" si="47"/>
        <v/>
      </c>
      <c r="AC180" s="56" t="str">
        <f t="shared" si="48"/>
        <v/>
      </c>
      <c r="AD180" s="56" t="str">
        <f t="shared" si="49"/>
        <v/>
      </c>
      <c r="AE180" s="40"/>
      <c r="AF180" s="40"/>
      <c r="AG180" s="40"/>
      <c r="AH180" s="56" t="str">
        <f t="shared" si="50"/>
        <v/>
      </c>
      <c r="AI180" s="54"/>
      <c r="AJ180" s="54"/>
      <c r="AK180" s="54"/>
      <c r="AL180" s="54"/>
      <c r="AM180" s="54"/>
    </row>
    <row r="181" spans="1:39">
      <c r="A181" s="96"/>
      <c r="B181" s="45" t="str" cm="1">
        <f t="array" ref="B181">IF(H181="PROJECT", CHAR(10) &amp; "- " &amp; _xlfn.TEXTJOIN(CHAR(10) &amp; "- ", TRUE, _xlfn._xlws.FILTER($I$9:$I$1000, ($C$9:$C$1000=C181) * ($H$9:$H$1000="Topic"))), "")</f>
        <v/>
      </c>
      <c r="C181" s="45">
        <f t="shared" si="34"/>
        <v>141</v>
      </c>
      <c r="D181" s="46"/>
      <c r="E181" s="58"/>
      <c r="F181" s="67"/>
      <c r="G181" s="53"/>
      <c r="H181" s="53"/>
      <c r="I181" s="50"/>
      <c r="J181" s="51"/>
      <c r="K181" s="103" t="str">
        <f t="shared" si="35"/>
        <v/>
      </c>
      <c r="L181" s="105" t="str">
        <f t="shared" si="36"/>
        <v/>
      </c>
      <c r="M181" s="53">
        <v>0</v>
      </c>
      <c r="N181" s="104" t="str">
        <f t="shared" si="37"/>
        <v/>
      </c>
      <c r="O181" s="105" t="str">
        <f t="shared" si="38"/>
        <v/>
      </c>
      <c r="P181" s="53">
        <v>0</v>
      </c>
      <c r="Q181" s="104" t="str">
        <f t="shared" si="39"/>
        <v/>
      </c>
      <c r="R181" s="105" t="str">
        <f t="shared" si="40"/>
        <v/>
      </c>
      <c r="S181" s="53">
        <v>0</v>
      </c>
      <c r="T181" s="104" t="str">
        <f t="shared" si="41"/>
        <v/>
      </c>
      <c r="U181" s="105" t="str">
        <f t="shared" si="42"/>
        <v/>
      </c>
      <c r="V181" s="53">
        <v>0</v>
      </c>
      <c r="W181" s="88" t="str">
        <f t="shared" si="43"/>
        <v/>
      </c>
      <c r="X181" s="105" t="str">
        <f t="shared" si="44"/>
        <v/>
      </c>
      <c r="Y181" s="53">
        <v>0</v>
      </c>
      <c r="Z181" s="56" t="str">
        <f t="shared" si="45"/>
        <v/>
      </c>
      <c r="AA181" s="56" t="str">
        <f t="shared" si="46"/>
        <v/>
      </c>
      <c r="AB181" s="56" t="str">
        <f t="shared" si="47"/>
        <v/>
      </c>
      <c r="AC181" s="56" t="str">
        <f t="shared" si="48"/>
        <v/>
      </c>
      <c r="AD181" s="56" t="str">
        <f t="shared" si="49"/>
        <v/>
      </c>
      <c r="AE181" s="40"/>
      <c r="AF181" s="40"/>
      <c r="AG181" s="40"/>
      <c r="AH181" s="56" t="str">
        <f t="shared" si="50"/>
        <v/>
      </c>
      <c r="AI181" s="54"/>
      <c r="AJ181" s="54"/>
      <c r="AK181" s="54"/>
      <c r="AL181" s="54"/>
      <c r="AM181" s="54"/>
    </row>
    <row r="182" spans="1:39">
      <c r="A182" s="96"/>
      <c r="B182" s="45" t="str" cm="1">
        <f t="array" ref="B182">IF(H182="PROJECT", CHAR(10) &amp; "- " &amp; _xlfn.TEXTJOIN(CHAR(10) &amp; "- ", TRUE, _xlfn._xlws.FILTER($I$9:$I$1000, ($C$9:$C$1000=C182) * ($H$9:$H$1000="Topic"))), "")</f>
        <v/>
      </c>
      <c r="C182" s="45">
        <f t="shared" si="34"/>
        <v>142</v>
      </c>
      <c r="D182" s="57"/>
      <c r="E182" s="58"/>
      <c r="F182" s="54"/>
      <c r="G182" s="52"/>
      <c r="H182" s="52"/>
      <c r="I182" s="61"/>
      <c r="J182" s="62"/>
      <c r="K182" s="103" t="str">
        <f t="shared" si="35"/>
        <v/>
      </c>
      <c r="L182" s="105" t="str">
        <f t="shared" si="36"/>
        <v/>
      </c>
      <c r="M182" s="52">
        <v>0</v>
      </c>
      <c r="N182" s="104" t="str">
        <f t="shared" si="37"/>
        <v/>
      </c>
      <c r="O182" s="105" t="str">
        <f t="shared" si="38"/>
        <v/>
      </c>
      <c r="P182" s="52">
        <v>0</v>
      </c>
      <c r="Q182" s="104" t="str">
        <f t="shared" si="39"/>
        <v/>
      </c>
      <c r="R182" s="105" t="str">
        <f t="shared" si="40"/>
        <v/>
      </c>
      <c r="S182" s="52">
        <v>0</v>
      </c>
      <c r="T182" s="104" t="str">
        <f t="shared" si="41"/>
        <v/>
      </c>
      <c r="U182" s="105" t="str">
        <f t="shared" si="42"/>
        <v/>
      </c>
      <c r="V182" s="52">
        <v>0</v>
      </c>
      <c r="W182" s="88" t="str">
        <f t="shared" si="43"/>
        <v/>
      </c>
      <c r="X182" s="105" t="str">
        <f t="shared" si="44"/>
        <v/>
      </c>
      <c r="Y182" s="52">
        <v>0</v>
      </c>
      <c r="Z182" s="56" t="str">
        <f t="shared" si="45"/>
        <v/>
      </c>
      <c r="AA182" s="56" t="str">
        <f t="shared" si="46"/>
        <v/>
      </c>
      <c r="AB182" s="56" t="str">
        <f t="shared" si="47"/>
        <v/>
      </c>
      <c r="AC182" s="56" t="str">
        <f t="shared" si="48"/>
        <v/>
      </c>
      <c r="AD182" s="56" t="str">
        <f t="shared" si="49"/>
        <v/>
      </c>
      <c r="AE182" s="40"/>
      <c r="AF182" s="40"/>
      <c r="AG182" s="40"/>
      <c r="AH182" s="56" t="str">
        <f t="shared" si="50"/>
        <v/>
      </c>
      <c r="AI182" s="54"/>
      <c r="AJ182" s="54"/>
      <c r="AK182" s="54"/>
      <c r="AL182" s="54"/>
      <c r="AM182" s="54"/>
    </row>
    <row r="183" spans="1:39">
      <c r="A183" s="96"/>
      <c r="B183" s="45" t="str" cm="1">
        <f t="array" ref="B183">IF(H183="PROJECT", CHAR(10) &amp; "- " &amp; _xlfn.TEXTJOIN(CHAR(10) &amp; "- ", TRUE, _xlfn._xlws.FILTER($I$9:$I$1000, ($C$9:$C$1000=C183) * ($H$9:$H$1000="Topic"))), "")</f>
        <v/>
      </c>
      <c r="C183" s="45">
        <f t="shared" si="34"/>
        <v>143</v>
      </c>
      <c r="D183" s="46"/>
      <c r="E183" s="58"/>
      <c r="F183" s="67"/>
      <c r="G183" s="53"/>
      <c r="H183" s="53"/>
      <c r="I183" s="50"/>
      <c r="J183" s="51"/>
      <c r="K183" s="103" t="str">
        <f t="shared" si="35"/>
        <v/>
      </c>
      <c r="L183" s="105" t="str">
        <f t="shared" si="36"/>
        <v/>
      </c>
      <c r="M183" s="53">
        <v>0</v>
      </c>
      <c r="N183" s="104" t="str">
        <f t="shared" si="37"/>
        <v/>
      </c>
      <c r="O183" s="105" t="str">
        <f t="shared" si="38"/>
        <v/>
      </c>
      <c r="P183" s="53">
        <v>0</v>
      </c>
      <c r="Q183" s="104" t="str">
        <f t="shared" si="39"/>
        <v/>
      </c>
      <c r="R183" s="105" t="str">
        <f t="shared" si="40"/>
        <v/>
      </c>
      <c r="S183" s="53">
        <v>0</v>
      </c>
      <c r="T183" s="104" t="str">
        <f t="shared" si="41"/>
        <v/>
      </c>
      <c r="U183" s="105" t="str">
        <f t="shared" si="42"/>
        <v/>
      </c>
      <c r="V183" s="53">
        <v>0</v>
      </c>
      <c r="W183" s="88" t="str">
        <f t="shared" si="43"/>
        <v/>
      </c>
      <c r="X183" s="105" t="str">
        <f t="shared" si="44"/>
        <v/>
      </c>
      <c r="Y183" s="53">
        <v>0</v>
      </c>
      <c r="Z183" s="56" t="str">
        <f t="shared" si="45"/>
        <v/>
      </c>
      <c r="AA183" s="56" t="str">
        <f t="shared" si="46"/>
        <v/>
      </c>
      <c r="AB183" s="56" t="str">
        <f t="shared" si="47"/>
        <v/>
      </c>
      <c r="AC183" s="56" t="str">
        <f t="shared" si="48"/>
        <v/>
      </c>
      <c r="AD183" s="56" t="str">
        <f t="shared" si="49"/>
        <v/>
      </c>
      <c r="AE183" s="40"/>
      <c r="AF183" s="40"/>
      <c r="AG183" s="40"/>
      <c r="AH183" s="56" t="str">
        <f t="shared" si="50"/>
        <v/>
      </c>
      <c r="AI183" s="54"/>
      <c r="AJ183" s="54"/>
      <c r="AK183" s="54"/>
      <c r="AL183" s="54"/>
      <c r="AM183" s="54"/>
    </row>
    <row r="184" spans="1:39">
      <c r="A184" s="96"/>
      <c r="B184" s="45" t="str" cm="1">
        <f t="array" ref="B184">IF(H184="PROJECT", CHAR(10) &amp; "- " &amp; _xlfn.TEXTJOIN(CHAR(10) &amp; "- ", TRUE, _xlfn._xlws.FILTER($I$9:$I$1000, ($C$9:$C$1000=C184) * ($H$9:$H$1000="Topic"))), "")</f>
        <v/>
      </c>
      <c r="C184" s="45">
        <f t="shared" si="34"/>
        <v>144</v>
      </c>
      <c r="D184" s="57"/>
      <c r="E184" s="58"/>
      <c r="F184" s="54"/>
      <c r="G184" s="52"/>
      <c r="H184" s="52"/>
      <c r="I184" s="61"/>
      <c r="J184" s="62"/>
      <c r="K184" s="103" t="str">
        <f t="shared" si="35"/>
        <v/>
      </c>
      <c r="L184" s="105" t="str">
        <f t="shared" si="36"/>
        <v/>
      </c>
      <c r="M184" s="52">
        <v>0</v>
      </c>
      <c r="N184" s="104" t="str">
        <f t="shared" si="37"/>
        <v/>
      </c>
      <c r="O184" s="105" t="str">
        <f t="shared" si="38"/>
        <v/>
      </c>
      <c r="P184" s="52">
        <v>0</v>
      </c>
      <c r="Q184" s="104" t="str">
        <f t="shared" si="39"/>
        <v/>
      </c>
      <c r="R184" s="105" t="str">
        <f t="shared" si="40"/>
        <v/>
      </c>
      <c r="S184" s="52">
        <v>0</v>
      </c>
      <c r="T184" s="104" t="str">
        <f t="shared" si="41"/>
        <v/>
      </c>
      <c r="U184" s="105" t="str">
        <f t="shared" si="42"/>
        <v/>
      </c>
      <c r="V184" s="52">
        <v>0</v>
      </c>
      <c r="W184" s="88" t="str">
        <f t="shared" si="43"/>
        <v/>
      </c>
      <c r="X184" s="105" t="str">
        <f t="shared" si="44"/>
        <v/>
      </c>
      <c r="Y184" s="52">
        <v>0</v>
      </c>
      <c r="Z184" s="56" t="str">
        <f t="shared" si="45"/>
        <v/>
      </c>
      <c r="AA184" s="56" t="str">
        <f t="shared" si="46"/>
        <v/>
      </c>
      <c r="AB184" s="56" t="str">
        <f t="shared" si="47"/>
        <v/>
      </c>
      <c r="AC184" s="56" t="str">
        <f t="shared" si="48"/>
        <v/>
      </c>
      <c r="AD184" s="56" t="str">
        <f t="shared" si="49"/>
        <v/>
      </c>
      <c r="AE184" s="40"/>
      <c r="AF184" s="40"/>
      <c r="AG184" s="40"/>
      <c r="AH184" s="56" t="str">
        <f t="shared" si="50"/>
        <v/>
      </c>
      <c r="AI184" s="54"/>
      <c r="AJ184" s="54"/>
      <c r="AK184" s="54"/>
      <c r="AL184" s="54"/>
      <c r="AM184" s="54"/>
    </row>
    <row r="185" spans="1:39">
      <c r="A185" s="96"/>
      <c r="B185" s="45" t="str" cm="1">
        <f t="array" ref="B185">IF(H185="PROJECT", CHAR(10) &amp; "- " &amp; _xlfn.TEXTJOIN(CHAR(10) &amp; "- ", TRUE, _xlfn._xlws.FILTER($I$9:$I$1000, ($C$9:$C$1000=C185) * ($H$9:$H$1000="Topic"))), "")</f>
        <v/>
      </c>
      <c r="C185" s="45">
        <f t="shared" si="34"/>
        <v>145</v>
      </c>
      <c r="D185" s="46"/>
      <c r="E185" s="58"/>
      <c r="F185" s="67"/>
      <c r="G185" s="53"/>
      <c r="H185" s="53"/>
      <c r="I185" s="50"/>
      <c r="J185" s="51"/>
      <c r="K185" s="103" t="str">
        <f t="shared" si="35"/>
        <v/>
      </c>
      <c r="L185" s="105" t="str">
        <f t="shared" si="36"/>
        <v/>
      </c>
      <c r="M185" s="53">
        <v>0</v>
      </c>
      <c r="N185" s="104" t="str">
        <f t="shared" si="37"/>
        <v/>
      </c>
      <c r="O185" s="105" t="str">
        <f t="shared" si="38"/>
        <v/>
      </c>
      <c r="P185" s="53">
        <v>0</v>
      </c>
      <c r="Q185" s="104" t="str">
        <f t="shared" si="39"/>
        <v/>
      </c>
      <c r="R185" s="105" t="str">
        <f t="shared" si="40"/>
        <v/>
      </c>
      <c r="S185" s="53">
        <v>0</v>
      </c>
      <c r="T185" s="104" t="str">
        <f t="shared" si="41"/>
        <v/>
      </c>
      <c r="U185" s="105" t="str">
        <f t="shared" si="42"/>
        <v/>
      </c>
      <c r="V185" s="53">
        <v>0</v>
      </c>
      <c r="W185" s="88" t="str">
        <f t="shared" si="43"/>
        <v/>
      </c>
      <c r="X185" s="105" t="str">
        <f t="shared" si="44"/>
        <v/>
      </c>
      <c r="Y185" s="53">
        <v>0</v>
      </c>
      <c r="Z185" s="56" t="str">
        <f t="shared" si="45"/>
        <v/>
      </c>
      <c r="AA185" s="56" t="str">
        <f t="shared" si="46"/>
        <v/>
      </c>
      <c r="AB185" s="56" t="str">
        <f t="shared" si="47"/>
        <v/>
      </c>
      <c r="AC185" s="56" t="str">
        <f t="shared" si="48"/>
        <v/>
      </c>
      <c r="AD185" s="56" t="str">
        <f t="shared" si="49"/>
        <v/>
      </c>
      <c r="AE185" s="40"/>
      <c r="AF185" s="40"/>
      <c r="AG185" s="40"/>
      <c r="AH185" s="56" t="str">
        <f t="shared" si="50"/>
        <v/>
      </c>
      <c r="AI185" s="54"/>
      <c r="AJ185" s="54"/>
      <c r="AK185" s="54"/>
      <c r="AL185" s="54"/>
      <c r="AM185" s="54"/>
    </row>
    <row r="186" spans="1:39">
      <c r="A186" s="96"/>
      <c r="B186" s="45" t="str" cm="1">
        <f t="array" ref="B186">IF(H186="PROJECT", CHAR(10) &amp; "- " &amp; _xlfn.TEXTJOIN(CHAR(10) &amp; "- ", TRUE, _xlfn._xlws.FILTER($I$9:$I$1000, ($C$9:$C$1000=C186) * ($H$9:$H$1000="Topic"))), "")</f>
        <v/>
      </c>
      <c r="C186" s="45">
        <f t="shared" si="34"/>
        <v>146</v>
      </c>
      <c r="D186" s="57"/>
      <c r="E186" s="58"/>
      <c r="F186" s="54"/>
      <c r="G186" s="52"/>
      <c r="H186" s="52"/>
      <c r="I186" s="61"/>
      <c r="J186" s="62"/>
      <c r="K186" s="103" t="str">
        <f t="shared" si="35"/>
        <v/>
      </c>
      <c r="L186" s="105" t="str">
        <f t="shared" si="36"/>
        <v/>
      </c>
      <c r="M186" s="52">
        <v>0</v>
      </c>
      <c r="N186" s="104" t="str">
        <f t="shared" si="37"/>
        <v/>
      </c>
      <c r="O186" s="105" t="str">
        <f t="shared" si="38"/>
        <v/>
      </c>
      <c r="P186" s="52">
        <v>0</v>
      </c>
      <c r="Q186" s="104" t="str">
        <f t="shared" si="39"/>
        <v/>
      </c>
      <c r="R186" s="105" t="str">
        <f t="shared" si="40"/>
        <v/>
      </c>
      <c r="S186" s="52">
        <v>0</v>
      </c>
      <c r="T186" s="104" t="str">
        <f t="shared" si="41"/>
        <v/>
      </c>
      <c r="U186" s="105" t="str">
        <f t="shared" si="42"/>
        <v/>
      </c>
      <c r="V186" s="52">
        <v>0</v>
      </c>
      <c r="W186" s="88" t="str">
        <f t="shared" si="43"/>
        <v/>
      </c>
      <c r="X186" s="105" t="str">
        <f t="shared" si="44"/>
        <v/>
      </c>
      <c r="Y186" s="52">
        <v>0</v>
      </c>
      <c r="Z186" s="56" t="str">
        <f t="shared" si="45"/>
        <v/>
      </c>
      <c r="AA186" s="56" t="str">
        <f t="shared" si="46"/>
        <v/>
      </c>
      <c r="AB186" s="56" t="str">
        <f t="shared" si="47"/>
        <v/>
      </c>
      <c r="AC186" s="56" t="str">
        <f t="shared" si="48"/>
        <v/>
      </c>
      <c r="AD186" s="56" t="str">
        <f t="shared" si="49"/>
        <v/>
      </c>
      <c r="AE186" s="40"/>
      <c r="AF186" s="40"/>
      <c r="AG186" s="40"/>
      <c r="AH186" s="56" t="str">
        <f t="shared" si="50"/>
        <v/>
      </c>
      <c r="AI186" s="54"/>
      <c r="AJ186" s="54"/>
      <c r="AK186" s="54"/>
      <c r="AL186" s="54"/>
      <c r="AM186" s="54"/>
    </row>
    <row r="187" spans="1:39">
      <c r="A187" s="96"/>
      <c r="B187" s="45" t="str" cm="1">
        <f t="array" ref="B187">IF(H187="PROJECT", CHAR(10) &amp; "- " &amp; _xlfn.TEXTJOIN(CHAR(10) &amp; "- ", TRUE, _xlfn._xlws.FILTER($I$9:$I$1000, ($C$9:$C$1000=C187) * ($H$9:$H$1000="Topic"))), "")</f>
        <v/>
      </c>
      <c r="C187" s="45">
        <f t="shared" si="34"/>
        <v>147</v>
      </c>
      <c r="D187" s="46"/>
      <c r="E187" s="58"/>
      <c r="F187" s="67"/>
      <c r="G187" s="53"/>
      <c r="H187" s="53"/>
      <c r="I187" s="50"/>
      <c r="J187" s="51"/>
      <c r="K187" s="103" t="str">
        <f t="shared" si="35"/>
        <v/>
      </c>
      <c r="L187" s="105" t="str">
        <f t="shared" si="36"/>
        <v/>
      </c>
      <c r="M187" s="53">
        <v>0</v>
      </c>
      <c r="N187" s="104" t="str">
        <f t="shared" si="37"/>
        <v/>
      </c>
      <c r="O187" s="105" t="str">
        <f t="shared" si="38"/>
        <v/>
      </c>
      <c r="P187" s="53">
        <v>0</v>
      </c>
      <c r="Q187" s="104" t="str">
        <f t="shared" si="39"/>
        <v/>
      </c>
      <c r="R187" s="105" t="str">
        <f t="shared" si="40"/>
        <v/>
      </c>
      <c r="S187" s="53">
        <v>0</v>
      </c>
      <c r="T187" s="104" t="str">
        <f t="shared" si="41"/>
        <v/>
      </c>
      <c r="U187" s="105" t="str">
        <f t="shared" si="42"/>
        <v/>
      </c>
      <c r="V187" s="53">
        <v>0</v>
      </c>
      <c r="W187" s="88" t="str">
        <f t="shared" si="43"/>
        <v/>
      </c>
      <c r="X187" s="105" t="str">
        <f t="shared" si="44"/>
        <v/>
      </c>
      <c r="Y187" s="53">
        <v>0</v>
      </c>
      <c r="Z187" s="56" t="str">
        <f t="shared" si="45"/>
        <v/>
      </c>
      <c r="AA187" s="56" t="str">
        <f t="shared" si="46"/>
        <v/>
      </c>
      <c r="AB187" s="56" t="str">
        <f t="shared" si="47"/>
        <v/>
      </c>
      <c r="AC187" s="56" t="str">
        <f t="shared" si="48"/>
        <v/>
      </c>
      <c r="AD187" s="56" t="str">
        <f t="shared" si="49"/>
        <v/>
      </c>
      <c r="AE187" s="40"/>
      <c r="AF187" s="40"/>
      <c r="AG187" s="40"/>
      <c r="AH187" s="56" t="str">
        <f t="shared" si="50"/>
        <v/>
      </c>
      <c r="AI187" s="54"/>
      <c r="AJ187" s="54"/>
      <c r="AK187" s="54"/>
      <c r="AL187" s="54"/>
      <c r="AM187" s="54"/>
    </row>
    <row r="188" spans="1:39">
      <c r="A188" s="96"/>
      <c r="B188" s="45" t="str" cm="1">
        <f t="array" ref="B188">IF(H188="PROJECT", CHAR(10) &amp; "- " &amp; _xlfn.TEXTJOIN(CHAR(10) &amp; "- ", TRUE, _xlfn._xlws.FILTER($I$9:$I$1000, ($C$9:$C$1000=C188) * ($H$9:$H$1000="Topic"))), "")</f>
        <v/>
      </c>
      <c r="C188" s="45">
        <f t="shared" si="34"/>
        <v>148</v>
      </c>
      <c r="D188" s="57"/>
      <c r="E188" s="58"/>
      <c r="F188" s="54"/>
      <c r="G188" s="52"/>
      <c r="H188" s="52"/>
      <c r="I188" s="61"/>
      <c r="J188" s="62"/>
      <c r="K188" s="103" t="str">
        <f t="shared" si="35"/>
        <v/>
      </c>
      <c r="L188" s="105" t="str">
        <f t="shared" si="36"/>
        <v/>
      </c>
      <c r="M188" s="52">
        <v>0</v>
      </c>
      <c r="N188" s="104" t="str">
        <f t="shared" si="37"/>
        <v/>
      </c>
      <c r="O188" s="105" t="str">
        <f t="shared" si="38"/>
        <v/>
      </c>
      <c r="P188" s="52">
        <v>0</v>
      </c>
      <c r="Q188" s="104" t="str">
        <f t="shared" si="39"/>
        <v/>
      </c>
      <c r="R188" s="105" t="str">
        <f t="shared" si="40"/>
        <v/>
      </c>
      <c r="S188" s="52">
        <v>0</v>
      </c>
      <c r="T188" s="104" t="str">
        <f t="shared" si="41"/>
        <v/>
      </c>
      <c r="U188" s="105" t="str">
        <f t="shared" si="42"/>
        <v/>
      </c>
      <c r="V188" s="52">
        <v>0</v>
      </c>
      <c r="W188" s="88" t="str">
        <f t="shared" si="43"/>
        <v/>
      </c>
      <c r="X188" s="105" t="str">
        <f t="shared" si="44"/>
        <v/>
      </c>
      <c r="Y188" s="52">
        <v>0</v>
      </c>
      <c r="Z188" s="56" t="str">
        <f t="shared" si="45"/>
        <v/>
      </c>
      <c r="AA188" s="56" t="str">
        <f t="shared" si="46"/>
        <v/>
      </c>
      <c r="AB188" s="56" t="str">
        <f t="shared" si="47"/>
        <v/>
      </c>
      <c r="AC188" s="56" t="str">
        <f t="shared" si="48"/>
        <v/>
      </c>
      <c r="AD188" s="56" t="str">
        <f t="shared" si="49"/>
        <v/>
      </c>
      <c r="AE188" s="40"/>
      <c r="AF188" s="40"/>
      <c r="AG188" s="40"/>
      <c r="AH188" s="56" t="str">
        <f t="shared" si="50"/>
        <v/>
      </c>
      <c r="AI188" s="54"/>
      <c r="AJ188" s="54"/>
      <c r="AK188" s="54"/>
      <c r="AL188" s="54"/>
      <c r="AM188" s="54"/>
    </row>
    <row r="189" spans="1:39">
      <c r="A189" s="96"/>
      <c r="B189" s="45" t="str" cm="1">
        <f t="array" ref="B189">IF(H189="PROJECT", CHAR(10) &amp; "- " &amp; _xlfn.TEXTJOIN(CHAR(10) &amp; "- ", TRUE, _xlfn._xlws.FILTER($I$9:$I$1000, ($C$9:$C$1000=C189) * ($H$9:$H$1000="Topic"))), "")</f>
        <v/>
      </c>
      <c r="C189" s="45">
        <f t="shared" si="34"/>
        <v>149</v>
      </c>
      <c r="D189" s="46"/>
      <c r="E189" s="58"/>
      <c r="F189" s="67"/>
      <c r="G189" s="53"/>
      <c r="H189" s="53"/>
      <c r="I189" s="50"/>
      <c r="J189" s="51"/>
      <c r="K189" s="103" t="str">
        <f t="shared" si="35"/>
        <v/>
      </c>
      <c r="L189" s="105" t="str">
        <f t="shared" si="36"/>
        <v/>
      </c>
      <c r="M189" s="53">
        <v>0</v>
      </c>
      <c r="N189" s="104" t="str">
        <f t="shared" si="37"/>
        <v/>
      </c>
      <c r="O189" s="105" t="str">
        <f t="shared" si="38"/>
        <v/>
      </c>
      <c r="P189" s="53">
        <v>0</v>
      </c>
      <c r="Q189" s="104" t="str">
        <f t="shared" si="39"/>
        <v/>
      </c>
      <c r="R189" s="105" t="str">
        <f t="shared" si="40"/>
        <v/>
      </c>
      <c r="S189" s="53">
        <v>0</v>
      </c>
      <c r="T189" s="104" t="str">
        <f t="shared" si="41"/>
        <v/>
      </c>
      <c r="U189" s="105" t="str">
        <f t="shared" si="42"/>
        <v/>
      </c>
      <c r="V189" s="53">
        <v>0</v>
      </c>
      <c r="W189" s="88" t="str">
        <f t="shared" si="43"/>
        <v/>
      </c>
      <c r="X189" s="105" t="str">
        <f t="shared" si="44"/>
        <v/>
      </c>
      <c r="Y189" s="53">
        <v>0</v>
      </c>
      <c r="Z189" s="56" t="str">
        <f t="shared" si="45"/>
        <v/>
      </c>
      <c r="AA189" s="56" t="str">
        <f t="shared" si="46"/>
        <v/>
      </c>
      <c r="AB189" s="56" t="str">
        <f t="shared" si="47"/>
        <v/>
      </c>
      <c r="AC189" s="56" t="str">
        <f t="shared" si="48"/>
        <v/>
      </c>
      <c r="AD189" s="56" t="str">
        <f t="shared" si="49"/>
        <v/>
      </c>
      <c r="AE189" s="40"/>
      <c r="AF189" s="40"/>
      <c r="AG189" s="40"/>
      <c r="AH189" s="56" t="str">
        <f t="shared" si="50"/>
        <v/>
      </c>
      <c r="AI189" s="54"/>
      <c r="AJ189" s="54"/>
      <c r="AK189" s="54"/>
      <c r="AL189" s="54"/>
      <c r="AM189" s="54"/>
    </row>
    <row r="190" spans="1:39">
      <c r="A190" s="96"/>
      <c r="B190" s="45" t="str" cm="1">
        <f t="array" ref="B190">IF(H190="PROJECT", CHAR(10) &amp; "- " &amp; _xlfn.TEXTJOIN(CHAR(10) &amp; "- ", TRUE, _xlfn._xlws.FILTER($I$9:$I$1000, ($C$9:$C$1000=C190) * ($H$9:$H$1000="Topic"))), "")</f>
        <v/>
      </c>
      <c r="C190" s="45">
        <f t="shared" si="34"/>
        <v>150</v>
      </c>
      <c r="D190" s="57"/>
      <c r="E190" s="58"/>
      <c r="F190" s="54"/>
      <c r="G190" s="52"/>
      <c r="H190" s="52"/>
      <c r="I190" s="61"/>
      <c r="J190" s="62"/>
      <c r="K190" s="103" t="str">
        <f t="shared" si="35"/>
        <v/>
      </c>
      <c r="L190" s="105" t="str">
        <f t="shared" si="36"/>
        <v/>
      </c>
      <c r="M190" s="52">
        <v>0</v>
      </c>
      <c r="N190" s="104" t="str">
        <f t="shared" si="37"/>
        <v/>
      </c>
      <c r="O190" s="105" t="str">
        <f t="shared" si="38"/>
        <v/>
      </c>
      <c r="P190" s="52">
        <v>0</v>
      </c>
      <c r="Q190" s="104" t="str">
        <f t="shared" si="39"/>
        <v/>
      </c>
      <c r="R190" s="105" t="str">
        <f t="shared" si="40"/>
        <v/>
      </c>
      <c r="S190" s="52">
        <v>0</v>
      </c>
      <c r="T190" s="104" t="str">
        <f t="shared" si="41"/>
        <v/>
      </c>
      <c r="U190" s="105" t="str">
        <f t="shared" si="42"/>
        <v/>
      </c>
      <c r="V190" s="52">
        <v>0</v>
      </c>
      <c r="W190" s="88" t="str">
        <f t="shared" si="43"/>
        <v/>
      </c>
      <c r="X190" s="105" t="str">
        <f t="shared" si="44"/>
        <v/>
      </c>
      <c r="Y190" s="52">
        <v>0</v>
      </c>
      <c r="Z190" s="56" t="str">
        <f t="shared" si="45"/>
        <v/>
      </c>
      <c r="AA190" s="56" t="str">
        <f t="shared" si="46"/>
        <v/>
      </c>
      <c r="AB190" s="56" t="str">
        <f t="shared" si="47"/>
        <v/>
      </c>
      <c r="AC190" s="56" t="str">
        <f t="shared" si="48"/>
        <v/>
      </c>
      <c r="AD190" s="56" t="str">
        <f t="shared" si="49"/>
        <v/>
      </c>
      <c r="AE190" s="40"/>
      <c r="AF190" s="40"/>
      <c r="AG190" s="40"/>
      <c r="AH190" s="56" t="str">
        <f t="shared" si="50"/>
        <v/>
      </c>
      <c r="AI190" s="54"/>
      <c r="AJ190" s="54"/>
      <c r="AK190" s="54"/>
      <c r="AL190" s="54"/>
      <c r="AM190" s="54"/>
    </row>
    <row r="191" spans="1:39">
      <c r="A191" s="96"/>
      <c r="B191" s="45" t="str" cm="1">
        <f t="array" ref="B191">IF(H191="PROJECT", CHAR(10) &amp; "- " &amp; _xlfn.TEXTJOIN(CHAR(10) &amp; "- ", TRUE, _xlfn._xlws.FILTER($I$9:$I$1000, ($C$9:$C$1000=C191) * ($H$9:$H$1000="Topic"))), "")</f>
        <v/>
      </c>
      <c r="C191" s="45">
        <f t="shared" si="34"/>
        <v>151</v>
      </c>
      <c r="D191" s="46"/>
      <c r="E191" s="58"/>
      <c r="F191" s="67"/>
      <c r="G191" s="53"/>
      <c r="H191" s="53"/>
      <c r="I191" s="50"/>
      <c r="J191" s="51"/>
      <c r="K191" s="103" t="str">
        <f t="shared" si="35"/>
        <v/>
      </c>
      <c r="L191" s="105" t="str">
        <f t="shared" si="36"/>
        <v/>
      </c>
      <c r="M191" s="53">
        <v>0</v>
      </c>
      <c r="N191" s="104" t="str">
        <f t="shared" si="37"/>
        <v/>
      </c>
      <c r="O191" s="105" t="str">
        <f t="shared" si="38"/>
        <v/>
      </c>
      <c r="P191" s="53">
        <v>0</v>
      </c>
      <c r="Q191" s="104" t="str">
        <f t="shared" si="39"/>
        <v/>
      </c>
      <c r="R191" s="105" t="str">
        <f t="shared" si="40"/>
        <v/>
      </c>
      <c r="S191" s="53">
        <v>0</v>
      </c>
      <c r="T191" s="104" t="str">
        <f t="shared" si="41"/>
        <v/>
      </c>
      <c r="U191" s="105" t="str">
        <f t="shared" si="42"/>
        <v/>
      </c>
      <c r="V191" s="53">
        <v>0</v>
      </c>
      <c r="W191" s="88" t="str">
        <f t="shared" si="43"/>
        <v/>
      </c>
      <c r="X191" s="105" t="str">
        <f t="shared" si="44"/>
        <v/>
      </c>
      <c r="Y191" s="53">
        <v>0</v>
      </c>
      <c r="Z191" s="56" t="str">
        <f t="shared" si="45"/>
        <v/>
      </c>
      <c r="AA191" s="56" t="str">
        <f t="shared" si="46"/>
        <v/>
      </c>
      <c r="AB191" s="56" t="str">
        <f t="shared" si="47"/>
        <v/>
      </c>
      <c r="AC191" s="56" t="str">
        <f t="shared" si="48"/>
        <v/>
      </c>
      <c r="AD191" s="56" t="str">
        <f t="shared" si="49"/>
        <v/>
      </c>
      <c r="AE191" s="40"/>
      <c r="AF191" s="40"/>
      <c r="AG191" s="40"/>
      <c r="AH191" s="56" t="str">
        <f t="shared" si="50"/>
        <v/>
      </c>
      <c r="AI191" s="54"/>
      <c r="AJ191" s="54"/>
      <c r="AK191" s="54"/>
      <c r="AL191" s="54"/>
      <c r="AM191" s="54"/>
    </row>
    <row r="192" spans="1:39">
      <c r="A192" s="96"/>
      <c r="B192" s="45" t="str" cm="1">
        <f t="array" ref="B192">IF(H192="PROJECT", CHAR(10) &amp; "- " &amp; _xlfn.TEXTJOIN(CHAR(10) &amp; "- ", TRUE, _xlfn._xlws.FILTER($I$9:$I$1000, ($C$9:$C$1000=C192) * ($H$9:$H$1000="Topic"))), "")</f>
        <v/>
      </c>
      <c r="C192" s="45">
        <f t="shared" si="34"/>
        <v>152</v>
      </c>
      <c r="D192" s="57"/>
      <c r="E192" s="58"/>
      <c r="F192" s="54"/>
      <c r="G192" s="52"/>
      <c r="H192" s="52"/>
      <c r="I192" s="61"/>
      <c r="J192" s="62"/>
      <c r="K192" s="103" t="str">
        <f t="shared" si="35"/>
        <v/>
      </c>
      <c r="L192" s="105" t="str">
        <f t="shared" si="36"/>
        <v/>
      </c>
      <c r="M192" s="52">
        <v>0</v>
      </c>
      <c r="N192" s="104" t="str">
        <f t="shared" si="37"/>
        <v/>
      </c>
      <c r="O192" s="105" t="str">
        <f t="shared" si="38"/>
        <v/>
      </c>
      <c r="P192" s="52">
        <v>0</v>
      </c>
      <c r="Q192" s="104" t="str">
        <f t="shared" si="39"/>
        <v/>
      </c>
      <c r="R192" s="105" t="str">
        <f t="shared" si="40"/>
        <v/>
      </c>
      <c r="S192" s="52">
        <v>0</v>
      </c>
      <c r="T192" s="104" t="str">
        <f t="shared" si="41"/>
        <v/>
      </c>
      <c r="U192" s="105" t="str">
        <f t="shared" si="42"/>
        <v/>
      </c>
      <c r="V192" s="52">
        <v>0</v>
      </c>
      <c r="W192" s="88" t="str">
        <f t="shared" si="43"/>
        <v/>
      </c>
      <c r="X192" s="105" t="str">
        <f t="shared" si="44"/>
        <v/>
      </c>
      <c r="Y192" s="52">
        <v>0</v>
      </c>
      <c r="Z192" s="56" t="str">
        <f t="shared" si="45"/>
        <v/>
      </c>
      <c r="AA192" s="56" t="str">
        <f t="shared" si="46"/>
        <v/>
      </c>
      <c r="AB192" s="56" t="str">
        <f t="shared" si="47"/>
        <v/>
      </c>
      <c r="AC192" s="56" t="str">
        <f t="shared" si="48"/>
        <v/>
      </c>
      <c r="AD192" s="56" t="str">
        <f t="shared" si="49"/>
        <v/>
      </c>
      <c r="AE192" s="40"/>
      <c r="AF192" s="40"/>
      <c r="AG192" s="40"/>
      <c r="AH192" s="56" t="str">
        <f t="shared" si="50"/>
        <v/>
      </c>
      <c r="AI192" s="54"/>
      <c r="AJ192" s="54"/>
      <c r="AK192" s="54"/>
      <c r="AL192" s="54"/>
      <c r="AM192" s="54"/>
    </row>
    <row r="193" spans="1:39">
      <c r="A193" s="96"/>
      <c r="B193" s="45" t="str" cm="1">
        <f t="array" ref="B193">IF(H193="PROJECT", CHAR(10) &amp; "- " &amp; _xlfn.TEXTJOIN(CHAR(10) &amp; "- ", TRUE, _xlfn._xlws.FILTER($I$9:$I$1000, ($C$9:$C$1000=C193) * ($H$9:$H$1000="Topic"))), "")</f>
        <v/>
      </c>
      <c r="C193" s="45">
        <f t="shared" si="34"/>
        <v>153</v>
      </c>
      <c r="D193" s="46"/>
      <c r="E193" s="58"/>
      <c r="F193" s="67"/>
      <c r="G193" s="53"/>
      <c r="H193" s="53"/>
      <c r="I193" s="50"/>
      <c r="J193" s="51"/>
      <c r="K193" s="103" t="str">
        <f t="shared" si="35"/>
        <v/>
      </c>
      <c r="L193" s="105" t="str">
        <f t="shared" si="36"/>
        <v/>
      </c>
      <c r="M193" s="53">
        <v>0</v>
      </c>
      <c r="N193" s="104" t="str">
        <f t="shared" si="37"/>
        <v/>
      </c>
      <c r="O193" s="105" t="str">
        <f t="shared" si="38"/>
        <v/>
      </c>
      <c r="P193" s="53">
        <v>0</v>
      </c>
      <c r="Q193" s="104" t="str">
        <f t="shared" si="39"/>
        <v/>
      </c>
      <c r="R193" s="105" t="str">
        <f t="shared" si="40"/>
        <v/>
      </c>
      <c r="S193" s="53">
        <v>0</v>
      </c>
      <c r="T193" s="104" t="str">
        <f t="shared" si="41"/>
        <v/>
      </c>
      <c r="U193" s="105" t="str">
        <f t="shared" si="42"/>
        <v/>
      </c>
      <c r="V193" s="53">
        <v>0</v>
      </c>
      <c r="W193" s="88" t="str">
        <f t="shared" si="43"/>
        <v/>
      </c>
      <c r="X193" s="105" t="str">
        <f t="shared" si="44"/>
        <v/>
      </c>
      <c r="Y193" s="53">
        <v>0</v>
      </c>
      <c r="Z193" s="56" t="str">
        <f t="shared" si="45"/>
        <v/>
      </c>
      <c r="AA193" s="56" t="str">
        <f t="shared" si="46"/>
        <v/>
      </c>
      <c r="AB193" s="56" t="str">
        <f t="shared" si="47"/>
        <v/>
      </c>
      <c r="AC193" s="56" t="str">
        <f t="shared" si="48"/>
        <v/>
      </c>
      <c r="AD193" s="56" t="str">
        <f t="shared" si="49"/>
        <v/>
      </c>
      <c r="AE193" s="40"/>
      <c r="AF193" s="40"/>
      <c r="AG193" s="40"/>
      <c r="AH193" s="56" t="str">
        <f t="shared" si="50"/>
        <v/>
      </c>
      <c r="AI193" s="54"/>
      <c r="AJ193" s="54"/>
      <c r="AK193" s="54"/>
      <c r="AL193" s="54"/>
      <c r="AM193" s="54"/>
    </row>
    <row r="194" spans="1:39">
      <c r="A194" s="96"/>
      <c r="B194" s="45" t="str" cm="1">
        <f t="array" ref="B194">IF(H194="PROJECT", CHAR(10) &amp; "- " &amp; _xlfn.TEXTJOIN(CHAR(10) &amp; "- ", TRUE, _xlfn._xlws.FILTER($I$9:$I$1000, ($C$9:$C$1000=C194) * ($H$9:$H$1000="Topic"))), "")</f>
        <v/>
      </c>
      <c r="C194" s="45">
        <f t="shared" si="34"/>
        <v>154</v>
      </c>
      <c r="D194" s="57"/>
      <c r="E194" s="58"/>
      <c r="F194" s="54"/>
      <c r="G194" s="52"/>
      <c r="H194" s="52"/>
      <c r="I194" s="61"/>
      <c r="J194" s="62"/>
      <c r="K194" s="103" t="str">
        <f t="shared" si="35"/>
        <v/>
      </c>
      <c r="L194" s="105" t="str">
        <f t="shared" si="36"/>
        <v/>
      </c>
      <c r="M194" s="52">
        <v>0</v>
      </c>
      <c r="N194" s="104" t="str">
        <f t="shared" si="37"/>
        <v/>
      </c>
      <c r="O194" s="105" t="str">
        <f t="shared" si="38"/>
        <v/>
      </c>
      <c r="P194" s="52">
        <v>0</v>
      </c>
      <c r="Q194" s="104" t="str">
        <f t="shared" si="39"/>
        <v/>
      </c>
      <c r="R194" s="105" t="str">
        <f t="shared" si="40"/>
        <v/>
      </c>
      <c r="S194" s="52">
        <v>0</v>
      </c>
      <c r="T194" s="104" t="str">
        <f t="shared" si="41"/>
        <v/>
      </c>
      <c r="U194" s="105" t="str">
        <f t="shared" si="42"/>
        <v/>
      </c>
      <c r="V194" s="52">
        <v>0</v>
      </c>
      <c r="W194" s="88" t="str">
        <f t="shared" si="43"/>
        <v/>
      </c>
      <c r="X194" s="105" t="str">
        <f t="shared" si="44"/>
        <v/>
      </c>
      <c r="Y194" s="52">
        <v>0</v>
      </c>
      <c r="Z194" s="56" t="str">
        <f t="shared" si="45"/>
        <v/>
      </c>
      <c r="AA194" s="56" t="str">
        <f t="shared" si="46"/>
        <v/>
      </c>
      <c r="AB194" s="56" t="str">
        <f t="shared" si="47"/>
        <v/>
      </c>
      <c r="AC194" s="56" t="str">
        <f t="shared" si="48"/>
        <v/>
      </c>
      <c r="AD194" s="56" t="str">
        <f t="shared" si="49"/>
        <v/>
      </c>
      <c r="AE194" s="40"/>
      <c r="AF194" s="40"/>
      <c r="AG194" s="40"/>
      <c r="AH194" s="56" t="str">
        <f t="shared" si="50"/>
        <v/>
      </c>
      <c r="AI194" s="54"/>
      <c r="AJ194" s="54"/>
      <c r="AK194" s="54"/>
      <c r="AL194" s="54"/>
      <c r="AM194" s="54"/>
    </row>
    <row r="195" spans="1:39">
      <c r="A195" s="96"/>
      <c r="B195" s="45" t="str" cm="1">
        <f t="array" ref="B195">IF(H195="PROJECT", CHAR(10) &amp; "- " &amp; _xlfn.TEXTJOIN(CHAR(10) &amp; "- ", TRUE, _xlfn._xlws.FILTER($I$9:$I$1000, ($C$9:$C$1000=C195) * ($H$9:$H$1000="Topic"))), "")</f>
        <v/>
      </c>
      <c r="C195" s="45">
        <f t="shared" si="34"/>
        <v>155</v>
      </c>
      <c r="D195" s="46"/>
      <c r="E195" s="58"/>
      <c r="F195" s="67"/>
      <c r="G195" s="53"/>
      <c r="H195" s="53"/>
      <c r="I195" s="50"/>
      <c r="J195" s="51"/>
      <c r="K195" s="103" t="str">
        <f t="shared" si="35"/>
        <v/>
      </c>
      <c r="L195" s="105" t="str">
        <f t="shared" si="36"/>
        <v/>
      </c>
      <c r="M195" s="53">
        <v>0</v>
      </c>
      <c r="N195" s="104" t="str">
        <f t="shared" si="37"/>
        <v/>
      </c>
      <c r="O195" s="105" t="str">
        <f t="shared" si="38"/>
        <v/>
      </c>
      <c r="P195" s="53">
        <v>0</v>
      </c>
      <c r="Q195" s="104" t="str">
        <f t="shared" si="39"/>
        <v/>
      </c>
      <c r="R195" s="105" t="str">
        <f t="shared" si="40"/>
        <v/>
      </c>
      <c r="S195" s="53">
        <v>0</v>
      </c>
      <c r="T195" s="104" t="str">
        <f t="shared" si="41"/>
        <v/>
      </c>
      <c r="U195" s="105" t="str">
        <f t="shared" si="42"/>
        <v/>
      </c>
      <c r="V195" s="53">
        <v>0</v>
      </c>
      <c r="W195" s="88" t="str">
        <f t="shared" si="43"/>
        <v/>
      </c>
      <c r="X195" s="105" t="str">
        <f t="shared" si="44"/>
        <v/>
      </c>
      <c r="Y195" s="53">
        <v>0</v>
      </c>
      <c r="Z195" s="56" t="str">
        <f t="shared" si="45"/>
        <v/>
      </c>
      <c r="AA195" s="56" t="str">
        <f t="shared" si="46"/>
        <v/>
      </c>
      <c r="AB195" s="56" t="str">
        <f t="shared" si="47"/>
        <v/>
      </c>
      <c r="AC195" s="56" t="str">
        <f t="shared" si="48"/>
        <v/>
      </c>
      <c r="AD195" s="56" t="str">
        <f t="shared" si="49"/>
        <v/>
      </c>
      <c r="AE195" s="40"/>
      <c r="AF195" s="40"/>
      <c r="AG195" s="40"/>
      <c r="AH195" s="56" t="str">
        <f t="shared" si="50"/>
        <v/>
      </c>
      <c r="AI195" s="54"/>
      <c r="AJ195" s="54"/>
      <c r="AK195" s="54"/>
      <c r="AL195" s="54"/>
      <c r="AM195" s="54"/>
    </row>
    <row r="196" spans="1:39">
      <c r="A196" s="96"/>
      <c r="B196" s="45" t="str" cm="1">
        <f t="array" ref="B196">IF(H196="PROJECT", CHAR(10) &amp; "- " &amp; _xlfn.TEXTJOIN(CHAR(10) &amp; "- ", TRUE, _xlfn._xlws.FILTER($I$9:$I$1000, ($C$9:$C$1000=C196) * ($H$9:$H$1000="Topic"))), "")</f>
        <v/>
      </c>
      <c r="C196" s="45">
        <f t="shared" si="34"/>
        <v>156</v>
      </c>
      <c r="D196" s="57"/>
      <c r="E196" s="58"/>
      <c r="F196" s="54"/>
      <c r="G196" s="52"/>
      <c r="H196" s="52"/>
      <c r="I196" s="61"/>
      <c r="J196" s="62"/>
      <c r="K196" s="103" t="str">
        <f t="shared" si="35"/>
        <v/>
      </c>
      <c r="L196" s="105" t="str">
        <f t="shared" si="36"/>
        <v/>
      </c>
      <c r="M196" s="52">
        <v>0</v>
      </c>
      <c r="N196" s="104" t="str">
        <f t="shared" si="37"/>
        <v/>
      </c>
      <c r="O196" s="105" t="str">
        <f t="shared" si="38"/>
        <v/>
      </c>
      <c r="P196" s="52">
        <v>0</v>
      </c>
      <c r="Q196" s="104" t="str">
        <f t="shared" si="39"/>
        <v/>
      </c>
      <c r="R196" s="105" t="str">
        <f t="shared" si="40"/>
        <v/>
      </c>
      <c r="S196" s="52">
        <v>0</v>
      </c>
      <c r="T196" s="104" t="str">
        <f t="shared" si="41"/>
        <v/>
      </c>
      <c r="U196" s="105" t="str">
        <f t="shared" si="42"/>
        <v/>
      </c>
      <c r="V196" s="52">
        <v>0</v>
      </c>
      <c r="W196" s="88" t="str">
        <f t="shared" si="43"/>
        <v/>
      </c>
      <c r="X196" s="105" t="str">
        <f t="shared" si="44"/>
        <v/>
      </c>
      <c r="Y196" s="52">
        <v>0</v>
      </c>
      <c r="Z196" s="56" t="str">
        <f t="shared" si="45"/>
        <v/>
      </c>
      <c r="AA196" s="56" t="str">
        <f t="shared" si="46"/>
        <v/>
      </c>
      <c r="AB196" s="56" t="str">
        <f t="shared" si="47"/>
        <v/>
      </c>
      <c r="AC196" s="56" t="str">
        <f t="shared" si="48"/>
        <v/>
      </c>
      <c r="AD196" s="56" t="str">
        <f t="shared" si="49"/>
        <v/>
      </c>
      <c r="AE196" s="40"/>
      <c r="AF196" s="40"/>
      <c r="AG196" s="40"/>
      <c r="AH196" s="56" t="str">
        <f t="shared" si="50"/>
        <v/>
      </c>
      <c r="AI196" s="54"/>
      <c r="AJ196" s="54"/>
      <c r="AK196" s="54"/>
      <c r="AL196" s="54"/>
      <c r="AM196" s="54"/>
    </row>
    <row r="197" spans="1:39">
      <c r="A197" s="96"/>
      <c r="B197" s="45" t="str" cm="1">
        <f t="array" ref="B197">IF(H197="PROJECT", CHAR(10) &amp; "- " &amp; _xlfn.TEXTJOIN(CHAR(10) &amp; "- ", TRUE, _xlfn._xlws.FILTER($I$9:$I$1000, ($C$9:$C$1000=C197) * ($H$9:$H$1000="Topic"))), "")</f>
        <v/>
      </c>
      <c r="C197" s="45">
        <f t="shared" si="34"/>
        <v>157</v>
      </c>
      <c r="D197" s="46"/>
      <c r="E197" s="58"/>
      <c r="F197" s="67"/>
      <c r="G197" s="53"/>
      <c r="H197" s="53"/>
      <c r="I197" s="50"/>
      <c r="J197" s="51"/>
      <c r="K197" s="103" t="str">
        <f t="shared" si="35"/>
        <v/>
      </c>
      <c r="L197" s="105" t="str">
        <f t="shared" si="36"/>
        <v/>
      </c>
      <c r="M197" s="53">
        <v>0</v>
      </c>
      <c r="N197" s="104" t="str">
        <f t="shared" si="37"/>
        <v/>
      </c>
      <c r="O197" s="105" t="str">
        <f t="shared" si="38"/>
        <v/>
      </c>
      <c r="P197" s="53">
        <v>0</v>
      </c>
      <c r="Q197" s="104" t="str">
        <f t="shared" si="39"/>
        <v/>
      </c>
      <c r="R197" s="105" t="str">
        <f t="shared" si="40"/>
        <v/>
      </c>
      <c r="S197" s="53">
        <v>0</v>
      </c>
      <c r="T197" s="104" t="str">
        <f t="shared" si="41"/>
        <v/>
      </c>
      <c r="U197" s="105" t="str">
        <f t="shared" si="42"/>
        <v/>
      </c>
      <c r="V197" s="53">
        <v>0</v>
      </c>
      <c r="W197" s="88" t="str">
        <f t="shared" si="43"/>
        <v/>
      </c>
      <c r="X197" s="105" t="str">
        <f t="shared" si="44"/>
        <v/>
      </c>
      <c r="Y197" s="53">
        <v>0</v>
      </c>
      <c r="Z197" s="56" t="str">
        <f t="shared" si="45"/>
        <v/>
      </c>
      <c r="AA197" s="56" t="str">
        <f t="shared" si="46"/>
        <v/>
      </c>
      <c r="AB197" s="56" t="str">
        <f t="shared" si="47"/>
        <v/>
      </c>
      <c r="AC197" s="56" t="str">
        <f t="shared" si="48"/>
        <v/>
      </c>
      <c r="AD197" s="56" t="str">
        <f t="shared" si="49"/>
        <v/>
      </c>
      <c r="AE197" s="40"/>
      <c r="AF197" s="40"/>
      <c r="AG197" s="40"/>
      <c r="AH197" s="56" t="str">
        <f t="shared" si="50"/>
        <v/>
      </c>
      <c r="AI197" s="54"/>
      <c r="AJ197" s="54"/>
      <c r="AK197" s="54"/>
      <c r="AL197" s="54"/>
      <c r="AM197" s="54"/>
    </row>
    <row r="198" spans="1:39">
      <c r="A198" s="96"/>
      <c r="B198" s="45" t="str" cm="1">
        <f t="array" ref="B198">IF(H198="PROJECT", CHAR(10) &amp; "- " &amp; _xlfn.TEXTJOIN(CHAR(10) &amp; "- ", TRUE, _xlfn._xlws.FILTER($I$9:$I$1000, ($C$9:$C$1000=C198) * ($H$9:$H$1000="Topic"))), "")</f>
        <v/>
      </c>
      <c r="C198" s="45">
        <f t="shared" si="34"/>
        <v>158</v>
      </c>
      <c r="D198" s="57"/>
      <c r="E198" s="58"/>
      <c r="F198" s="54"/>
      <c r="G198" s="52"/>
      <c r="H198" s="52"/>
      <c r="I198" s="61"/>
      <c r="J198" s="62"/>
      <c r="K198" s="103" t="str">
        <f t="shared" si="35"/>
        <v/>
      </c>
      <c r="L198" s="105" t="str">
        <f t="shared" si="36"/>
        <v/>
      </c>
      <c r="M198" s="52">
        <v>0</v>
      </c>
      <c r="N198" s="104" t="str">
        <f t="shared" si="37"/>
        <v/>
      </c>
      <c r="O198" s="105" t="str">
        <f t="shared" si="38"/>
        <v/>
      </c>
      <c r="P198" s="52">
        <v>0</v>
      </c>
      <c r="Q198" s="104" t="str">
        <f t="shared" si="39"/>
        <v/>
      </c>
      <c r="R198" s="105" t="str">
        <f t="shared" si="40"/>
        <v/>
      </c>
      <c r="S198" s="52">
        <v>0</v>
      </c>
      <c r="T198" s="104" t="str">
        <f t="shared" si="41"/>
        <v/>
      </c>
      <c r="U198" s="105" t="str">
        <f t="shared" si="42"/>
        <v/>
      </c>
      <c r="V198" s="52">
        <v>0</v>
      </c>
      <c r="W198" s="88" t="str">
        <f t="shared" si="43"/>
        <v/>
      </c>
      <c r="X198" s="105" t="str">
        <f t="shared" si="44"/>
        <v/>
      </c>
      <c r="Y198" s="52">
        <v>0</v>
      </c>
      <c r="Z198" s="56" t="str">
        <f t="shared" si="45"/>
        <v/>
      </c>
      <c r="AA198" s="56" t="str">
        <f t="shared" si="46"/>
        <v/>
      </c>
      <c r="AB198" s="56" t="str">
        <f t="shared" si="47"/>
        <v/>
      </c>
      <c r="AC198" s="56" t="str">
        <f t="shared" si="48"/>
        <v/>
      </c>
      <c r="AD198" s="56" t="str">
        <f t="shared" si="49"/>
        <v/>
      </c>
      <c r="AE198" s="40"/>
      <c r="AF198" s="40"/>
      <c r="AG198" s="40"/>
      <c r="AH198" s="56" t="str">
        <f t="shared" si="50"/>
        <v/>
      </c>
      <c r="AI198" s="54"/>
      <c r="AJ198" s="54"/>
      <c r="AK198" s="54"/>
      <c r="AL198" s="54"/>
      <c r="AM198" s="54"/>
    </row>
    <row r="199" spans="1:39">
      <c r="A199" s="96"/>
      <c r="B199" s="45" t="str" cm="1">
        <f t="array" ref="B199">IF(H199="PROJECT", CHAR(10) &amp; "- " &amp; _xlfn.TEXTJOIN(CHAR(10) &amp; "- ", TRUE, _xlfn._xlws.FILTER($I$9:$I$1000, ($C$9:$C$1000=C199) * ($H$9:$H$1000="Topic"))), "")</f>
        <v/>
      </c>
      <c r="C199" s="45">
        <f t="shared" si="34"/>
        <v>159</v>
      </c>
      <c r="D199" s="46"/>
      <c r="E199" s="58"/>
      <c r="F199" s="67"/>
      <c r="G199" s="53"/>
      <c r="H199" s="53"/>
      <c r="I199" s="50"/>
      <c r="J199" s="51"/>
      <c r="K199" s="103" t="str">
        <f t="shared" si="35"/>
        <v/>
      </c>
      <c r="L199" s="105" t="str">
        <f t="shared" si="36"/>
        <v/>
      </c>
      <c r="M199" s="53">
        <v>0</v>
      </c>
      <c r="N199" s="104" t="str">
        <f t="shared" si="37"/>
        <v/>
      </c>
      <c r="O199" s="105" t="str">
        <f t="shared" si="38"/>
        <v/>
      </c>
      <c r="P199" s="53">
        <v>0</v>
      </c>
      <c r="Q199" s="104" t="str">
        <f t="shared" si="39"/>
        <v/>
      </c>
      <c r="R199" s="105" t="str">
        <f t="shared" si="40"/>
        <v/>
      </c>
      <c r="S199" s="53">
        <v>0</v>
      </c>
      <c r="T199" s="104" t="str">
        <f t="shared" si="41"/>
        <v/>
      </c>
      <c r="U199" s="105" t="str">
        <f t="shared" si="42"/>
        <v/>
      </c>
      <c r="V199" s="53">
        <v>0</v>
      </c>
      <c r="W199" s="88" t="str">
        <f t="shared" si="43"/>
        <v/>
      </c>
      <c r="X199" s="105" t="str">
        <f t="shared" si="44"/>
        <v/>
      </c>
      <c r="Y199" s="53">
        <v>0</v>
      </c>
      <c r="Z199" s="56" t="str">
        <f t="shared" si="45"/>
        <v/>
      </c>
      <c r="AA199" s="56" t="str">
        <f t="shared" si="46"/>
        <v/>
      </c>
      <c r="AB199" s="56" t="str">
        <f t="shared" si="47"/>
        <v/>
      </c>
      <c r="AC199" s="56" t="str">
        <f t="shared" si="48"/>
        <v/>
      </c>
      <c r="AD199" s="56" t="str">
        <f t="shared" si="49"/>
        <v/>
      </c>
      <c r="AE199" s="40"/>
      <c r="AF199" s="40"/>
      <c r="AG199" s="40"/>
      <c r="AH199" s="56" t="str">
        <f t="shared" si="50"/>
        <v/>
      </c>
      <c r="AI199" s="54"/>
      <c r="AJ199" s="54"/>
      <c r="AK199" s="54"/>
      <c r="AL199" s="54"/>
      <c r="AM199" s="54"/>
    </row>
    <row r="200" spans="1:39">
      <c r="A200" s="96"/>
      <c r="B200" s="45" t="str" cm="1">
        <f t="array" ref="B200">IF(H200="PROJECT", CHAR(10) &amp; "- " &amp; _xlfn.TEXTJOIN(CHAR(10) &amp; "- ", TRUE, _xlfn._xlws.FILTER($I$9:$I$1000, ($C$9:$C$1000=C200) * ($H$9:$H$1000="Topic"))), "")</f>
        <v/>
      </c>
      <c r="C200" s="45">
        <f t="shared" si="34"/>
        <v>160</v>
      </c>
      <c r="D200" s="68"/>
      <c r="E200" s="58"/>
      <c r="F200" s="54"/>
      <c r="G200" s="69"/>
      <c r="H200" s="69"/>
      <c r="I200" s="70"/>
      <c r="J200" s="71"/>
      <c r="K200" s="103" t="str">
        <f t="shared" si="35"/>
        <v/>
      </c>
      <c r="L200" s="105" t="str">
        <f t="shared" si="36"/>
        <v/>
      </c>
      <c r="M200" s="69">
        <v>0</v>
      </c>
      <c r="N200" s="104" t="str">
        <f t="shared" si="37"/>
        <v/>
      </c>
      <c r="O200" s="105" t="str">
        <f t="shared" si="38"/>
        <v/>
      </c>
      <c r="P200" s="69">
        <v>0</v>
      </c>
      <c r="Q200" s="104" t="str">
        <f t="shared" si="39"/>
        <v/>
      </c>
      <c r="R200" s="105" t="str">
        <f t="shared" si="40"/>
        <v/>
      </c>
      <c r="S200" s="69">
        <v>0</v>
      </c>
      <c r="T200" s="104" t="str">
        <f t="shared" si="41"/>
        <v/>
      </c>
      <c r="U200" s="105" t="str">
        <f t="shared" si="42"/>
        <v/>
      </c>
      <c r="V200" s="69">
        <v>0</v>
      </c>
      <c r="W200" s="88" t="str">
        <f t="shared" si="43"/>
        <v/>
      </c>
      <c r="X200" s="105" t="str">
        <f t="shared" si="44"/>
        <v/>
      </c>
      <c r="Y200" s="69">
        <v>0</v>
      </c>
      <c r="Z200" s="56" t="str">
        <f t="shared" si="45"/>
        <v/>
      </c>
      <c r="AA200" s="56" t="str">
        <f t="shared" si="46"/>
        <v/>
      </c>
      <c r="AB200" s="56" t="str">
        <f t="shared" si="47"/>
        <v/>
      </c>
      <c r="AC200" s="56" t="str">
        <f t="shared" si="48"/>
        <v/>
      </c>
      <c r="AD200" s="56" t="str">
        <f t="shared" si="49"/>
        <v/>
      </c>
      <c r="AE200" s="40"/>
      <c r="AF200" s="40"/>
      <c r="AG200" s="40"/>
      <c r="AH200" s="56" t="str">
        <f t="shared" si="50"/>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5" priority="17" operator="equal">
      <formula>"No"</formula>
    </cfRule>
  </conditionalFormatting>
  <conditionalFormatting sqref="D9:D200 I9:L200">
    <cfRule type="expression" dxfId="84" priority="18">
      <formula>$H9="PROJECT"</formula>
    </cfRule>
  </conditionalFormatting>
  <conditionalFormatting sqref="G9:G200">
    <cfRule type="cellIs" dxfId="83" priority="24" operator="equal">
      <formula>"Beginner"</formula>
    </cfRule>
    <cfRule type="cellIs" dxfId="82" priority="25" operator="equal">
      <formula>"Intermediate"</formula>
    </cfRule>
    <cfRule type="cellIs" dxfId="81" priority="26" operator="equal">
      <formula>"Advanced"</formula>
    </cfRule>
  </conditionalFormatting>
  <conditionalFormatting sqref="H9:H200">
    <cfRule type="cellIs" dxfId="80" priority="23" operator="equal">
      <formula>"PROJECT"</formula>
    </cfRule>
  </conditionalFormatting>
  <conditionalFormatting sqref="K9:L200">
    <cfRule type="expression" dxfId="79" priority="27">
      <formula>M9=1</formula>
    </cfRule>
    <cfRule type="expression" dxfId="78" priority="28">
      <formula>M9=-1</formula>
    </cfRule>
  </conditionalFormatting>
  <conditionalFormatting sqref="N9:O200">
    <cfRule type="expression" dxfId="77" priority="14">
      <formula>$H9="PROJECT"</formula>
    </cfRule>
    <cfRule type="expression" dxfId="76" priority="15">
      <formula>P9=1</formula>
    </cfRule>
    <cfRule type="expression" dxfId="75" priority="16">
      <formula>P9=-1</formula>
    </cfRule>
  </conditionalFormatting>
  <conditionalFormatting sqref="O41:O200">
    <cfRule type="expression" dxfId="74" priority="30">
      <formula>Q41=1</formula>
    </cfRule>
    <cfRule type="expression" dxfId="73" priority="31">
      <formula>Q41=-1</formula>
    </cfRule>
  </conditionalFormatting>
  <conditionalFormatting sqref="Q9:R200">
    <cfRule type="expression" dxfId="72" priority="11">
      <formula>$H9="PROJECT"</formula>
    </cfRule>
    <cfRule type="expression" dxfId="71" priority="12">
      <formula>S9=1</formula>
    </cfRule>
    <cfRule type="expression" dxfId="70" priority="13">
      <formula>S9=-1</formula>
    </cfRule>
  </conditionalFormatting>
  <conditionalFormatting sqref="T9:U200">
    <cfRule type="expression" dxfId="69" priority="6">
      <formula>$H9="PROJECT"</formula>
    </cfRule>
    <cfRule type="expression" dxfId="68" priority="7">
      <formula>V9=1</formula>
    </cfRule>
    <cfRule type="expression" dxfId="67" priority="8">
      <formula>V9=-1</formula>
    </cfRule>
  </conditionalFormatting>
  <conditionalFormatting sqref="U10:U200">
    <cfRule type="expression" dxfId="66" priority="9">
      <formula>W10=1</formula>
    </cfRule>
    <cfRule type="expression" dxfId="65" priority="10">
      <formula>W10=-1</formula>
    </cfRule>
  </conditionalFormatting>
  <conditionalFormatting sqref="W9:X200">
    <cfRule type="expression" dxfId="64" priority="1">
      <formula>$H9="PROJECT"</formula>
    </cfRule>
    <cfRule type="expression" dxfId="63" priority="2">
      <formula>Y9=1</formula>
    </cfRule>
    <cfRule type="expression" dxfId="62" priority="3">
      <formula>Y9=-1</formula>
    </cfRule>
  </conditionalFormatting>
  <conditionalFormatting sqref="X10:X200">
    <cfRule type="expression" dxfId="61" priority="4">
      <formula>Z10=1</formula>
    </cfRule>
    <cfRule type="expression" dxfId="60"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B2:AC103"/>
  <sheetViews>
    <sheetView showGridLines="0" zoomScaleNormal="100" workbookViewId="0">
      <selection activeCell="E82" sqref="E82:E103"/>
    </sheetView>
  </sheetViews>
  <sheetFormatPr defaultRowHeight="15"/>
  <cols>
    <col min="1" max="1" width="5.42578125" customWidth="1"/>
    <col min="2" max="2" width="35.85546875" customWidth="1"/>
    <col min="3" max="3" width="33" customWidth="1"/>
    <col min="4" max="4" width="85.28515625" customWidth="1"/>
    <col min="5" max="5" width="39.5703125" style="86" customWidth="1"/>
    <col min="6" max="6" width="4" customWidth="1"/>
  </cols>
  <sheetData>
    <row r="2" spans="2:29" ht="36">
      <c r="B2" s="79" t="s">
        <v>502</v>
      </c>
      <c r="D2" s="82" t="s">
        <v>0</v>
      </c>
      <c r="H2" s="83" t="s">
        <v>297</v>
      </c>
      <c r="T2" s="83" t="s">
        <v>298</v>
      </c>
    </row>
    <row r="3" spans="2:29">
      <c r="B3" s="77" t="s">
        <v>229</v>
      </c>
      <c r="C3" s="77" t="s">
        <v>639</v>
      </c>
      <c r="D3" s="77" t="s">
        <v>640</v>
      </c>
      <c r="E3" s="89" t="s">
        <v>237</v>
      </c>
      <c r="F3" s="4" t="s">
        <v>232</v>
      </c>
      <c r="AC3" t="s">
        <v>232</v>
      </c>
    </row>
    <row r="4" spans="2:29">
      <c r="B4" s="76" t="s">
        <v>230</v>
      </c>
      <c r="C4" s="54" t="s">
        <v>165</v>
      </c>
      <c r="D4" s="95" t="s">
        <v>166</v>
      </c>
      <c r="E4" s="78" t="str">
        <f t="shared" ref="E4:E48" si="0">IF(D4="","",""""&amp;C4&amp;" "&amp;IF(C4="[FOOTER RULE - STRICT]",D4,IF(RIGHT(D4,6)=" | "&amp;CHAR(34)&amp;" &amp;",D4,D4&amp;" | "&amp;CHAR(34)&amp;" &amp;")))</f>
        <v>"[ROLE] Friendly tutor specializing in " &amp; $I$2 &amp; " | " &amp;</v>
      </c>
      <c r="F4" s="54" t="s">
        <v>232</v>
      </c>
    </row>
    <row r="5" spans="2:29">
      <c r="B5" s="76" t="s">
        <v>230</v>
      </c>
      <c r="C5" s="54" t="s">
        <v>169</v>
      </c>
      <c r="D5" s="95" t="s">
        <v>170</v>
      </c>
      <c r="E5" s="78" t="str">
        <f t="shared" si="0"/>
        <v>"[TOPIC] " &amp; I9 &amp; " | " &amp;</v>
      </c>
      <c r="F5" s="54" t="s">
        <v>232</v>
      </c>
    </row>
    <row r="6" spans="2:29">
      <c r="B6" s="76" t="s">
        <v>230</v>
      </c>
      <c r="C6" s="54" t="s">
        <v>171</v>
      </c>
      <c r="D6" s="95" t="s">
        <v>172</v>
      </c>
      <c r="E6" s="78" t="str">
        <f t="shared" si="0"/>
        <v>"[LEVEL] " &amp; G9 &amp; " | " &amp;</v>
      </c>
      <c r="F6" s="54" t="s">
        <v>232</v>
      </c>
    </row>
    <row r="7" spans="2:29">
      <c r="B7" s="76" t="s">
        <v>230</v>
      </c>
      <c r="C7" s="54" t="s">
        <v>173</v>
      </c>
      <c r="D7" s="95" t="s">
        <v>174</v>
      </c>
      <c r="E7" s="78" t="str">
        <f t="shared" si="0"/>
        <v>"[COUNT] " &amp; D9 &amp; " examples | " &amp;</v>
      </c>
      <c r="F7" s="54" t="s">
        <v>232</v>
      </c>
    </row>
    <row r="8" spans="2:29">
      <c r="B8" s="76" t="s">
        <v>230</v>
      </c>
      <c r="C8" s="54" t="s">
        <v>238</v>
      </c>
      <c r="D8" s="95" t="s">
        <v>291</v>
      </c>
      <c r="E8" s="78" t="str">
        <f t="shared" si="0"/>
        <v>"[LIBRARY BEING LEARNED] " &amp; $I$3 &amp; " | " &amp;</v>
      </c>
      <c r="F8" s="54" t="s">
        <v>232</v>
      </c>
    </row>
    <row r="9" spans="2:29">
      <c r="B9" s="76" t="s">
        <v>230</v>
      </c>
      <c r="C9" s="54" t="s">
        <v>233</v>
      </c>
      <c r="D9" s="95" t="s">
        <v>239</v>
      </c>
      <c r="E9"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9" s="54" t="s">
        <v>232</v>
      </c>
    </row>
    <row r="10" spans="2:29">
      <c r="B10" s="76" t="s">
        <v>230</v>
      </c>
      <c r="C10" s="54" t="s">
        <v>177</v>
      </c>
      <c r="D10" s="95" t="s">
        <v>178</v>
      </c>
      <c r="E10" s="78"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0" s="54" t="s">
        <v>232</v>
      </c>
    </row>
    <row r="11" spans="2:29">
      <c r="B11" s="76" t="s">
        <v>230</v>
      </c>
      <c r="C11" s="54" t="s">
        <v>550</v>
      </c>
      <c r="D11" s="95" t="s">
        <v>542</v>
      </c>
      <c r="E11" s="78" t="str">
        <f t="shared" si="0"/>
        <v>"[LANGUAGE SEED CONTEXT] " &amp; IF($AE$7 = "", "Language Seed Not Necessary", "You MUST strictly follow this seed context to enhance, adapt, and naturalize your tone, vocabulary, and instructional quality in " &amp; $B$6 &amp; ": " &amp; $AE$7) &amp; " | " &amp;</v>
      </c>
      <c r="F11" s="54" t="s">
        <v>232</v>
      </c>
    </row>
    <row r="12" spans="2:29">
      <c r="B12" s="76" t="s">
        <v>230</v>
      </c>
      <c r="C12" s="54" t="s">
        <v>226</v>
      </c>
      <c r="D12" s="95" t="s">
        <v>227</v>
      </c>
      <c r="E12" s="78" t="str">
        <f t="shared" si="0"/>
        <v>"[LANGUAGE] " &amp; $B$6 &amp; " | " &amp;</v>
      </c>
      <c r="F12" s="54" t="s">
        <v>232</v>
      </c>
    </row>
    <row r="13" spans="2:29">
      <c r="B13" s="76" t="s">
        <v>230</v>
      </c>
      <c r="C13" s="54" t="s">
        <v>242</v>
      </c>
      <c r="D13" s="95" t="s">
        <v>243</v>
      </c>
      <c r="E13" s="78" t="str">
        <f t="shared" si="0"/>
        <v>"[EXECUTIVE CONSTRAINTS] Each example MUST include: - Internal data OR dataset usage - Print key intermediate steps and the final result - MUST NOT exceed exactly " &amp; $A9 &amp; " lines of EXECUTABLE code (STRICT: Do NOT count comments or blank lines). - NEVER exceed this limit. | " &amp;</v>
      </c>
      <c r="F13" s="54" t="s">
        <v>232</v>
      </c>
    </row>
    <row r="14" spans="2:29">
      <c r="B14" s="84" t="s">
        <v>231</v>
      </c>
      <c r="C14" s="54" t="s">
        <v>241</v>
      </c>
      <c r="D14" s="95"/>
      <c r="E14" s="78" t="str">
        <f t="shared" si="0"/>
        <v/>
      </c>
      <c r="F14" s="54" t="s">
        <v>232</v>
      </c>
    </row>
    <row r="15" spans="2:29">
      <c r="B15" s="84" t="s">
        <v>231</v>
      </c>
      <c r="C15" s="54" t="s">
        <v>241</v>
      </c>
      <c r="D15" s="95"/>
      <c r="E15" s="78" t="str">
        <f t="shared" si="0"/>
        <v/>
      </c>
      <c r="F15" s="54" t="s">
        <v>232</v>
      </c>
    </row>
    <row r="16" spans="2:29">
      <c r="B16" s="84" t="s">
        <v>231</v>
      </c>
      <c r="C16" s="54" t="s">
        <v>241</v>
      </c>
      <c r="D16" s="95"/>
      <c r="E16" s="78" t="str">
        <f t="shared" si="0"/>
        <v/>
      </c>
      <c r="F16" s="54" t="s">
        <v>232</v>
      </c>
    </row>
    <row r="17" spans="2:6">
      <c r="B17" s="84" t="s">
        <v>231</v>
      </c>
      <c r="C17" s="54" t="s">
        <v>184</v>
      </c>
      <c r="D17" s="95" t="s">
        <v>580</v>
      </c>
      <c r="E17" s="78" t="str">
        <f t="shared" si="0"/>
        <v>"[CODE CONSTRAINTS] Single logical flow (no unnecessary complexity) - CRITICAL PROHIBITION: Do NOT include 'if __name__ == '__main__':' blocks or 'pass' statements. Write scripts as flat, top-level execution flows. | " &amp;</v>
      </c>
      <c r="F17" s="54" t="s">
        <v>232</v>
      </c>
    </row>
    <row r="18" spans="2:6">
      <c r="B18" s="84" t="s">
        <v>231</v>
      </c>
      <c r="C18" s="54" t="s">
        <v>185</v>
      </c>
      <c r="D18" s="95" t="s">
        <v>246</v>
      </c>
      <c r="E18" s="78" t="str">
        <f t="shared" si="0"/>
        <v>"[SYNTAX CONFIGURATION RULE] This: " &amp; IF(F9&gt;=10, "You MUST format output strings elegantly using f-strings natively.", "CRITICAL PROHIBITION: Do NOT use f-strings (f""..."") or any advanced text formatting methods yet. Use basic print() with multiple arguments separated by commas for text labels and variables.")&amp;" | " &amp;</v>
      </c>
      <c r="F18" s="54" t="s">
        <v>232</v>
      </c>
    </row>
    <row r="19" spans="2:6">
      <c r="B19" s="84" t="s">
        <v>231</v>
      </c>
      <c r="C19" s="54" t="s">
        <v>186</v>
      </c>
      <c r="D19" s="95" t="s">
        <v>248</v>
      </c>
      <c r="E19" s="78" t="str">
        <f t="shared" si="0"/>
        <v>"[FUNCTION RULE] STRICT ARCHITECTURE: " &amp; IF(G9="Beginner","Do NOT use functions unless absolutely required by the concept. Use flat, linear scripts. ",IF(G9="Intermediate","MUST use modular functions. Encapsulate logic in def blocks. ","MUST use modular functions. ABSOLUTELY PROHIBITED: Flat linear scripts. All logic must be contained within callable functions with clear entry points.")) &amp; " | " &amp;</v>
      </c>
      <c r="F19" s="54" t="s">
        <v>232</v>
      </c>
    </row>
    <row r="20" spans="2:6">
      <c r="B20" s="84" t="s">
        <v>231</v>
      </c>
      <c r="C20" s="54" t="s">
        <v>195</v>
      </c>
      <c r="D20" s="95" t="s">
        <v>306</v>
      </c>
      <c r="E20" s="78" t="str">
        <f t="shared" si="0"/>
        <v>"[FILE HANDLING RULE] Use correct loaders and enforce encoding='utf-8' and newline='' when applicable | " &amp;</v>
      </c>
      <c r="F20" s="54" t="s">
        <v>232</v>
      </c>
    </row>
    <row r="21" spans="2:6">
      <c r="B21" s="84" t="s">
        <v>231</v>
      </c>
      <c r="C21" s="54" t="s">
        <v>202</v>
      </c>
      <c r="D21" s="95" t="s">
        <v>460</v>
      </c>
      <c r="E21" s="78" t="str">
        <f t="shared" si="0"/>
        <v>"[SUPPORT FILES RULE] If env/config is used, include: 1. Instructional sentence 2. File content in markdown code block 3. BEFORE the main code | " &amp;</v>
      </c>
      <c r="F21" s="54" t="s">
        <v>232</v>
      </c>
    </row>
    <row r="22" spans="2:6">
      <c r="B22" s="84" t="s">
        <v>231</v>
      </c>
      <c r="C22" s="54" t="s">
        <v>219</v>
      </c>
      <c r="D22" s="95" t="s">
        <v>244</v>
      </c>
      <c r="E22" s="78" t="str">
        <f t="shared" si="0"/>
        <v>"[OUTPUT FORMAT RULE] This: " &amp; IF(F9&gt;=10, "Monetary values formatted with '$', commas, 2 decimals using f-strings.", "Print raw numeric outputs directly without forcing custom monetary formatting structures yet.")&amp;" | " &amp;</v>
      </c>
      <c r="F22" s="54" t="s">
        <v>232</v>
      </c>
    </row>
    <row r="23" spans="2:6">
      <c r="B23" s="84" t="s">
        <v>231</v>
      </c>
      <c r="C23" s="54" t="s">
        <v>199</v>
      </c>
      <c r="D23" s="95" t="s">
        <v>450</v>
      </c>
      <c r="E23" s="78" t="str">
        <f t="shared" si="0"/>
        <v>"[BOOLEAN HANDLING RULE] Normalize boolean values before comparison | " &amp;</v>
      </c>
      <c r="F23" s="54" t="s">
        <v>232</v>
      </c>
    </row>
    <row r="24" spans="2:6">
      <c r="B24" s="84" t="s">
        <v>231</v>
      </c>
      <c r="C24" s="54" t="s">
        <v>197</v>
      </c>
      <c r="D24" s="95" t="s">
        <v>448</v>
      </c>
      <c r="E24" s="78" t="str">
        <f t="shared" si="0"/>
        <v>"[DATA TYPE RULE] Explicit casting required before calculations | " &amp;</v>
      </c>
      <c r="F24" s="54" t="s">
        <v>232</v>
      </c>
    </row>
    <row r="25" spans="2:6">
      <c r="B25" s="84" t="s">
        <v>231</v>
      </c>
      <c r="C25" s="54" t="s">
        <v>198</v>
      </c>
      <c r="D25" s="95" t="s">
        <v>449</v>
      </c>
      <c r="E25" s="78" t="str">
        <f t="shared" si="0"/>
        <v>"[DATA ROBUSTNESS RULE] Handle missing, malformed, or inconsistent data safely | " &amp;</v>
      </c>
      <c r="F25" s="54" t="s">
        <v>232</v>
      </c>
    </row>
    <row r="26" spans="2:6">
      <c r="B26" s="85" t="s">
        <v>300</v>
      </c>
      <c r="C26" s="54" t="s">
        <v>223</v>
      </c>
      <c r="D26" s="95" t="s">
        <v>641</v>
      </c>
      <c r="E26" s="78"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F26" s="54" t="s">
        <v>232</v>
      </c>
    </row>
    <row r="27" spans="2:6">
      <c r="B27" s="85" t="s">
        <v>300</v>
      </c>
      <c r="C27" s="54" t="s">
        <v>194</v>
      </c>
      <c r="D27" s="95" t="s">
        <v>235</v>
      </c>
      <c r="E27" s="78" t="str">
        <f t="shared" si="0"/>
        <v>"[INTRO RULE] Include a short tutor-style sentence in " &amp; $B$6 &amp; " before the analogy, followed by this EXACT instruction block translated to " &amp; $B$6 &amp; ": '🚨 **Your objective in this lesson:** To truly learn the new  " &amp; $I$2 &amp; "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v>
      </c>
      <c r="F27" s="54" t="s">
        <v>232</v>
      </c>
    </row>
    <row r="28" spans="2:6">
      <c r="B28" s="85" t="s">
        <v>300</v>
      </c>
      <c r="C28" s="54" t="s">
        <v>175</v>
      </c>
      <c r="D28" s="95" t="s">
        <v>176</v>
      </c>
      <c r="E28" s="78" t="str">
        <f t="shared" si="0"/>
        <v>"[PERSONA RULE] Act as a friendly, clear tutor | " &amp;</v>
      </c>
      <c r="F28" s="54" t="s">
        <v>232</v>
      </c>
    </row>
    <row r="29" spans="2:6">
      <c r="B29" s="85" t="s">
        <v>300</v>
      </c>
      <c r="C29" s="54" t="s">
        <v>167</v>
      </c>
      <c r="D29" s="95" t="s">
        <v>168</v>
      </c>
      <c r="E29" s="78" t="str">
        <f t="shared" si="0"/>
        <v>"[TASK] Teach and explain concepts clearly with correct code examples | " &amp;</v>
      </c>
      <c r="F29" s="54" t="s">
        <v>232</v>
      </c>
    </row>
    <row r="30" spans="2:6">
      <c r="B30" s="85" t="s">
        <v>300</v>
      </c>
      <c r="C30" s="54" t="s">
        <v>182</v>
      </c>
      <c r="D30" s="95" t="s">
        <v>183</v>
      </c>
      <c r="E30" s="78" t="str">
        <f t="shared" si="0"/>
        <v>"[OUTPUT CONTRACT] EXACTLY " &amp; D9 &amp; "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v>
      </c>
      <c r="F30" s="54" t="s">
        <v>232</v>
      </c>
    </row>
    <row r="31" spans="2:6">
      <c r="B31" s="85" t="s">
        <v>300</v>
      </c>
      <c r="C31" s="54" t="s">
        <v>187</v>
      </c>
      <c r="D31" s="95" t="s">
        <v>236</v>
      </c>
      <c r="E31" s="78" t="str">
        <f t="shared" si="0"/>
        <v>"[CODE QUALITY RULE] Code MUST be clean, readable, educational, executable, and produce correct and accurate results | " &amp;</v>
      </c>
      <c r="F31" s="54" t="s">
        <v>232</v>
      </c>
    </row>
    <row r="32" spans="2:6">
      <c r="B32" s="85" t="s">
        <v>300</v>
      </c>
      <c r="C32" s="54" t="s">
        <v>188</v>
      </c>
      <c r="D32" s="95" t="s">
        <v>189</v>
      </c>
      <c r="E32" s="78" t="str">
        <f t="shared" si="0"/>
        <v>"[COMMENT RULE - STRICT] Code MUST include sufficient inline comments explaining important lines and logical blocks | " &amp;</v>
      </c>
      <c r="F32" s="54" t="s">
        <v>232</v>
      </c>
    </row>
    <row r="33" spans="2:6">
      <c r="B33" s="85" t="s">
        <v>300</v>
      </c>
      <c r="C33" s="54" t="s">
        <v>190</v>
      </c>
      <c r="D33" s="95" t="s">
        <v>191</v>
      </c>
      <c r="E33" s="78" t="str">
        <f t="shared" si="0"/>
        <v>"[COMMENT DEPTH RULE] Comments MUST explain WHAT the code does AND WHY it is written that way | " &amp;</v>
      </c>
      <c r="F33" s="54" t="s">
        <v>232</v>
      </c>
    </row>
    <row r="34" spans="2:6">
      <c r="B34" s="85" t="s">
        <v>300</v>
      </c>
      <c r="C34" s="54" t="s">
        <v>205</v>
      </c>
      <c r="D34" s="95" t="s">
        <v>206</v>
      </c>
      <c r="E34" s="78" t="str">
        <f t="shared" si="0"/>
        <v>"[EXPLANATION RULE] Explanation within 'Mini-Lección' MUST explain WHAT, WHY, HOW, and real-world context concisely | " &amp;</v>
      </c>
      <c r="F34" s="54" t="s">
        <v>232</v>
      </c>
    </row>
    <row r="35" spans="2:6">
      <c r="B35" s="85" t="s">
        <v>300</v>
      </c>
      <c r="C35" s="54" t="s">
        <v>207</v>
      </c>
      <c r="D35" s="95" t="s">
        <v>208</v>
      </c>
      <c r="E35" s="78" t="str">
        <f t="shared" si="0"/>
        <v>"[LEARNING RULE] Each example MUST highlight a key insight | " &amp;</v>
      </c>
      <c r="F35" s="54" t="s">
        <v>232</v>
      </c>
    </row>
    <row r="36" spans="2:6">
      <c r="B36" s="85" t="s">
        <v>300</v>
      </c>
      <c r="C36" s="54" t="s">
        <v>209</v>
      </c>
      <c r="D36" s="95" t="s">
        <v>210</v>
      </c>
      <c r="E36" s="78" t="str">
        <f t="shared" si="0"/>
        <v>"[COMMON MISTAKES RULE] Include a short mistake note after each example | " &amp;</v>
      </c>
      <c r="F36" s="54" t="s">
        <v>232</v>
      </c>
    </row>
    <row r="37" spans="2:6">
      <c r="B37" s="85" t="s">
        <v>300</v>
      </c>
      <c r="C37" s="54" t="s">
        <v>211</v>
      </c>
      <c r="D37" s="95" t="s">
        <v>212</v>
      </c>
      <c r="E37" s="78" t="str">
        <f t="shared" si="0"/>
        <v>"[MINI CHALLENGE RULE] Include a short reinforcement question after each example | " &amp;</v>
      </c>
      <c r="F37" s="54" t="s">
        <v>232</v>
      </c>
    </row>
    <row r="38" spans="2:6">
      <c r="B38" s="85" t="s">
        <v>300</v>
      </c>
      <c r="C38" s="54" t="s">
        <v>213</v>
      </c>
      <c r="D38" s="95" t="s">
        <v>214</v>
      </c>
      <c r="E38" s="78" t="str">
        <f t="shared" si="0"/>
        <v>"[REAL WORLD RULE] Connect each example to a real-world use case | " &amp;</v>
      </c>
      <c r="F38" s="54" t="s">
        <v>232</v>
      </c>
    </row>
    <row r="39" spans="2:6">
      <c r="B39" s="85" t="s">
        <v>300</v>
      </c>
      <c r="C39" s="54" t="s">
        <v>215</v>
      </c>
      <c r="D39" s="95" t="s">
        <v>216</v>
      </c>
      <c r="E39" s="78" t="str">
        <f t="shared" si="0"/>
        <v>"[FORMAT RULE] Only valid markdown code blocks allowed | " &amp;</v>
      </c>
      <c r="F39" s="54" t="s">
        <v>232</v>
      </c>
    </row>
    <row r="40" spans="2:6">
      <c r="B40" s="85" t="s">
        <v>300</v>
      </c>
      <c r="C40" s="54" t="s">
        <v>217</v>
      </c>
      <c r="D40" s="95" t="s">
        <v>218</v>
      </c>
      <c r="E40" s="78" t="str">
        <f t="shared" si="0"/>
        <v>"[LANGUAGE TAG RULE] ALWAYS label markdown code blocks with the correct underlying programming language (e.g., python, javascript, sql) | " &amp;</v>
      </c>
      <c r="F40" s="54" t="s">
        <v>232</v>
      </c>
    </row>
    <row r="41" spans="2:6">
      <c r="B41" s="85" t="s">
        <v>300</v>
      </c>
      <c r="C41" s="54" t="s">
        <v>220</v>
      </c>
      <c r="D41" s="95" t="s">
        <v>221</v>
      </c>
      <c r="E41" s="78" t="str">
        <f t="shared" si="0"/>
        <v>"[CONSISTENCY RULE] All examples MUST have similar complexity and length | " &amp;</v>
      </c>
      <c r="F41" s="54" t="s">
        <v>232</v>
      </c>
    </row>
    <row r="42" spans="2:6">
      <c r="B42" s="85" t="s">
        <v>300</v>
      </c>
      <c r="C42" s="54" t="s">
        <v>222</v>
      </c>
      <c r="D42" s="95" t="s">
        <v>245</v>
      </c>
      <c r="E42" s="78" t="str">
        <f t="shared" si="0"/>
        <v>"[FINAL OUTPUT RULE] Include Key Takeaway section at the end | " &amp; IF(AJ9&lt;&gt;"", AJ9, "") &amp;" | " &amp;</v>
      </c>
      <c r="F42" s="54" t="s">
        <v>232</v>
      </c>
    </row>
    <row r="43" spans="2:6">
      <c r="B43" s="85" t="s">
        <v>300</v>
      </c>
      <c r="C43" s="54" t="s">
        <v>179</v>
      </c>
      <c r="D43" s="95" t="s">
        <v>240</v>
      </c>
      <c r="E43" s="78" t="str">
        <f t="shared" si="0"/>
        <v>"[DATA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v>
      </c>
      <c r="F43" s="54" t="s">
        <v>232</v>
      </c>
    </row>
    <row r="44" spans="2:6">
      <c r="B44" s="85" t="s">
        <v>300</v>
      </c>
      <c r="C44" s="54" t="s">
        <v>180</v>
      </c>
      <c r="D44" s="95" t="s">
        <v>181</v>
      </c>
      <c r="E44" s="78" t="str">
        <f t="shared" si="0"/>
        <v>"[DATA SUMMARY FORMAT RULE] When a dataset is present, you MUST display IMMEDIATELY AFTER THE HEADER: Dataset Summary: - File Type: - Columns / Fields: - Data Types: - Notes: | " &amp;</v>
      </c>
      <c r="F44" s="54" t="s">
        <v>232</v>
      </c>
    </row>
    <row r="45" spans="2:6">
      <c r="B45" s="85" t="s">
        <v>300</v>
      </c>
      <c r="C45" s="54" t="s">
        <v>200</v>
      </c>
      <c r="D45" s="95" t="s">
        <v>201</v>
      </c>
      <c r="E45" s="78" t="str">
        <f t="shared" si="0"/>
        <v>"[DATA CONSISTENCY RULE] Respect dataset schema | " &amp;</v>
      </c>
      <c r="F45" s="54" t="s">
        <v>232</v>
      </c>
    </row>
    <row r="46" spans="2:6">
      <c r="B46" s="85" t="s">
        <v>300</v>
      </c>
      <c r="C46" s="54" t="s">
        <v>192</v>
      </c>
      <c r="D46" s="95" t="s">
        <v>193</v>
      </c>
      <c r="E46" s="78" t="str">
        <f t="shared" si="0"/>
        <v>"[COMMENT DENSITY RULE] Beginner = high, Intermediate = medium, Advanced = lower but present in key logic | " &amp;</v>
      </c>
      <c r="F46" s="54" t="s">
        <v>232</v>
      </c>
    </row>
    <row r="47" spans="2:6">
      <c r="B47" s="85" t="s">
        <v>300</v>
      </c>
      <c r="C47" s="54" t="s">
        <v>203</v>
      </c>
      <c r="D47" s="95" t="s">
        <v>204</v>
      </c>
      <c r="E47" s="78" t="str">
        <f t="shared" si="0"/>
        <v>"[DIFFICULTY RULE] Complexity MUST match level | " &amp;</v>
      </c>
      <c r="F47" s="54" t="s">
        <v>232</v>
      </c>
    </row>
    <row r="48" spans="2:6">
      <c r="B48" s="85" t="s">
        <v>300</v>
      </c>
      <c r="C48" s="54" t="s">
        <v>224</v>
      </c>
      <c r="D48" s="95" t="s">
        <v>225</v>
      </c>
      <c r="E48" s="78" t="str">
        <f t="shared" si="0"/>
        <v>"[OUTPUT] Only header, introduction, examples, outputs, notes, summary, and footer | " &amp;</v>
      </c>
      <c r="F48" s="54" t="s">
        <v>232</v>
      </c>
    </row>
    <row r="49" spans="2:6">
      <c r="B49" s="85" t="s">
        <v>300</v>
      </c>
      <c r="C49" s="54" t="s">
        <v>228</v>
      </c>
      <c r="D49" s="95" t="s">
        <v>247</v>
      </c>
      <c r="E49" s="78"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F49" s="54" t="s">
        <v>232</v>
      </c>
    </row>
    <row r="50" spans="2:6">
      <c r="B50" s="85"/>
      <c r="C50" s="54"/>
      <c r="D50" s="95"/>
      <c r="E50" s="89" t="str">
        <f>"IF(H9=""PROJECT"", Z9, """"))"</f>
        <v>IF(H9="PROJECT", Z9, ""))</v>
      </c>
      <c r="F50" s="54"/>
    </row>
    <row r="51" spans="2:6">
      <c r="B51" s="75"/>
      <c r="C51" s="75"/>
      <c r="E51" s="87"/>
    </row>
    <row r="52" spans="2:6">
      <c r="B52" s="75"/>
      <c r="C52" s="75"/>
      <c r="E52" s="87"/>
    </row>
    <row r="53" spans="2:6" ht="36">
      <c r="B53" s="80" t="s">
        <v>501</v>
      </c>
      <c r="C53" s="75"/>
      <c r="E53" s="87"/>
    </row>
    <row r="54" spans="2:6">
      <c r="B54" s="77" t="s">
        <v>286</v>
      </c>
      <c r="C54" s="77" t="s">
        <v>639</v>
      </c>
      <c r="D54" s="77" t="s">
        <v>640</v>
      </c>
      <c r="E54" s="89" t="s">
        <v>287</v>
      </c>
      <c r="F54" s="32" t="s">
        <v>232</v>
      </c>
    </row>
    <row r="55" spans="2:6">
      <c r="B55" s="54" t="s">
        <v>230</v>
      </c>
      <c r="C55" s="54" t="s">
        <v>167</v>
      </c>
      <c r="D55" s="95" t="s">
        <v>292</v>
      </c>
      <c r="E55" s="78"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F55" s="32" t="s">
        <v>232</v>
      </c>
    </row>
    <row r="56" spans="2:6">
      <c r="B56" s="54" t="s">
        <v>230</v>
      </c>
      <c r="C56" s="54" t="s">
        <v>272</v>
      </c>
      <c r="D56" s="95" t="s">
        <v>273</v>
      </c>
      <c r="E56" s="78" t="str">
        <f t="shared" ref="E56:E78" si="1">IF(D56="","",""""&amp;C56&amp;" "&amp;IF(C56="[FOOTER RULE - STRICT]",D56,IF(RIGHT(D56,6)=" | "&amp;CHAR(34)&amp;" &amp;",D56,D56&amp;" | "&amp;CHAR(34)&amp;" &amp;")))</f>
        <v>"[TOPICS USED] " &amp; B9 &amp; " | " &amp;</v>
      </c>
      <c r="F56" s="32" t="s">
        <v>232</v>
      </c>
    </row>
    <row r="57" spans="2:6">
      <c r="B57" s="54" t="s">
        <v>230</v>
      </c>
      <c r="C57" s="54" t="s">
        <v>171</v>
      </c>
      <c r="D57" s="95" t="s">
        <v>172</v>
      </c>
      <c r="E57" s="78" t="str">
        <f t="shared" si="1"/>
        <v>"[LEVEL] " &amp; G9 &amp; " | " &amp;</v>
      </c>
      <c r="F57" s="32" t="s">
        <v>232</v>
      </c>
    </row>
    <row r="58" spans="2:6">
      <c r="B58" s="54" t="s">
        <v>230</v>
      </c>
      <c r="C58" s="54" t="s">
        <v>238</v>
      </c>
      <c r="D58" s="95" t="s">
        <v>291</v>
      </c>
      <c r="E58" s="78" t="str">
        <f t="shared" si="1"/>
        <v>"[LIBRARY BEING LEARNED] " &amp; $I$3 &amp; " | " &amp;</v>
      </c>
      <c r="F58" s="32" t="s">
        <v>232</v>
      </c>
    </row>
    <row r="59" spans="2:6">
      <c r="B59" s="54" t="s">
        <v>230</v>
      </c>
      <c r="C59" s="54" t="s">
        <v>177</v>
      </c>
      <c r="D59" s="95" t="s">
        <v>274</v>
      </c>
      <c r="E59" s="78"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9" s="32" t="s">
        <v>232</v>
      </c>
    </row>
    <row r="60" spans="2:6">
      <c r="B60" s="54" t="s">
        <v>230</v>
      </c>
      <c r="C60" s="54" t="s">
        <v>550</v>
      </c>
      <c r="D60" s="95" t="s">
        <v>542</v>
      </c>
      <c r="E60" s="78" t="str">
        <f t="shared" si="1"/>
        <v>"[LANGUAGE SEED CONTEXT] " &amp; IF($AE$7 = "", "Language Seed Not Necessary", "You MUST strictly follow this seed context to enhance, adapt, and naturalize your tone, vocabulary, and instructional quality in " &amp; $B$6 &amp; ": " &amp; $AE$7) &amp; " | " &amp;</v>
      </c>
      <c r="F60" s="32" t="s">
        <v>232</v>
      </c>
    </row>
    <row r="61" spans="2:6">
      <c r="B61" s="54" t="s">
        <v>230</v>
      </c>
      <c r="C61" s="54" t="s">
        <v>226</v>
      </c>
      <c r="D61" s="95" t="s">
        <v>227</v>
      </c>
      <c r="E61" s="78" t="str">
        <f t="shared" si="1"/>
        <v>"[LANGUAGE] " &amp; $B$6 &amp; " | " &amp;</v>
      </c>
      <c r="F61" s="32" t="s">
        <v>232</v>
      </c>
    </row>
    <row r="62" spans="2:6">
      <c r="B62" s="54" t="s">
        <v>231</v>
      </c>
      <c r="C62" s="54" t="s">
        <v>241</v>
      </c>
      <c r="D62" s="95"/>
      <c r="E62" s="78" t="str">
        <f t="shared" ref="E62:E63" si="2">IF(D62="","",""""&amp;C62&amp;" "&amp;IF(C62="[FOOTER RULE - STRICT]",D62,IF(RIGHT(D62,6)=" | "&amp;CHAR(34)&amp;" &amp;",D62,D62&amp;" | "&amp;CHAR(34)&amp;" &amp;")))</f>
        <v/>
      </c>
      <c r="F62" s="32" t="s">
        <v>232</v>
      </c>
    </row>
    <row r="63" spans="2:6">
      <c r="B63" s="54" t="s">
        <v>231</v>
      </c>
      <c r="C63" s="54" t="s">
        <v>241</v>
      </c>
      <c r="D63" s="95"/>
      <c r="E63" s="78" t="str">
        <f t="shared" si="2"/>
        <v/>
      </c>
      <c r="F63" s="32" t="s">
        <v>232</v>
      </c>
    </row>
    <row r="64" spans="2:6">
      <c r="B64" s="54" t="s">
        <v>231</v>
      </c>
      <c r="C64" s="54" t="s">
        <v>184</v>
      </c>
      <c r="D64" s="95" t="s">
        <v>288</v>
      </c>
      <c r="E64" s="78" t="str">
        <f t="shared" si="1"/>
        <v>"[CODE CONSTRAINTS] MUST be between " &amp; IF(G9="Beginner", "25–40", IF(G9="Intermediate", "30–60", "40–100")) &amp; " lines (STRICT) - Multi-step flow " &amp; IF(G9&lt;&gt;"Advanced", "- NO classes ", "") &amp; " | " &amp;</v>
      </c>
      <c r="F64" s="32" t="s">
        <v>232</v>
      </c>
    </row>
    <row r="65" spans="2:6">
      <c r="B65" s="54" t="s">
        <v>231</v>
      </c>
      <c r="C65" s="54" t="s">
        <v>186</v>
      </c>
      <c r="D65" s="95" t="s">
        <v>289</v>
      </c>
      <c r="E65" s="78" t="str">
        <f t="shared" si="1"/>
        <v>"[FUNCTION RULE] " &amp; IF(G9="Beginner", "Avoid functions unless required. Use flat, linear scripts. ", IF(G9="Intermediate", "MUST use modular functions with a main() entry point. ", "MUST use well-structured modular functions with a main() entry point. " )) &amp; " | " &amp;</v>
      </c>
      <c r="F65" s="32" t="s">
        <v>232</v>
      </c>
    </row>
    <row r="66" spans="2:6">
      <c r="B66" s="54" t="s">
        <v>231</v>
      </c>
      <c r="C66" s="54" t="s">
        <v>278</v>
      </c>
      <c r="D66" s="95" t="s">
        <v>295</v>
      </c>
      <c r="E66" s="78" t="str">
        <f t="shared" si="1"/>
        <v>"[ARCHITECTURE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v>
      </c>
      <c r="F66" s="32" t="s">
        <v>232</v>
      </c>
    </row>
    <row r="67" spans="2:6">
      <c r="B67" s="54" t="s">
        <v>231</v>
      </c>
      <c r="C67" s="54" t="s">
        <v>198</v>
      </c>
      <c r="D67" s="95" t="s">
        <v>279</v>
      </c>
      <c r="E67" s="78" t="str">
        <f t="shared" si="1"/>
        <v>"[DATA ROBUSTNESS RULE] Handle real-world data safely | " &amp;</v>
      </c>
      <c r="F67" s="32" t="s">
        <v>232</v>
      </c>
    </row>
    <row r="68" spans="2:6">
      <c r="B68" s="54" t="s">
        <v>231</v>
      </c>
      <c r="C68" s="54" t="s">
        <v>195</v>
      </c>
      <c r="D68" s="95" t="s">
        <v>196</v>
      </c>
      <c r="E68" s="78" t="str">
        <f t="shared" si="1"/>
        <v>"[FILE HANDLING RULE] Use correct loaders and enforce encoding='utf-8' and newline='' when applicable | " &amp;</v>
      </c>
      <c r="F68" s="32" t="s">
        <v>232</v>
      </c>
    </row>
    <row r="69" spans="2:6">
      <c r="B69" s="54" t="s">
        <v>231</v>
      </c>
      <c r="C69" s="54" t="s">
        <v>202</v>
      </c>
      <c r="D69" s="95" t="s">
        <v>296</v>
      </c>
      <c r="E69" s="78" t="str">
        <f t="shared" si="1"/>
        <v>"[SUPPORT FILES RULE] IF an external configuration or data file is needed, include: 1. Short instructional sentence 2. File content in markdown code block 3. Place it strictly BEFORE the main code. | " &amp;</v>
      </c>
      <c r="F69" s="32" t="s">
        <v>232</v>
      </c>
    </row>
    <row r="70" spans="2:6">
      <c r="B70" s="85" t="s">
        <v>300</v>
      </c>
      <c r="C70" s="54" t="s">
        <v>179</v>
      </c>
      <c r="D70" s="95" t="s">
        <v>275</v>
      </c>
      <c r="E70" s="78"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70" s="32" t="s">
        <v>232</v>
      </c>
    </row>
    <row r="71" spans="2:6">
      <c r="B71" s="85" t="s">
        <v>300</v>
      </c>
      <c r="C71" s="54" t="s">
        <v>182</v>
      </c>
      <c r="D71" s="95" t="s">
        <v>276</v>
      </c>
      <c r="E71" s="78" t="str">
        <f t="shared" si="1"/>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F71" s="32" t="s">
        <v>232</v>
      </c>
    </row>
    <row r="72" spans="2:6">
      <c r="B72" s="85" t="s">
        <v>300</v>
      </c>
      <c r="C72" s="54" t="s">
        <v>187</v>
      </c>
      <c r="D72" s="95" t="s">
        <v>277</v>
      </c>
      <c r="E72" s="78" t="str">
        <f t="shared" si="1"/>
        <v>"[CODE QUALITY RULE] Code MUST be clean, readable, correct, and educational | " &amp;</v>
      </c>
      <c r="F72" s="32" t="s">
        <v>232</v>
      </c>
    </row>
    <row r="73" spans="2:6">
      <c r="B73" s="85" t="s">
        <v>300</v>
      </c>
      <c r="C73" s="54" t="s">
        <v>215</v>
      </c>
      <c r="D73" s="95" t="s">
        <v>280</v>
      </c>
      <c r="E73" s="78" t="str">
        <f t="shared" si="1"/>
        <v>"[FORMAT RULE] Only markdown code blocks allowed | " &amp;</v>
      </c>
      <c r="F73" s="32" t="s">
        <v>232</v>
      </c>
    </row>
    <row r="74" spans="2:6">
      <c r="B74" s="85" t="s">
        <v>300</v>
      </c>
      <c r="C74" s="54" t="s">
        <v>281</v>
      </c>
      <c r="D74" s="95" t="s">
        <v>282</v>
      </c>
      <c r="E74" s="78" t="str">
        <f t="shared" si="1"/>
        <v>"[EXECUTION RULE] Code MUST run and produce correct output | " &amp;</v>
      </c>
      <c r="F74" s="32" t="s">
        <v>232</v>
      </c>
    </row>
    <row r="75" spans="2:6">
      <c r="B75" s="85" t="s">
        <v>300</v>
      </c>
      <c r="C75" s="54" t="s">
        <v>220</v>
      </c>
      <c r="D75" s="95" t="s">
        <v>283</v>
      </c>
      <c r="E75" s="78" t="str">
        <f t="shared" si="1"/>
        <v>"[CONSISTENCY RULE] Project must match objective | " &amp;</v>
      </c>
      <c r="F75" s="32" t="s">
        <v>232</v>
      </c>
    </row>
    <row r="76" spans="2:6">
      <c r="B76" s="85" t="s">
        <v>300</v>
      </c>
      <c r="C76" s="54" t="s">
        <v>223</v>
      </c>
      <c r="D76" s="95" t="s">
        <v>642</v>
      </c>
      <c r="E76" s="78" t="str">
        <f t="shared" si="1"/>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F76" s="32" t="s">
        <v>232</v>
      </c>
    </row>
    <row r="77" spans="2:6">
      <c r="B77" s="85" t="s">
        <v>300</v>
      </c>
      <c r="C77" s="54" t="s">
        <v>224</v>
      </c>
      <c r="D77" s="95" t="s">
        <v>284</v>
      </c>
      <c r="E77" s="78" t="str">
        <f t="shared" si="1"/>
        <v>"[OUTPUT] Only header, dataset notice, objective, support file, code planning, expected output, code, and footer | " &amp;</v>
      </c>
      <c r="F77" s="32" t="s">
        <v>232</v>
      </c>
    </row>
    <row r="78" spans="2:6">
      <c r="B78" s="85" t="s">
        <v>300</v>
      </c>
      <c r="C78" s="54" t="s">
        <v>228</v>
      </c>
      <c r="D78" s="95" t="s">
        <v>285</v>
      </c>
      <c r="E78" s="78" t="str">
        <f t="shared" si="1"/>
        <v>"[FOOTER RULE - STRICT] End your entire response EXACTLY with this markdown string (ensure all code blocks are closed before it):" &amp; CHAR(10) &amp; "---" &amp; CHAR(10) &amp; "⚡ *Coding5s System — Learn Programming by Writing Code*")</v>
      </c>
      <c r="F78" s="32" t="s">
        <v>232</v>
      </c>
    </row>
    <row r="79" spans="2:6">
      <c r="E79" s="87"/>
      <c r="F79" t="s">
        <v>232</v>
      </c>
    </row>
    <row r="81" spans="2:6" ht="36">
      <c r="B81" s="81" t="s">
        <v>294</v>
      </c>
    </row>
    <row r="82" spans="2:6">
      <c r="B82" s="77" t="s">
        <v>229</v>
      </c>
      <c r="C82" s="77" t="s">
        <v>639</v>
      </c>
      <c r="D82" s="77" t="s">
        <v>640</v>
      </c>
      <c r="E82" s="89" t="s">
        <v>249</v>
      </c>
      <c r="F82" s="54" t="s">
        <v>232</v>
      </c>
    </row>
    <row r="83" spans="2:6">
      <c r="B83" s="54" t="s">
        <v>230</v>
      </c>
      <c r="C83" s="54" t="s">
        <v>250</v>
      </c>
      <c r="D83" s="95" t="s">
        <v>266</v>
      </c>
      <c r="E83" s="78" t="str">
        <f t="shared" ref="E83:E103" si="3">IF(D83="","",""""&amp;C83&amp;" "&amp;IF(C83="[FOOTER RULE - STRICT]",D83,IF(RIGHT(D83,6)=" | "&amp;CHAR(34)&amp;" &amp;",D83,D83&amp;"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F83" s="54" t="s">
        <v>232</v>
      </c>
    </row>
    <row r="84" spans="2:6">
      <c r="B84" s="54" t="s">
        <v>230</v>
      </c>
      <c r="C84" s="54" t="s">
        <v>251</v>
      </c>
      <c r="D84" s="95" t="s">
        <v>261</v>
      </c>
      <c r="E84" s="78" t="str">
        <f t="shared" si="3"/>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F84" s="54" t="s">
        <v>232</v>
      </c>
    </row>
    <row r="85" spans="2:6">
      <c r="B85" s="54" t="s">
        <v>230</v>
      </c>
      <c r="C85" s="54" t="s">
        <v>252</v>
      </c>
      <c r="D85" s="95" t="s">
        <v>262</v>
      </c>
      <c r="E85" s="78" t="str">
        <f t="shared" si="3"/>
        <v>"[CONTEXT] You are helping a Junior Developer who is " &amp; IF(UPPER(H9)="PROJECT", "building a PROJECT: " &amp; I9 &amp; ". Topics applied in this project: " &amp; B9 &amp; ". Project objective: " &amp; J9, "learning: " &amp; I9 &amp; ". Topic details: " &amp; J9) &amp; " | " &amp;</v>
      </c>
      <c r="F85" s="54" t="s">
        <v>232</v>
      </c>
    </row>
    <row r="86" spans="2:6">
      <c r="B86" s="54" t="s">
        <v>230</v>
      </c>
      <c r="C86" s="54" t="s">
        <v>238</v>
      </c>
      <c r="D86" s="95" t="s">
        <v>291</v>
      </c>
      <c r="E86" s="78"/>
      <c r="F86" s="54"/>
    </row>
    <row r="87" spans="2:6">
      <c r="B87" s="54" t="s">
        <v>230</v>
      </c>
      <c r="C87" s="54" t="s">
        <v>177</v>
      </c>
      <c r="D87" s="95" t="s">
        <v>264</v>
      </c>
      <c r="E87" s="78" t="str">
        <f t="shared" si="3"/>
        <v>"[LANGUAGE CONSISTENCY RULE] ALL output text MUST be written strictly in (" &amp; $B$6 &amp; "). | " &amp;</v>
      </c>
      <c r="F87" s="54" t="s">
        <v>232</v>
      </c>
    </row>
    <row r="88" spans="2:6">
      <c r="B88" s="54" t="s">
        <v>230</v>
      </c>
      <c r="C88" s="54" t="s">
        <v>550</v>
      </c>
      <c r="D88" s="95" t="s">
        <v>542</v>
      </c>
      <c r="E88" s="78" t="str">
        <f t="shared" si="3"/>
        <v>"[LANGUAGE SEED CONTEXT] " &amp; IF($AE$7 = "", "Language Seed Not Necessary", "You MUST strictly follow this seed context to enhance, adapt, and naturalize your tone, vocabulary, and instructional quality in " &amp; $B$6 &amp; ": " &amp; $AE$7) &amp; " | " &amp;</v>
      </c>
      <c r="F88" s="54" t="s">
        <v>232</v>
      </c>
    </row>
    <row r="89" spans="2:6">
      <c r="B89" s="54" t="s">
        <v>230</v>
      </c>
      <c r="C89" s="54" t="s">
        <v>226</v>
      </c>
      <c r="D89" s="95" t="s">
        <v>267</v>
      </c>
      <c r="E89" s="78" t="str">
        <f>IF(D89="","",""""&amp;C89&amp;" "&amp;IF(C89="[FOOTER RULE - STRICT]",D89,IF(RIGHT(D89,6)=" | "&amp;CHAR(34)&amp;" &amp;",D89,D89&amp;" | "&amp;CHAR(34)&amp;" &amp;")))</f>
        <v>"[LANGUAGE] " &amp; $B$6 &amp;" | " &amp;</v>
      </c>
      <c r="F89" s="54" t="s">
        <v>232</v>
      </c>
    </row>
    <row r="90" spans="2:6">
      <c r="B90" s="54" t="s">
        <v>231</v>
      </c>
      <c r="C90" s="54" t="s">
        <v>241</v>
      </c>
      <c r="D90" s="95"/>
      <c r="E90" s="78" t="str">
        <f t="shared" ref="E90:E91" si="4">IF(D90="","",""""&amp;C90&amp;" "&amp;IF(C90="[FOOTER RULE - STRICT]",D90,IF(RIGHT(D90,6)=" | "&amp;CHAR(34)&amp;" &amp;",D90,D90&amp;" | "&amp;CHAR(34)&amp;" &amp;")))</f>
        <v/>
      </c>
      <c r="F90" s="54" t="s">
        <v>232</v>
      </c>
    </row>
    <row r="91" spans="2:6">
      <c r="B91" s="54" t="s">
        <v>231</v>
      </c>
      <c r="C91" s="54" t="s">
        <v>241</v>
      </c>
      <c r="D91" s="95"/>
      <c r="E91" s="78" t="str">
        <f t="shared" si="4"/>
        <v/>
      </c>
      <c r="F91" s="54" t="s">
        <v>232</v>
      </c>
    </row>
    <row r="92" spans="2:6">
      <c r="B92" s="54" t="s">
        <v>231</v>
      </c>
      <c r="C92" s="54" t="s">
        <v>258</v>
      </c>
      <c r="D92" s="95" t="s">
        <v>269</v>
      </c>
      <c r="E92" s="78" t="str">
        <f>IF(D92="","",""""&amp;C92&amp;" "&amp;IF(C92="[FOOTER RULE - STRICT]",D92,IF(RIGHT(D92,6)=" | "&amp;CHAR(34)&amp;" &amp;",D92,D92&amp;" | "&amp;CHAR(34)&amp;" &amp;")))</f>
        <v>"[ARCHITECTURAL CONSTRAINTS] "&amp; IF(G9="Beginner","Do NOT use functions unless absolutely required by the concept. Use flat, linear scripts. NO classes. ", IF(G9="Intermediate","MUST use modular functions ONLY IF the student attempted them or the exercise explicitly demands it. Do NOT over-refactor flat scripts just to make them modular. NO classes. ","MUST use modular functions appropriately for architecture and clarity. ")) &amp; " | " &amp;</v>
      </c>
      <c r="F92" s="54" t="s">
        <v>232</v>
      </c>
    </row>
    <row r="93" spans="2:6">
      <c r="B93" s="54" t="s">
        <v>231</v>
      </c>
      <c r="C93" s="54" t="s">
        <v>259</v>
      </c>
      <c r="D93" s="95" t="s">
        <v>268</v>
      </c>
      <c r="E93" s="78" t="str">
        <f>IF(D93="","",""""&amp;C93&amp;" "&amp;IF(C93="[FOOTER RULE - STRICT]",D93,IF(RIGHT(D93,6)=" | "&amp;CHAR(34)&amp;" &amp;",D93,D93&amp;" | "&amp;CHAR(34)&amp;" &amp;")))</f>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IF(AJ9&lt;&gt;"", "[MENTOR CONTEXT ALERT] Be aware of the following infrastructure limitation for this exercise: " &amp; AJ9 &amp; " Use this knowledge to reassure the student if they present an environment error. | ", "") &amp; " | " &amp;</v>
      </c>
      <c r="F93" s="54" t="s">
        <v>232</v>
      </c>
    </row>
    <row r="94" spans="2:6">
      <c r="B94" s="85" t="s">
        <v>300</v>
      </c>
      <c r="C94" s="54" t="s">
        <v>179</v>
      </c>
      <c r="D94" s="95" t="s">
        <v>265</v>
      </c>
      <c r="E94" s="78" t="str">
        <f t="shared" si="3"/>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F94" s="54" t="s">
        <v>232</v>
      </c>
    </row>
    <row r="95" spans="2:6">
      <c r="B95" s="85" t="s">
        <v>300</v>
      </c>
      <c r="C95" s="54" t="s">
        <v>253</v>
      </c>
      <c r="D95" s="95" t="s">
        <v>270</v>
      </c>
      <c r="E95" s="78" t="str">
        <f t="shared" si="3"/>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F95" s="54" t="s">
        <v>232</v>
      </c>
    </row>
    <row r="96" spans="2:6">
      <c r="B96" s="85" t="s">
        <v>300</v>
      </c>
      <c r="C96" s="54" t="s">
        <v>167</v>
      </c>
      <c r="D96" s="95" t="s">
        <v>263</v>
      </c>
      <c r="E96" s="78" t="str">
        <f>IF(D96="","",""""&amp;C96&amp;" "&amp;IF(C96="[FOOTER RULE - STRICT]",D96,IF(RIGHT(D96,6)=" | "&amp;CHAR(34)&amp;" &amp;",D96,D96&amp;" | "&amp;CHAR(34)&amp;" &amp;")))</f>
        <v>"[TASK] Analyze the student's code and explanation. If the code is perfect, congratulate them warmly and provide 2 'Bonus Challenges'. Otherwise, follow the 2-PHASE MENTORING PROTOCOL | " &amp;</v>
      </c>
      <c r="F96" s="54" t="s">
        <v>232</v>
      </c>
    </row>
    <row r="97" spans="2:6">
      <c r="B97" s="85" t="s">
        <v>300</v>
      </c>
      <c r="C97" s="54" t="s">
        <v>254</v>
      </c>
      <c r="D97" s="95" t="s">
        <v>347</v>
      </c>
      <c r="E97" s="78" t="str">
        <f t="shared" si="3"/>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F97" s="54" t="s">
        <v>232</v>
      </c>
    </row>
    <row r="98" spans="2:6">
      <c r="B98" s="85" t="s">
        <v>300</v>
      </c>
      <c r="C98" s="54" t="s">
        <v>255</v>
      </c>
      <c r="D98" s="95" t="s">
        <v>343</v>
      </c>
      <c r="E98" s="78" t="str">
        <f t="shared" si="3"/>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F98" s="54" t="s">
        <v>232</v>
      </c>
    </row>
    <row r="99" spans="2:6">
      <c r="B99" s="85" t="s">
        <v>300</v>
      </c>
      <c r="C99" s="54" t="s">
        <v>256</v>
      </c>
      <c r="D99" s="95" t="s">
        <v>346</v>
      </c>
      <c r="E99" s="78" t="str">
        <f t="shared" si="3"/>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F99" s="54" t="s">
        <v>232</v>
      </c>
    </row>
    <row r="100" spans="2:6">
      <c r="B100" s="85" t="s">
        <v>300</v>
      </c>
      <c r="C100" s="54" t="s">
        <v>257</v>
      </c>
      <c r="D100" s="95" t="s">
        <v>271</v>
      </c>
      <c r="E100" s="78" t="str">
        <f t="shared" si="3"/>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F100" s="54" t="s">
        <v>232</v>
      </c>
    </row>
    <row r="101" spans="2:6">
      <c r="B101" s="85" t="s">
        <v>300</v>
      </c>
      <c r="C101" s="54" t="s">
        <v>260</v>
      </c>
      <c r="D101" s="95" t="s">
        <v>344</v>
      </c>
      <c r="E101" s="78" t="str">
        <f t="shared" si="3"/>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F101" s="54" t="s">
        <v>232</v>
      </c>
    </row>
    <row r="102" spans="2:6">
      <c r="B102" s="85" t="s">
        <v>300</v>
      </c>
      <c r="C102" s="54" t="s">
        <v>223</v>
      </c>
      <c r="D102" s="95" t="s">
        <v>643</v>
      </c>
      <c r="E102" s="78" t="str">
        <f t="shared" si="3"/>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F102" s="54" t="s">
        <v>232</v>
      </c>
    </row>
    <row r="103" spans="2:6">
      <c r="B103" s="85" t="s">
        <v>300</v>
      </c>
      <c r="C103" s="54" t="s">
        <v>228</v>
      </c>
      <c r="D103" s="95" t="s">
        <v>345</v>
      </c>
      <c r="E103" s="78" t="str">
        <f t="shared" si="3"/>
        <v>"[FOOTER RULE - STRICT] End your response with: '--- ⚡ *Coding5s Mentor System — Eliminating Epistemic Debt*' | ","")</v>
      </c>
      <c r="F103" s="54" t="s">
        <v>232</v>
      </c>
    </row>
  </sheetData>
  <conditionalFormatting sqref="B1:B1048576">
    <cfRule type="cellIs" dxfId="59" priority="10" operator="equal">
      <formula>"The Immutable ""Kernel"""</formula>
    </cfRule>
    <cfRule type="cellIs" dxfId="58" priority="11" operator="equal">
      <formula>"Paradigm &amp; Ecosystem"</formula>
    </cfRule>
    <cfRule type="cellIs" dxfId="57" priority="12" operator="equal">
      <formula>"Global Variables &amp; Configuration"</formula>
    </cfRule>
  </conditionalFormatting>
  <conditionalFormatting sqref="C4:C50">
    <cfRule type="expression" dxfId="56" priority="7">
      <formula>$B4="The Immutable Kernel"</formula>
    </cfRule>
    <cfRule type="expression" dxfId="55" priority="8">
      <formula>$B4="Paradigm &amp; Ecosystem"</formula>
    </cfRule>
    <cfRule type="expression" dxfId="54" priority="9">
      <formula>$B4="Global Variables &amp; Configuration"</formula>
    </cfRule>
  </conditionalFormatting>
  <conditionalFormatting sqref="C55:C78">
    <cfRule type="expression" dxfId="53" priority="4">
      <formula>$B55="The Immutable Kernel"</formula>
    </cfRule>
    <cfRule type="expression" dxfId="52" priority="5">
      <formula>$B55="Paradigm &amp; Ecosystem"</formula>
    </cfRule>
    <cfRule type="expression" dxfId="51" priority="6">
      <formula>$B55="Global Variables &amp; Configuration"</formula>
    </cfRule>
  </conditionalFormatting>
  <conditionalFormatting sqref="C83:C103">
    <cfRule type="expression" dxfId="50" priority="1">
      <formula>$B83="The Immutable Kernel"</formula>
    </cfRule>
    <cfRule type="expression" dxfId="49" priority="2">
      <formula>$B83="Paradigm &amp; Ecosystem"</formula>
    </cfRule>
    <cfRule type="expression" dxfId="48" priority="3">
      <formula>$B83="Global Variables &amp; Configuration"</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B2:AC100"/>
  <sheetViews>
    <sheetView showGridLines="0" topLeftCell="A83" zoomScaleNormal="100" workbookViewId="0">
      <selection activeCell="E80" sqref="E80:E97"/>
    </sheetView>
  </sheetViews>
  <sheetFormatPr defaultRowHeight="15"/>
  <cols>
    <col min="1" max="1" width="5.42578125" customWidth="1"/>
    <col min="2" max="2" width="37.42578125" customWidth="1"/>
    <col min="3" max="3" width="33" customWidth="1"/>
    <col min="4" max="4" width="85.28515625" customWidth="1"/>
    <col min="5" max="5" width="39.5703125" style="86" customWidth="1"/>
    <col min="6" max="6" width="4" customWidth="1"/>
  </cols>
  <sheetData>
    <row r="2" spans="2:29" ht="36">
      <c r="B2" s="79" t="s">
        <v>500</v>
      </c>
      <c r="D2" s="82" t="s">
        <v>299</v>
      </c>
      <c r="H2" s="83" t="s">
        <v>297</v>
      </c>
      <c r="T2" s="83" t="s">
        <v>298</v>
      </c>
    </row>
    <row r="3" spans="2:29">
      <c r="B3" s="77" t="s">
        <v>229</v>
      </c>
      <c r="C3" s="77" t="s">
        <v>639</v>
      </c>
      <c r="D3" s="77" t="s">
        <v>640</v>
      </c>
      <c r="E3" s="89" t="s">
        <v>237</v>
      </c>
      <c r="F3" s="4" t="s">
        <v>232</v>
      </c>
      <c r="AC3" t="s">
        <v>232</v>
      </c>
    </row>
    <row r="4" spans="2:29">
      <c r="B4" s="76" t="s">
        <v>230</v>
      </c>
      <c r="C4" s="54" t="s">
        <v>165</v>
      </c>
      <c r="D4" s="94" t="s">
        <v>301</v>
      </c>
      <c r="E4" s="78" t="str">
        <f t="shared" ref="E4:E41" si="0">IF(D4="","",""""&amp;C4&amp;" "&amp;IF(C4="[FOOTER RULE - STRICT]",D4,IF(RIGHT(D4,6)=" | "&amp;CHAR(34)&amp;" &amp;",D4,D4&amp;" | "&amp;CHAR(34)&amp;" &amp;")))</f>
        <v>"[ROLE] Careless " &amp; $I$2 &amp; " Developer | " &amp;</v>
      </c>
      <c r="F4" s="54" t="s">
        <v>232</v>
      </c>
    </row>
    <row r="5" spans="2:29">
      <c r="B5" s="76" t="s">
        <v>230</v>
      </c>
      <c r="C5" s="54" t="s">
        <v>167</v>
      </c>
      <c r="D5" s="94" t="s">
        <v>302</v>
      </c>
      <c r="E5" s="78" t="str">
        <f t="shared" si="0"/>
        <v>"[TASK] Generate debugging challenges in " &amp; $I$2 &amp; " | | " &amp;</v>
      </c>
      <c r="F5" s="54" t="s">
        <v>232</v>
      </c>
    </row>
    <row r="6" spans="2:29">
      <c r="B6" s="76" t="s">
        <v>230</v>
      </c>
      <c r="C6" s="54" t="s">
        <v>169</v>
      </c>
      <c r="D6" s="94" t="s">
        <v>303</v>
      </c>
      <c r="E6" s="78" t="str">
        <f t="shared" si="0"/>
        <v>"[TOPIC] " &amp; I9 &amp; " | | " &amp;</v>
      </c>
      <c r="F6" s="54" t="s">
        <v>232</v>
      </c>
    </row>
    <row r="7" spans="2:29">
      <c r="B7" s="76" t="s">
        <v>230</v>
      </c>
      <c r="C7" s="54" t="s">
        <v>171</v>
      </c>
      <c r="D7" s="94" t="s">
        <v>304</v>
      </c>
      <c r="E7" s="78" t="str">
        <f t="shared" si="0"/>
        <v>"[LEVEL] " &amp; G9 &amp; " | | " &amp;</v>
      </c>
      <c r="F7" s="54" t="s">
        <v>232</v>
      </c>
    </row>
    <row r="8" spans="2:29">
      <c r="B8" s="76" t="s">
        <v>230</v>
      </c>
      <c r="C8" s="54" t="s">
        <v>173</v>
      </c>
      <c r="D8" s="94" t="s">
        <v>305</v>
      </c>
      <c r="E8" s="78" t="str">
        <f t="shared" si="0"/>
        <v>"[COUNT] " &amp; D9 &amp; " challenges | " &amp;</v>
      </c>
      <c r="F8" s="54" t="s">
        <v>232</v>
      </c>
    </row>
    <row r="9" spans="2:29">
      <c r="B9" s="76" t="s">
        <v>230</v>
      </c>
      <c r="C9" s="54" t="s">
        <v>238</v>
      </c>
      <c r="D9" s="94" t="s">
        <v>291</v>
      </c>
      <c r="E9" s="78" t="str">
        <f t="shared" si="0"/>
        <v>"[LIBRARY BEING LEARNED] " &amp; $I$3 &amp; " | " &amp;</v>
      </c>
      <c r="F9" s="54" t="s">
        <v>232</v>
      </c>
    </row>
    <row r="10" spans="2:29">
      <c r="B10" s="76" t="s">
        <v>230</v>
      </c>
      <c r="C10" s="54" t="s">
        <v>233</v>
      </c>
      <c r="D10" s="94" t="s">
        <v>239</v>
      </c>
      <c r="E10"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10" s="54" t="s">
        <v>232</v>
      </c>
    </row>
    <row r="11" spans="2:29">
      <c r="B11" s="76" t="s">
        <v>230</v>
      </c>
      <c r="C11" s="54" t="s">
        <v>223</v>
      </c>
      <c r="D11" s="94" t="s">
        <v>644</v>
      </c>
      <c r="E11" s="78"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232</v>
      </c>
    </row>
    <row r="12" spans="2:29">
      <c r="B12" s="76" t="s">
        <v>230</v>
      </c>
      <c r="C12" s="54" t="s">
        <v>177</v>
      </c>
      <c r="D12" s="94" t="s">
        <v>178</v>
      </c>
      <c r="E12" s="78"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232</v>
      </c>
    </row>
    <row r="13" spans="2:29">
      <c r="B13" s="76" t="s">
        <v>230</v>
      </c>
      <c r="C13" s="54" t="s">
        <v>550</v>
      </c>
      <c r="D13" s="94" t="s">
        <v>542</v>
      </c>
      <c r="E13" s="78" t="str">
        <f t="shared" si="0"/>
        <v>"[LANGUAGE SEED CONTEXT] " &amp; IF($AE$7 = "", "Language Seed Not Necessary", "You MUST strictly follow this seed context to enhance, adapt, and naturalize your tone, vocabulary, and instructional quality in " &amp; $B$6 &amp; ": " &amp; $AE$7) &amp; " | " &amp;</v>
      </c>
      <c r="F13" s="54" t="s">
        <v>232</v>
      </c>
    </row>
    <row r="14" spans="2:29">
      <c r="B14" s="84" t="s">
        <v>231</v>
      </c>
      <c r="C14" s="54" t="s">
        <v>241</v>
      </c>
      <c r="D14" s="94"/>
      <c r="E14" s="78" t="str">
        <f t="shared" si="0"/>
        <v/>
      </c>
      <c r="F14" s="54" t="s">
        <v>232</v>
      </c>
    </row>
    <row r="15" spans="2:29">
      <c r="B15" s="84" t="s">
        <v>231</v>
      </c>
      <c r="C15" s="54" t="s">
        <v>241</v>
      </c>
      <c r="D15" s="94"/>
      <c r="E15" s="78" t="str">
        <f t="shared" si="0"/>
        <v/>
      </c>
      <c r="F15" s="54" t="s">
        <v>232</v>
      </c>
    </row>
    <row r="16" spans="2:29">
      <c r="B16" s="84" t="s">
        <v>231</v>
      </c>
      <c r="C16" s="54" t="s">
        <v>195</v>
      </c>
      <c r="D16" s="94" t="s">
        <v>306</v>
      </c>
      <c r="E16" s="78" t="str">
        <f t="shared" si="0"/>
        <v>"[FILE HANDLING RULE] Use correct loaders and enforce encoding='utf-8' and newline='' when applicable | " &amp;</v>
      </c>
      <c r="F16" s="54" t="s">
        <v>232</v>
      </c>
    </row>
    <row r="17" spans="2:6">
      <c r="B17" s="84" t="s">
        <v>231</v>
      </c>
      <c r="C17" s="54" t="s">
        <v>197</v>
      </c>
      <c r="D17" s="94" t="s">
        <v>307</v>
      </c>
      <c r="E17" s="78" t="str">
        <f t="shared" si="0"/>
        <v>"[DATA TYPE RULE] Explicit casting required before comparisons or calculations | " &amp;</v>
      </c>
      <c r="F17" s="54" t="s">
        <v>232</v>
      </c>
    </row>
    <row r="18" spans="2:6">
      <c r="B18" s="54" t="s">
        <v>231</v>
      </c>
      <c r="C18" s="54" t="s">
        <v>308</v>
      </c>
      <c r="D18" s="94" t="s">
        <v>309</v>
      </c>
      <c r="E18" s="78" t="str">
        <f t="shared" si="0"/>
        <v>"[ENV USAGE RULE] Environment variables may be used but bugs MUST exist ONLY in code logic, NEVER in config files | " &amp;</v>
      </c>
      <c r="F18" s="54" t="s">
        <v>232</v>
      </c>
    </row>
    <row r="19" spans="2:6">
      <c r="B19" s="54" t="s">
        <v>231</v>
      </c>
      <c r="C19" s="54" t="s">
        <v>184</v>
      </c>
      <c r="D19" s="94" t="s">
        <v>310</v>
      </c>
      <c r="E19" s="78" t="str">
        <f t="shared" si="0"/>
        <v>"[CODE CONSTRAINTS] Each challenge MUST include: - Internal data OR dataset usage (based on DATA RULE) - At least 1 loop (when applicable) - At least 1 print statement - " &amp; IF(G9="Beginner", "5–15", IF(G9="Intermediate", "10–25", "15–35")) &amp; " lines of EXECUTABLE code per example (STRICT: Do NOT count blank lines towards this limit) " &amp; IF(G9&lt;&gt;"Advanced", "- NO classes ", "") &amp; "- EXACTLY 1 function - EXACTLY 1 function call - NO global executable code EXCEPT the single function call | " &amp;</v>
      </c>
      <c r="F19" s="54" t="s">
        <v>232</v>
      </c>
    </row>
    <row r="20" spans="2:6">
      <c r="B20" s="54" t="s">
        <v>300</v>
      </c>
      <c r="C20" s="54" t="s">
        <v>194</v>
      </c>
      <c r="D20" s="94" t="s">
        <v>311</v>
      </c>
      <c r="E20" s="78" t="str">
        <f t="shared" si="0"/>
        <v>"[INTRO RULE] The intro MUST be a dynamically generated, urgent, unprofessional email in " &amp; $B$6 &amp; " with this EXACT format: '📥 From: [Random Dev Name]' / '📤 To: [Insert my user name if you know it from context, otherwise use " &amp; $I$2 &amp; "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 '🚨 Your objective in this lesson: You must copy the code blocks from each Challenge exactly as they are and paste them into your IDE. Then you have to fix all the errors in the code until you achieve the exact Expected Output when running the program.' | " &amp;</v>
      </c>
      <c r="F20" s="54" t="s">
        <v>232</v>
      </c>
    </row>
    <row r="21" spans="2:6">
      <c r="B21" s="54" t="s">
        <v>300</v>
      </c>
      <c r="C21" s="54" t="s">
        <v>312</v>
      </c>
      <c r="D21" s="94" t="s">
        <v>313</v>
      </c>
      <c r="E21" s="78" t="str">
        <f t="shared" si="0"/>
        <v>"[COMMENT RULE] Do NOT include comments that reveal bugs | " &amp;</v>
      </c>
      <c r="F21" s="54" t="s">
        <v>232</v>
      </c>
    </row>
    <row r="22" spans="2:6">
      <c r="B22" s="54" t="s">
        <v>300</v>
      </c>
      <c r="C22" s="54" t="s">
        <v>215</v>
      </c>
      <c r="D22" s="94" t="s">
        <v>314</v>
      </c>
      <c r="E22" s="78" t="str">
        <f t="shared" si="0"/>
        <v>"[FORMAT RULE] Only valid markdown code blocks allowed | " &amp;</v>
      </c>
      <c r="F22" s="54" t="s">
        <v>232</v>
      </c>
    </row>
    <row r="23" spans="2:6">
      <c r="B23" s="54" t="s">
        <v>300</v>
      </c>
      <c r="C23" s="54" t="s">
        <v>217</v>
      </c>
      <c r="D23" s="94" t="s">
        <v>315</v>
      </c>
      <c r="E23" s="78" t="str">
        <f t="shared" si="0"/>
        <v>"[LANGUAGE TAG RULE] ALWAYS label markdown code blocks with the correct underlying programming language (e.g., python, javascript, sql) | " &amp;</v>
      </c>
      <c r="F23" s="54" t="s">
        <v>232</v>
      </c>
    </row>
    <row r="24" spans="2:6">
      <c r="B24" s="54" t="s">
        <v>300</v>
      </c>
      <c r="C24" s="54" t="s">
        <v>316</v>
      </c>
      <c r="D24" s="94" t="s">
        <v>317</v>
      </c>
      <c r="E24" s="78" t="str">
        <f t="shared" si="0"/>
        <v>"[STRICT MODE] If ANY rule is violated, regenerate entire response | " &amp;</v>
      </c>
      <c r="F24" s="54" t="s">
        <v>232</v>
      </c>
    </row>
    <row r="25" spans="2:6">
      <c r="B25" s="54" t="s">
        <v>300</v>
      </c>
      <c r="C25" s="54" t="s">
        <v>175</v>
      </c>
      <c r="D25" s="94" t="s">
        <v>318</v>
      </c>
      <c r="E25" s="78" t="str">
        <f t="shared" si="0"/>
        <v>"[PERSONA RULE] Use a careless, messy, slightly frustrated developer tone | " &amp;</v>
      </c>
      <c r="F25" s="54" t="s">
        <v>232</v>
      </c>
    </row>
    <row r="26" spans="2:6">
      <c r="B26" s="54" t="s">
        <v>300</v>
      </c>
      <c r="C26" s="54" t="s">
        <v>182</v>
      </c>
      <c r="D26" s="94" t="s">
        <v>319</v>
      </c>
      <c r="E26" s="78"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232</v>
      </c>
    </row>
    <row r="27" spans="2:6">
      <c r="B27" s="54" t="s">
        <v>300</v>
      </c>
      <c r="C27" s="54" t="s">
        <v>224</v>
      </c>
      <c r="D27" s="94" t="s">
        <v>320</v>
      </c>
      <c r="E27" s="78" t="str">
        <f t="shared" si="0"/>
        <v>"[OUTPUT] Only header, dataset summary (if any), email intro, challenges, and footer | " &amp;</v>
      </c>
      <c r="F27" s="54" t="s">
        <v>232</v>
      </c>
    </row>
    <row r="28" spans="2:6">
      <c r="B28" s="54" t="s">
        <v>300</v>
      </c>
      <c r="C28" s="54" t="s">
        <v>321</v>
      </c>
      <c r="D28" s="94" t="s">
        <v>322</v>
      </c>
      <c r="E28" s="78" t="str">
        <f t="shared" si="0"/>
        <v>"[STRUCTURE RULE] Do NOT rename sections. Do NOT add titles. Do NOT add extra text (except when required by SUPPORT FILES RULE) | " &amp;</v>
      </c>
      <c r="F28" s="54" t="s">
        <v>232</v>
      </c>
    </row>
    <row r="29" spans="2:6">
      <c r="B29" s="54" t="s">
        <v>300</v>
      </c>
      <c r="C29" s="54" t="s">
        <v>220</v>
      </c>
      <c r="D29" s="94" t="s">
        <v>323</v>
      </c>
      <c r="E29" s="78" t="str">
        <f t="shared" si="0"/>
        <v>"[CONSISTENCY RULE] All challenges MUST have similar complexity and length | " &amp;</v>
      </c>
      <c r="F29" s="54" t="s">
        <v>232</v>
      </c>
    </row>
    <row r="30" spans="2:6">
      <c r="B30" s="54" t="s">
        <v>300</v>
      </c>
      <c r="C30" s="54" t="s">
        <v>324</v>
      </c>
      <c r="D30" s="94" t="s">
        <v>325</v>
      </c>
      <c r="E30" s="78" t="str">
        <f t="shared" si="0"/>
        <v>"[BUG COMPLEXITY RULE] Must align with score (3 basic, 4 intermediate, 5 multi-step) | " &amp;</v>
      </c>
      <c r="F30" s="54" t="s">
        <v>232</v>
      </c>
    </row>
    <row r="31" spans="2:6">
      <c r="B31" s="54" t="s">
        <v>300</v>
      </c>
      <c r="C31" s="54" t="s">
        <v>326</v>
      </c>
      <c r="D31" s="94" t="s">
        <v>327</v>
      </c>
      <c r="E31" s="78" t="str">
        <f t="shared" si="0"/>
        <v>"[BUG RULE] Each challenge MUST include 2–3 bugs. | " &amp;</v>
      </c>
      <c r="F31" s="54" t="s">
        <v>232</v>
      </c>
    </row>
    <row r="32" spans="2:6">
      <c r="B32" s="54" t="s">
        <v>300</v>
      </c>
      <c r="C32" s="54" t="s">
        <v>328</v>
      </c>
      <c r="D32" s="94" t="s">
        <v>329</v>
      </c>
      <c r="E32" s="78" t="str">
        <f t="shared" si="0"/>
        <v>"[CORRECTNESS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v>
      </c>
      <c r="F32" s="54" t="s">
        <v>232</v>
      </c>
    </row>
    <row r="33" spans="2:6">
      <c r="B33" s="54" t="s">
        <v>300</v>
      </c>
      <c r="C33" s="54" t="s">
        <v>281</v>
      </c>
      <c r="D33" s="94" t="s">
        <v>330</v>
      </c>
      <c r="E33" s="78" t="str">
        <f t="shared" si="0"/>
        <v>"[EXECUTION RULE] Code must fail due to syntax errors, runtime exceptions, or produce incorrect output | " &amp;</v>
      </c>
      <c r="F33" s="54" t="s">
        <v>232</v>
      </c>
    </row>
    <row r="34" spans="2:6">
      <c r="B34" s="54" t="s">
        <v>300</v>
      </c>
      <c r="C34" s="54" t="s">
        <v>179</v>
      </c>
      <c r="D34" s="94" t="s">
        <v>331</v>
      </c>
      <c r="E34" s="78" t="str">
        <f t="shared" si="0"/>
        <v>"[DATA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v>
      </c>
      <c r="F34" s="54" t="s">
        <v>232</v>
      </c>
    </row>
    <row r="35" spans="2:6">
      <c r="B35" s="54" t="s">
        <v>300</v>
      </c>
      <c r="C35" s="54" t="s">
        <v>332</v>
      </c>
      <c r="D35" s="94" t="s">
        <v>333</v>
      </c>
      <c r="E35" s="78"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232</v>
      </c>
    </row>
    <row r="36" spans="2:6">
      <c r="B36" s="54" t="s">
        <v>300</v>
      </c>
      <c r="C36" s="54" t="s">
        <v>180</v>
      </c>
      <c r="D36" s="94" t="s">
        <v>334</v>
      </c>
      <c r="E36" s="78" t="str">
        <f t="shared" si="0"/>
        <v>"[DATA SUMMARY FORMAT RULE] Dataset Summary: - File Type: - Columns / Fields: - Data Types: - Notes: | " &amp;</v>
      </c>
      <c r="F36" s="54" t="s">
        <v>232</v>
      </c>
    </row>
    <row r="37" spans="2:6">
      <c r="B37" s="54" t="s">
        <v>300</v>
      </c>
      <c r="C37" s="54" t="s">
        <v>335</v>
      </c>
      <c r="D37" s="94" t="s">
        <v>336</v>
      </c>
      <c r="E37" s="78" t="str">
        <f t="shared" si="0"/>
        <v>"[SUPPORT FILES RULE - STRICT] If env/config is used, MUST include: 1. Instructional sentence 2. File content in markdown code block 3. BEFORE the broken code | | " &amp;</v>
      </c>
      <c r="F37" s="54" t="s">
        <v>232</v>
      </c>
    </row>
    <row r="38" spans="2:6">
      <c r="B38" s="54" t="s">
        <v>300</v>
      </c>
      <c r="C38" s="54" t="s">
        <v>337</v>
      </c>
      <c r="D38" s="94" t="s">
        <v>338</v>
      </c>
      <c r="E38" s="78" t="str">
        <f t="shared" si="0"/>
        <v>"[SUPPORT FILES QUALITY RULE] Support files (.env, .env.example, .gitignore) MUST be fully correct and contain NO bugs | " &amp;</v>
      </c>
      <c r="F38" s="54" t="s">
        <v>232</v>
      </c>
    </row>
    <row r="39" spans="2:6">
      <c r="B39" s="54" t="s">
        <v>300</v>
      </c>
      <c r="C39" s="54" t="s">
        <v>339</v>
      </c>
      <c r="D39" s="94" t="s">
        <v>340</v>
      </c>
      <c r="E39" s="78" t="str">
        <f t="shared" si="0"/>
        <v>"[NO SOLUTION RULE - STRICT] You are generating an EXAM. You MUST NOT provide the fixed code, bug diagnosis, hints, explanations, or takeaways. Output ONLY the broken code. Do NOT solve your own challenges. Let the student find the bugs. | " &amp;</v>
      </c>
      <c r="F39" s="54" t="s">
        <v>232</v>
      </c>
    </row>
    <row r="40" spans="2:6">
      <c r="B40" s="54" t="s">
        <v>300</v>
      </c>
      <c r="C40" s="54" t="s">
        <v>228</v>
      </c>
      <c r="D40" s="94" t="s">
        <v>342</v>
      </c>
      <c r="E40" s="78" t="str">
        <f t="shared" si="0"/>
        <v>"[FOOTER RULE - STRICT] End your entire response EXACTLY with this markdown string (ensure all code blocks are closed before it):" &amp; CHAR(10) &amp; "---" &amp; CHAR(10) &amp; "⚡ Coding5s System - Learn Programming by Writing Code - Coding5S.com",</v>
      </c>
      <c r="F40" s="54" t="s">
        <v>232</v>
      </c>
    </row>
    <row r="41" spans="2:6">
      <c r="B41" s="54" t="s">
        <v>300</v>
      </c>
      <c r="C41" s="54"/>
      <c r="D41" s="94"/>
      <c r="E41" s="78" t="str">
        <f t="shared" si="0"/>
        <v/>
      </c>
      <c r="F41" s="54" t="s">
        <v>232</v>
      </c>
    </row>
    <row r="42" spans="2:6">
      <c r="B42" s="54" t="s">
        <v>300</v>
      </c>
      <c r="C42" s="54"/>
      <c r="D42" s="94"/>
      <c r="E42" s="89" t="s">
        <v>341</v>
      </c>
      <c r="F42" s="54"/>
    </row>
    <row r="43" spans="2:6">
      <c r="B43" s="75"/>
      <c r="C43" s="75"/>
      <c r="E43" s="87"/>
    </row>
    <row r="44" spans="2:6">
      <c r="B44" s="75"/>
      <c r="C44" s="75"/>
      <c r="E44" s="87"/>
    </row>
    <row r="45" spans="2:6" ht="36">
      <c r="B45" s="80" t="s">
        <v>499</v>
      </c>
      <c r="C45" s="75"/>
      <c r="E45" s="87"/>
    </row>
    <row r="46" spans="2:6">
      <c r="B46" s="77" t="s">
        <v>286</v>
      </c>
      <c r="C46" s="77" t="s">
        <v>639</v>
      </c>
      <c r="D46" s="77" t="s">
        <v>640</v>
      </c>
      <c r="E46" s="89" t="s">
        <v>287</v>
      </c>
      <c r="F46" s="32" t="s">
        <v>232</v>
      </c>
    </row>
    <row r="47" spans="2:6">
      <c r="B47" s="54" t="s">
        <v>230</v>
      </c>
      <c r="C47" s="54" t="s">
        <v>165</v>
      </c>
      <c r="D47" s="94" t="s">
        <v>301</v>
      </c>
      <c r="E47" s="78" t="str">
        <f>IF(D47="","",""""&amp;C47&amp;" "&amp;IF(C47="[FOOTER RULE - STRICT]",D47,IF(RIGHT(D47,6)=" | "&amp;CHAR(34)&amp;" &amp;",D47,D47&amp;" | "&amp;CHAR(34)&amp;" &amp;")))</f>
        <v>"[ROLE] Careless " &amp; $I$2 &amp; " Developer | " &amp;</v>
      </c>
      <c r="F47" s="32" t="s">
        <v>232</v>
      </c>
    </row>
    <row r="48" spans="2:6">
      <c r="B48" s="54" t="s">
        <v>230</v>
      </c>
      <c r="C48" s="54" t="s">
        <v>167</v>
      </c>
      <c r="D48" s="94" t="s">
        <v>348</v>
      </c>
      <c r="E48" s="78" t="str">
        <f t="shared" ref="E48:E76" si="1">IF(D48="","",""""&amp;C48&amp;" "&amp;IF(C48="[FOOTER RULE - STRICT]",D48,IF(RIGHT(D48,6)=" | "&amp;CHAR(34)&amp;" &amp;",D48,D48&amp;" | "&amp;CHAR(34)&amp;" &amp;")))</f>
        <v>"[TASK] Generate debugging project in " &amp; $I$2 &amp; " | " &amp;</v>
      </c>
      <c r="F48" s="32" t="s">
        <v>232</v>
      </c>
    </row>
    <row r="49" spans="2:6">
      <c r="B49" s="54" t="s">
        <v>230</v>
      </c>
      <c r="C49" s="54" t="s">
        <v>349</v>
      </c>
      <c r="D49" s="94" t="s">
        <v>170</v>
      </c>
      <c r="E49" s="78" t="str">
        <f t="shared" si="1"/>
        <v>"[PROJECT] " &amp; I9 &amp; " | " &amp;</v>
      </c>
      <c r="F49" s="32" t="s">
        <v>232</v>
      </c>
    </row>
    <row r="50" spans="2:6">
      <c r="B50" s="54" t="s">
        <v>230</v>
      </c>
      <c r="C50" s="54" t="s">
        <v>272</v>
      </c>
      <c r="D50" s="94" t="s">
        <v>273</v>
      </c>
      <c r="E50" s="78" t="str">
        <f t="shared" si="1"/>
        <v>"[TOPICS USED] " &amp; B9 &amp; " | " &amp;</v>
      </c>
      <c r="F50" s="32" t="s">
        <v>232</v>
      </c>
    </row>
    <row r="51" spans="2:6">
      <c r="B51" s="54" t="s">
        <v>230</v>
      </c>
      <c r="C51" s="54" t="s">
        <v>171</v>
      </c>
      <c r="D51" s="94" t="s">
        <v>172</v>
      </c>
      <c r="E51" s="78" t="str">
        <f t="shared" si="1"/>
        <v>"[LEVEL] " &amp; G9 &amp; " | " &amp;</v>
      </c>
      <c r="F51" s="32" t="s">
        <v>232</v>
      </c>
    </row>
    <row r="52" spans="2:6">
      <c r="B52" s="54" t="s">
        <v>230</v>
      </c>
      <c r="C52" s="54" t="s">
        <v>224</v>
      </c>
      <c r="D52" s="94" t="s">
        <v>350</v>
      </c>
      <c r="E52" s="78" t="str">
        <f t="shared" si="1"/>
        <v>"[OUTPUT] Only header, dataset summary or statement (if any), email intro, objective, expected output, broken code, and footer | " &amp;</v>
      </c>
      <c r="F52" s="32" t="s">
        <v>232</v>
      </c>
    </row>
    <row r="53" spans="2:6">
      <c r="B53" s="54" t="s">
        <v>230</v>
      </c>
      <c r="C53" s="54" t="s">
        <v>223</v>
      </c>
      <c r="D53" s="94" t="s">
        <v>645</v>
      </c>
      <c r="E53" s="78" t="str">
        <f t="shared" si="1"/>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232</v>
      </c>
    </row>
    <row r="54" spans="2:6">
      <c r="B54" s="54" t="s">
        <v>230</v>
      </c>
      <c r="C54" s="54" t="s">
        <v>238</v>
      </c>
      <c r="D54" s="94" t="s">
        <v>291</v>
      </c>
      <c r="E54" s="78" t="str">
        <f t="shared" si="1"/>
        <v>"[LIBRARY BEING LEARNED] " &amp; $I$3 &amp; " | " &amp;</v>
      </c>
      <c r="F54" s="32" t="s">
        <v>232</v>
      </c>
    </row>
    <row r="55" spans="2:6">
      <c r="B55" s="54" t="s">
        <v>230</v>
      </c>
      <c r="C55" s="54" t="s">
        <v>233</v>
      </c>
      <c r="D55" s="94" t="s">
        <v>351</v>
      </c>
      <c r="E55" s="78" t="str">
        <f t="shared" si="1"/>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55" s="32" t="s">
        <v>232</v>
      </c>
    </row>
    <row r="56" spans="2:6">
      <c r="B56" s="54" t="s">
        <v>230</v>
      </c>
      <c r="C56" s="54" t="s">
        <v>177</v>
      </c>
      <c r="D56" s="94" t="s">
        <v>352</v>
      </c>
      <c r="E56" s="78" t="str">
        <f t="shared" si="1"/>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232</v>
      </c>
    </row>
    <row r="57" spans="2:6">
      <c r="B57" s="54" t="s">
        <v>230</v>
      </c>
      <c r="C57" s="54" t="s">
        <v>550</v>
      </c>
      <c r="D57" s="94" t="s">
        <v>542</v>
      </c>
      <c r="E57" s="78" t="str">
        <f t="shared" si="1"/>
        <v>"[LANGUAGE SEED CONTEXT] " &amp; IF($AE$7 = "", "Language Seed Not Necessary", "You MUST strictly follow this seed context to enhance, adapt, and naturalize your tone, vocabulary, and instructional quality in " &amp; $B$6 &amp; ": " &amp; $AE$7) &amp; " | " &amp;</v>
      </c>
      <c r="F57" s="32" t="s">
        <v>232</v>
      </c>
    </row>
    <row r="58" spans="2:6">
      <c r="B58" s="54" t="s">
        <v>231</v>
      </c>
      <c r="C58" s="54" t="s">
        <v>241</v>
      </c>
      <c r="D58" s="94"/>
      <c r="E58" s="78" t="str">
        <f t="shared" si="1"/>
        <v/>
      </c>
      <c r="F58" s="32" t="s">
        <v>232</v>
      </c>
    </row>
    <row r="59" spans="2:6">
      <c r="B59" s="54" t="s">
        <v>231</v>
      </c>
      <c r="C59" s="54" t="s">
        <v>308</v>
      </c>
      <c r="D59" s="94" t="s">
        <v>353</v>
      </c>
      <c r="E59" s="78" t="str">
        <f t="shared" si="1"/>
        <v>"[ENV USAGE RULE] Bugs ONLY in code logic, not config files | " &amp;</v>
      </c>
      <c r="F59" s="32" t="s">
        <v>232</v>
      </c>
    </row>
    <row r="60" spans="2:6">
      <c r="B60" s="54" t="s">
        <v>231</v>
      </c>
      <c r="C60" s="54" t="s">
        <v>202</v>
      </c>
      <c r="D60" s="94" t="s">
        <v>354</v>
      </c>
      <c r="E60" s="78" t="str">
        <f t="shared" si="1"/>
        <v>"[SUPPORT FILES RULE] IF an external configuration or data file is needed, include: 1. Short instructional sentence 2. File content in markdown code block 3. Place it strictly BEFORE the main code. | " &amp;</v>
      </c>
      <c r="F60" s="32" t="s">
        <v>232</v>
      </c>
    </row>
    <row r="61" spans="2:6">
      <c r="B61" s="54" t="s">
        <v>231</v>
      </c>
      <c r="C61" s="54" t="s">
        <v>326</v>
      </c>
      <c r="D61" s="94" t="s">
        <v>355</v>
      </c>
      <c r="E61" s="78" t="str">
        <f t="shared" si="1"/>
        <v>"[BUG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v>
      </c>
      <c r="F61" s="32" t="s">
        <v>232</v>
      </c>
    </row>
    <row r="62" spans="2:6">
      <c r="B62" s="54" t="s">
        <v>231</v>
      </c>
      <c r="C62" s="54" t="s">
        <v>339</v>
      </c>
      <c r="D62" s="94" t="s">
        <v>340</v>
      </c>
      <c r="E62" s="78" t="str">
        <f t="shared" si="1"/>
        <v>"[NO SOLUTION RULE - STRICT] You are generating an EXAM. You MUST NOT provide the fixed code, bug diagnosis, hints, explanations, or takeaways. Output ONLY the broken code. Do NOT solve your own challenges. Let the student find the bugs. | " &amp;</v>
      </c>
      <c r="F62" s="32" t="s">
        <v>232</v>
      </c>
    </row>
    <row r="63" spans="2:6">
      <c r="B63" s="54" t="s">
        <v>300</v>
      </c>
      <c r="C63" s="54" t="s">
        <v>175</v>
      </c>
      <c r="D63" s="94" t="s">
        <v>356</v>
      </c>
      <c r="E63" s="78" t="str">
        <f t="shared" si="1"/>
        <v>"[PERSONA RULE] Use a messy, careless developer tone | " &amp;</v>
      </c>
      <c r="F63" s="32" t="s">
        <v>232</v>
      </c>
    </row>
    <row r="64" spans="2:6">
      <c r="B64" s="54" t="s">
        <v>300</v>
      </c>
      <c r="C64" s="54" t="s">
        <v>194</v>
      </c>
      <c r="D64" s="94" t="s">
        <v>357</v>
      </c>
      <c r="E64" s="78" t="str">
        <f t="shared" si="1"/>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232</v>
      </c>
    </row>
    <row r="65" spans="2:6">
      <c r="B65" s="54" t="s">
        <v>300</v>
      </c>
      <c r="C65" s="54" t="s">
        <v>182</v>
      </c>
      <c r="D65" s="94" t="s">
        <v>358</v>
      </c>
      <c r="E65" s="78" t="str">
        <f t="shared" si="1"/>
        <v>"[OUTPUT CONTRACT] EXACTLY 1 project. Structure MUST be: 'Project:' followed by 'Objective: maximum 6 lines.', then 'Expected Output: standalone markdown code block.', and finally 'Broken Code' | " &amp;</v>
      </c>
      <c r="F65" s="32" t="s">
        <v>232</v>
      </c>
    </row>
    <row r="66" spans="2:6">
      <c r="B66" s="54" t="s">
        <v>300</v>
      </c>
      <c r="C66" s="54" t="s">
        <v>321</v>
      </c>
      <c r="D66" s="94" t="s">
        <v>359</v>
      </c>
      <c r="E66" s="78" t="str">
        <f t="shared" si="1"/>
        <v>"[STRUCTURE RULE] Do NOT add extra sections or explanations (except when required by SUPPORT FILES RULE) | " &amp;</v>
      </c>
      <c r="F66" s="32" t="s">
        <v>232</v>
      </c>
    </row>
    <row r="67" spans="2:6">
      <c r="B67" s="54" t="s">
        <v>300</v>
      </c>
      <c r="C67" s="54" t="s">
        <v>184</v>
      </c>
      <c r="D67" s="94" t="s">
        <v>360</v>
      </c>
      <c r="E67" s="78" t="str">
        <f t="shared" si="1"/>
        <v>"[CODE CONSTRAINTS] - " &amp; IF(G9="Beginner", "25–40", IF(G9="Intermediate", "30–60", "40–100")) &amp; " lines of EXECUTABLE code (STRICT: Do NOT count blank lines towards this limit) - Multi-step flow - 2–4 functions ONLY - main() as entry point " &amp; IF(G9&lt;&gt;"Advanced", "- NO classes | ", "") &amp; " | " &amp;</v>
      </c>
      <c r="F67" s="32" t="s">
        <v>232</v>
      </c>
    </row>
    <row r="68" spans="2:6">
      <c r="B68" s="54" t="s">
        <v>300</v>
      </c>
      <c r="C68" s="54" t="s">
        <v>281</v>
      </c>
      <c r="D68" s="94" t="s">
        <v>330</v>
      </c>
      <c r="E68" s="78" t="str">
        <f t="shared" si="1"/>
        <v>"[EXECUTION RULE] Code must fail due to syntax errors, runtime exceptions, or produce incorrect output | " &amp;</v>
      </c>
      <c r="F68" s="32" t="s">
        <v>232</v>
      </c>
    </row>
    <row r="69" spans="2:6">
      <c r="B69" s="54" t="s">
        <v>300</v>
      </c>
      <c r="C69" s="54" t="s">
        <v>179</v>
      </c>
      <c r="D69" s="94" t="s">
        <v>361</v>
      </c>
      <c r="E69" s="78"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232</v>
      </c>
    </row>
    <row r="70" spans="2:6">
      <c r="B70" s="54" t="s">
        <v>300</v>
      </c>
      <c r="C70" s="54" t="s">
        <v>215</v>
      </c>
      <c r="D70" s="94" t="s">
        <v>362</v>
      </c>
      <c r="E70" s="78" t="str">
        <f t="shared" si="1"/>
        <v>"[FORMAT RULE] Only valid markdown code blocks | " &amp;</v>
      </c>
      <c r="F70" s="32" t="s">
        <v>232</v>
      </c>
    </row>
    <row r="71" spans="2:6">
      <c r="B71" s="54" t="s">
        <v>300</v>
      </c>
      <c r="C71" s="54" t="s">
        <v>217</v>
      </c>
      <c r="D71" s="94" t="s">
        <v>315</v>
      </c>
      <c r="E71" s="78" t="str">
        <f t="shared" si="1"/>
        <v>"[LANGUAGE TAG RULE] ALWAYS label markdown code blocks with the correct underlying programming language (e.g., python, javascript, sql) | " &amp;</v>
      </c>
      <c r="F71" s="32" t="s">
        <v>232</v>
      </c>
    </row>
    <row r="72" spans="2:6">
      <c r="B72" s="54" t="s">
        <v>300</v>
      </c>
      <c r="C72" s="54" t="s">
        <v>316</v>
      </c>
      <c r="D72" s="94" t="s">
        <v>363</v>
      </c>
      <c r="E72" s="78" t="str">
        <f t="shared" si="1"/>
        <v>"[STRICT MODE] Enforce all rules strictly | " &amp;</v>
      </c>
      <c r="F72" s="32" t="s">
        <v>232</v>
      </c>
    </row>
    <row r="73" spans="2:6">
      <c r="B73" s="54" t="s">
        <v>300</v>
      </c>
      <c r="C73" s="54" t="s">
        <v>228</v>
      </c>
      <c r="D73" s="94" t="s">
        <v>364</v>
      </c>
      <c r="E73" s="78" t="str">
        <f t="shared" si="1"/>
        <v>"[FOOTER RULE - STRICT] End your entire response EXACTLY with this markdown string (ensure all code blocks are closed before it):" &amp; CHAR(10) &amp; "---" &amp; CHAR(10) &amp; "⚡ Coding5s System - Learn Programming by Writing Code - Coding5S.com" )</v>
      </c>
      <c r="F73" s="32" t="s">
        <v>232</v>
      </c>
    </row>
    <row r="74" spans="2:6">
      <c r="B74" s="54"/>
      <c r="C74" s="54"/>
      <c r="D74" s="94"/>
      <c r="E74" s="78" t="str">
        <f t="shared" si="1"/>
        <v/>
      </c>
      <c r="F74" s="32" t="s">
        <v>232</v>
      </c>
    </row>
    <row r="75" spans="2:6">
      <c r="B75" s="54"/>
      <c r="C75" s="54"/>
      <c r="D75" s="94"/>
      <c r="E75" s="78" t="str">
        <f t="shared" si="1"/>
        <v/>
      </c>
      <c r="F75" s="32" t="s">
        <v>232</v>
      </c>
    </row>
    <row r="76" spans="2:6">
      <c r="B76" s="54"/>
      <c r="C76" s="54"/>
      <c r="D76" s="94"/>
      <c r="E76" s="78" t="str">
        <f t="shared" si="1"/>
        <v/>
      </c>
      <c r="F76" s="32" t="s">
        <v>232</v>
      </c>
    </row>
    <row r="77" spans="2:6">
      <c r="E77" s="87"/>
      <c r="F77" t="s">
        <v>232</v>
      </c>
    </row>
    <row r="79" spans="2:6" ht="36">
      <c r="B79" s="81" t="s">
        <v>498</v>
      </c>
    </row>
    <row r="80" spans="2:6">
      <c r="B80" s="77" t="s">
        <v>229</v>
      </c>
      <c r="C80" s="77" t="s">
        <v>639</v>
      </c>
      <c r="D80" s="77" t="s">
        <v>640</v>
      </c>
      <c r="E80" s="89" t="s">
        <v>249</v>
      </c>
      <c r="F80" s="54" t="s">
        <v>232</v>
      </c>
    </row>
    <row r="81" spans="2:6">
      <c r="B81" s="54" t="s">
        <v>230</v>
      </c>
      <c r="C81" s="54" t="s">
        <v>365</v>
      </c>
      <c r="D81" s="94" t="s">
        <v>428</v>
      </c>
      <c r="E81" s="17" t="str">
        <f t="shared" ref="E81:E94" si="2">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232</v>
      </c>
    </row>
    <row r="82" spans="2:6">
      <c r="B82" s="54" t="s">
        <v>230</v>
      </c>
      <c r="C82" s="54" t="s">
        <v>251</v>
      </c>
      <c r="D82" s="94" t="s">
        <v>366</v>
      </c>
      <c r="E82" s="17" t="str">
        <f t="shared" si="2"/>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232</v>
      </c>
    </row>
    <row r="83" spans="2:6">
      <c r="B83" s="54" t="s">
        <v>230</v>
      </c>
      <c r="C83" s="54" t="s">
        <v>252</v>
      </c>
      <c r="D83" s="94" t="s">
        <v>370</v>
      </c>
      <c r="E83" s="17" t="str">
        <f t="shared" si="2"/>
        <v>"[CONTEXT] You are helping a Junior Developer debug a " &amp; IF(UPPER(H9)="PROJECT", "PROJECT: " &amp; I9 &amp; ". Topics involved: " &amp; B9 &amp; ". Project objective: " &amp; J9, "TOPIC: " &amp; I9 &amp; ". Topic details: " &amp; J9) &amp; " | " &amp;</v>
      </c>
      <c r="F83" s="54" t="s">
        <v>232</v>
      </c>
    </row>
    <row r="84" spans="2:6">
      <c r="B84" s="54" t="s">
        <v>230</v>
      </c>
      <c r="C84" s="54" t="s">
        <v>167</v>
      </c>
      <c r="D84" s="94" t="s">
        <v>367</v>
      </c>
      <c r="E84" s="17" t="str">
        <f t="shared" si="2"/>
        <v>"[TASK] Analyze the student's code, explanation, and error. If the code is already fixed and correct, recognize their 'debugging skill' and provide a 'Pro-Tip' for prevention. Otherwise, follow the 2-PHASE MENTORING PROTOCOL | " &amp;</v>
      </c>
      <c r="F84" s="54" t="s">
        <v>232</v>
      </c>
    </row>
    <row r="85" spans="2:6">
      <c r="B85" s="54" t="s">
        <v>230</v>
      </c>
      <c r="C85" s="54" t="s">
        <v>238</v>
      </c>
      <c r="D85" s="94" t="s">
        <v>291</v>
      </c>
      <c r="E85" s="17" t="str">
        <f t="shared" si="2"/>
        <v>"[LIBRARY BEING LEARNED] " &amp; $I$3 &amp; " | " &amp;</v>
      </c>
      <c r="F85" s="54" t="s">
        <v>232</v>
      </c>
    </row>
    <row r="86" spans="2:6">
      <c r="B86" s="54" t="s">
        <v>230</v>
      </c>
      <c r="C86" s="54" t="s">
        <v>177</v>
      </c>
      <c r="D86" s="94" t="s">
        <v>274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232</v>
      </c>
    </row>
    <row r="87" spans="2:6">
      <c r="B87" s="54" t="s">
        <v>230</v>
      </c>
      <c r="C87" s="54" t="s">
        <v>550</v>
      </c>
      <c r="D87" s="94" t="s">
        <v>542</v>
      </c>
      <c r="E87" s="17" t="str">
        <f t="shared" si="2"/>
        <v>"[LANGUAGE SEED CONTEXT] " &amp; IF($AE$7 = "", "Language Seed Not Necessary", "You MUST strictly follow this seed context to enhance, adapt, and naturalize your tone, vocabulary, and instructional quality in " &amp; $B$6 &amp; ": " &amp; $AE$7) &amp; " | " &amp;</v>
      </c>
      <c r="F87" s="54" t="s">
        <v>232</v>
      </c>
    </row>
    <row r="88" spans="2:6">
      <c r="B88" s="54" t="s">
        <v>230</v>
      </c>
      <c r="C88" s="54" t="s">
        <v>223</v>
      </c>
      <c r="D88" s="94" t="s">
        <v>646</v>
      </c>
      <c r="E88" s="17" t="str">
        <f t="shared" si="2"/>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232</v>
      </c>
    </row>
    <row r="89" spans="2:6">
      <c r="B89" s="54" t="s">
        <v>231</v>
      </c>
      <c r="C89" s="54" t="s">
        <v>241</v>
      </c>
      <c r="D89" s="94"/>
      <c r="E89" s="17" t="str">
        <f t="shared" si="2"/>
        <v/>
      </c>
      <c r="F89" s="54" t="s">
        <v>232</v>
      </c>
    </row>
    <row r="90" spans="2:6">
      <c r="B90" s="54" t="s">
        <v>231</v>
      </c>
      <c r="C90" s="54" t="s">
        <v>259</v>
      </c>
      <c r="D90" s="94" t="s">
        <v>368</v>
      </c>
      <c r="E90" s="17" t="str">
        <f t="shared" si="2"/>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v>
      </c>
      <c r="F90" s="54" t="s">
        <v>232</v>
      </c>
    </row>
    <row r="91" spans="2:6">
      <c r="B91" s="54" t="s">
        <v>300</v>
      </c>
      <c r="C91" s="54" t="s">
        <v>253</v>
      </c>
      <c r="D91" s="94" t="s">
        <v>372</v>
      </c>
      <c r="E91" s="17" t="str">
        <f t="shared" si="2"/>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232</v>
      </c>
    </row>
    <row r="92" spans="2:6">
      <c r="B92" s="54" t="s">
        <v>300</v>
      </c>
      <c r="C92" s="54" t="s">
        <v>255</v>
      </c>
      <c r="D92" s="94" t="s">
        <v>373</v>
      </c>
      <c r="E92" s="17" t="str">
        <f t="shared" si="2"/>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232</v>
      </c>
    </row>
    <row r="93" spans="2:6">
      <c r="B93" s="54" t="s">
        <v>300</v>
      </c>
      <c r="C93" s="54" t="s">
        <v>256</v>
      </c>
      <c r="D93" s="94" t="s">
        <v>371</v>
      </c>
      <c r="E93" s="17" t="str">
        <f t="shared" si="2"/>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232</v>
      </c>
    </row>
    <row r="94" spans="2:6">
      <c r="B94" s="54" t="s">
        <v>300</v>
      </c>
      <c r="C94" s="54" t="s">
        <v>260</v>
      </c>
      <c r="D94" s="94" t="s">
        <v>374</v>
      </c>
      <c r="E94" s="17" t="str">
        <f t="shared" si="2"/>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232</v>
      </c>
    </row>
    <row r="95" spans="2:6">
      <c r="B95" s="54" t="s">
        <v>300</v>
      </c>
      <c r="C95" s="54" t="s">
        <v>551</v>
      </c>
      <c r="D95" s="94" t="s">
        <v>552</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232</v>
      </c>
    </row>
    <row r="96" spans="2:6">
      <c r="B96" s="54" t="s">
        <v>300</v>
      </c>
      <c r="C96" s="54" t="s">
        <v>369</v>
      </c>
      <c r="D96" s="94" t="s">
        <v>375</v>
      </c>
      <c r="E96" s="17" t="str">
        <f>IF(D96="","",""""&amp;C96&amp;" "&amp;IF(OR(C96="[FOOTER RULE - STRICT]",C96="[FOOTER RULE]"),D96,IF(RIGHT(D96,6)=" | "&amp;CHAR(34)&amp;" &amp;",D96,D96&amp;" | "&amp;CHAR(34)&amp;" &amp;")))</f>
        <v>"[FOOTER RULE] End your response with: '--- ⚡ *Coding5s Mentor System — Eliminating Epistemic Debt &amp; Hunting Bugs*</v>
      </c>
      <c r="F96" s="54" t="s">
        <v>232</v>
      </c>
    </row>
    <row r="97" spans="2:6">
      <c r="B97" s="54"/>
      <c r="C97" s="54"/>
      <c r="D97" s="94"/>
      <c r="E97" s="89" t="s">
        <v>376</v>
      </c>
      <c r="F97" s="54" t="s">
        <v>232</v>
      </c>
    </row>
    <row r="98" spans="2:6">
      <c r="B98" s="54"/>
      <c r="C98" s="54"/>
      <c r="D98" s="94"/>
      <c r="E98" s="78" t="str">
        <f t="shared" ref="E98:E100" si="3">IF(D98="","",""""&amp;C98&amp;" "&amp;IF(C98="[FOOTER RULE - STRICT]",D98,IF(RIGHT(D98,6)=" | "&amp;CHAR(34)&amp;" &amp;",D98,D98&amp;" | "&amp;CHAR(34)&amp;" &amp;")))</f>
        <v/>
      </c>
      <c r="F98" s="54" t="s">
        <v>232</v>
      </c>
    </row>
    <row r="99" spans="2:6">
      <c r="B99" s="54"/>
      <c r="C99" s="54"/>
      <c r="D99" s="94"/>
      <c r="E99" s="78" t="str">
        <f t="shared" si="3"/>
        <v/>
      </c>
      <c r="F99" s="54" t="s">
        <v>232</v>
      </c>
    </row>
    <row r="100" spans="2:6">
      <c r="B100" s="54"/>
      <c r="C100" s="54"/>
      <c r="D100" s="94"/>
      <c r="E100" s="78" t="str">
        <f t="shared" si="3"/>
        <v/>
      </c>
      <c r="F100" s="54" t="s">
        <v>232</v>
      </c>
    </row>
  </sheetData>
  <conditionalFormatting sqref="B1:B1048576">
    <cfRule type="cellIs" dxfId="47" priority="10" operator="equal">
      <formula>"The Immutable Kernel"</formula>
    </cfRule>
    <cfRule type="cellIs" dxfId="46" priority="11" operator="equal">
      <formula>"Paradigm &amp; Ecosystem"</formula>
    </cfRule>
    <cfRule type="cellIs" dxfId="45" priority="12" operator="equal">
      <formula>"Global Variables &amp; Configuration"</formula>
    </cfRule>
  </conditionalFormatting>
  <conditionalFormatting sqref="C4:C42">
    <cfRule type="expression" dxfId="44" priority="7">
      <formula>$B4="The Immutable Kernel"</formula>
    </cfRule>
    <cfRule type="expression" dxfId="43" priority="8">
      <formula>$B4="Paradigm &amp; Ecosystem"</formula>
    </cfRule>
    <cfRule type="expression" dxfId="42" priority="9">
      <formula>$B4="Global Variables &amp; Configuration"</formula>
    </cfRule>
  </conditionalFormatting>
  <conditionalFormatting sqref="C47:C76">
    <cfRule type="expression" dxfId="41" priority="4">
      <formula>$B47="The Immutable Kernel"</formula>
    </cfRule>
    <cfRule type="expression" dxfId="40" priority="5">
      <formula>$B47="Paradigm &amp; Ecosystem"</formula>
    </cfRule>
    <cfRule type="expression" dxfId="39" priority="6">
      <formula>$B47="Global Variables &amp; Configuration"</formula>
    </cfRule>
  </conditionalFormatting>
  <conditionalFormatting sqref="C81:C100">
    <cfRule type="expression" dxfId="38" priority="1">
      <formula>$B81="The Immutable Kernel"</formula>
    </cfRule>
    <cfRule type="expression" dxfId="37" priority="2">
      <formula>$B81="Paradigm &amp; Ecosystem"</formula>
    </cfRule>
    <cfRule type="expression" dxfId="36" priority="3">
      <formula>$B81="Global Variables &amp; Configuration"</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6"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6" customWidth="1"/>
    <col min="6" max="6" width="4" customWidth="1"/>
  </cols>
  <sheetData>
    <row r="2" spans="2:29" ht="36">
      <c r="B2" s="79" t="s">
        <v>496</v>
      </c>
      <c r="D2" s="82" t="s">
        <v>377</v>
      </c>
      <c r="H2" s="83" t="s">
        <v>297</v>
      </c>
      <c r="T2" s="83" t="s">
        <v>298</v>
      </c>
    </row>
    <row r="3" spans="2:29">
      <c r="B3" s="77" t="s">
        <v>229</v>
      </c>
      <c r="C3" s="77" t="s">
        <v>639</v>
      </c>
      <c r="D3" s="77" t="s">
        <v>640</v>
      </c>
      <c r="E3" s="89" t="s">
        <v>237</v>
      </c>
      <c r="F3" s="4" t="s">
        <v>232</v>
      </c>
      <c r="AC3" t="s">
        <v>232</v>
      </c>
    </row>
    <row r="4" spans="2:29">
      <c r="B4" s="76" t="s">
        <v>230</v>
      </c>
      <c r="C4" s="54" t="s">
        <v>165</v>
      </c>
      <c r="D4" s="93" t="s">
        <v>378</v>
      </c>
      <c r="E4" s="78" t="str">
        <f t="shared" ref="E4:E37" si="0">IF(D4="","",""""&amp;C4&amp;" "&amp;IF(C4="[FOOTER RULE - STRICT]",D4,IF(RIGHT(D4,6)=" | "&amp;CHAR(34)&amp;" &amp;",D4,D4&amp;" | "&amp;CHAR(34)&amp;" &amp;")))</f>
        <v>"[ROLE] Tech Lead | " &amp;</v>
      </c>
      <c r="F4" s="54" t="s">
        <v>232</v>
      </c>
    </row>
    <row r="5" spans="2:29">
      <c r="B5" s="76" t="s">
        <v>230</v>
      </c>
      <c r="C5" s="54" t="s">
        <v>167</v>
      </c>
      <c r="D5" s="93" t="s">
        <v>379</v>
      </c>
      <c r="E5" s="78" t="str">
        <f t="shared" si="0"/>
        <v>"[TASK] Assign incomplete " &amp; $I$2 &amp; " script challenges | " &amp;</v>
      </c>
      <c r="F5" s="54" t="s">
        <v>232</v>
      </c>
    </row>
    <row r="6" spans="2:29">
      <c r="B6" s="76" t="s">
        <v>230</v>
      </c>
      <c r="C6" s="54" t="s">
        <v>169</v>
      </c>
      <c r="D6" s="93" t="s">
        <v>170</v>
      </c>
      <c r="E6" s="78" t="str">
        <f t="shared" si="0"/>
        <v>"[TOPIC] " &amp; I9 &amp; " | " &amp;</v>
      </c>
      <c r="F6" s="54" t="s">
        <v>232</v>
      </c>
    </row>
    <row r="7" spans="2:29">
      <c r="B7" s="76" t="s">
        <v>230</v>
      </c>
      <c r="C7" s="54" t="s">
        <v>171</v>
      </c>
      <c r="D7" s="93" t="s">
        <v>172</v>
      </c>
      <c r="E7" s="78" t="str">
        <f t="shared" si="0"/>
        <v>"[LEVEL] " &amp; G9 &amp; " | " &amp;</v>
      </c>
      <c r="F7" s="54" t="s">
        <v>232</v>
      </c>
    </row>
    <row r="8" spans="2:29">
      <c r="B8" s="76" t="s">
        <v>230</v>
      </c>
      <c r="C8" s="54" t="s">
        <v>173</v>
      </c>
      <c r="D8" s="93" t="s">
        <v>305</v>
      </c>
      <c r="E8" s="78" t="str">
        <f t="shared" si="0"/>
        <v>"[COUNT] " &amp; D9 &amp; " challenges | " &amp;</v>
      </c>
      <c r="F8" s="54" t="s">
        <v>232</v>
      </c>
    </row>
    <row r="9" spans="2:29">
      <c r="B9" s="76" t="s">
        <v>230</v>
      </c>
      <c r="C9" s="54" t="s">
        <v>238</v>
      </c>
      <c r="D9" s="93" t="s">
        <v>291</v>
      </c>
      <c r="E9" s="78" t="str">
        <f t="shared" si="0"/>
        <v>"[LIBRARY BEING LEARNED] " &amp; $I$3 &amp; " | " &amp;</v>
      </c>
      <c r="F9" s="54" t="s">
        <v>232</v>
      </c>
    </row>
    <row r="10" spans="2:29">
      <c r="B10" s="76" t="s">
        <v>230</v>
      </c>
      <c r="C10" s="54" t="s">
        <v>233</v>
      </c>
      <c r="D10" s="93" t="s">
        <v>239</v>
      </c>
      <c r="E10"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10" s="54" t="s">
        <v>232</v>
      </c>
    </row>
    <row r="11" spans="2:29">
      <c r="B11" s="76" t="s">
        <v>230</v>
      </c>
      <c r="C11" s="54" t="s">
        <v>223</v>
      </c>
      <c r="D11" s="93" t="s">
        <v>647</v>
      </c>
      <c r="E11" s="78"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232</v>
      </c>
    </row>
    <row r="12" spans="2:29">
      <c r="B12" s="76" t="s">
        <v>230</v>
      </c>
      <c r="C12" s="54" t="s">
        <v>177</v>
      </c>
      <c r="D12" s="93" t="s">
        <v>178</v>
      </c>
      <c r="E12" s="78"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232</v>
      </c>
    </row>
    <row r="13" spans="2:29">
      <c r="B13" s="76" t="s">
        <v>230</v>
      </c>
      <c r="C13" s="54" t="s">
        <v>550</v>
      </c>
      <c r="D13" s="93" t="s">
        <v>542</v>
      </c>
      <c r="E13" s="78" t="str">
        <f t="shared" si="0"/>
        <v>"[LANGUAGE SEED CONTEXT] " &amp; IF($AE$7 = "", "Language Seed Not Necessary", "You MUST strictly follow this seed context to enhance, adapt, and naturalize your tone, vocabulary, and instructional quality in " &amp; $B$6 &amp; ": " &amp; $AE$7) &amp; " | " &amp;</v>
      </c>
      <c r="F13" s="54" t="s">
        <v>232</v>
      </c>
    </row>
    <row r="14" spans="2:29">
      <c r="B14" s="84" t="s">
        <v>231</v>
      </c>
      <c r="C14" s="54" t="s">
        <v>241</v>
      </c>
      <c r="D14" s="93"/>
      <c r="E14" s="78" t="str">
        <f t="shared" si="0"/>
        <v/>
      </c>
      <c r="F14" s="54" t="s">
        <v>232</v>
      </c>
    </row>
    <row r="15" spans="2:29">
      <c r="B15" s="84" t="s">
        <v>231</v>
      </c>
      <c r="C15" s="54" t="s">
        <v>241</v>
      </c>
      <c r="D15" s="93"/>
      <c r="E15" s="78" t="str">
        <f t="shared" si="0"/>
        <v/>
      </c>
      <c r="F15" s="54" t="s">
        <v>232</v>
      </c>
    </row>
    <row r="16" spans="2:29">
      <c r="B16" s="84" t="s">
        <v>231</v>
      </c>
      <c r="C16" s="54" t="s">
        <v>380</v>
      </c>
      <c r="D16" s="93" t="s">
        <v>381</v>
      </c>
      <c r="E16" s="78" t="str">
        <f t="shared" si="0"/>
        <v>"[PROGRAMMING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v>
      </c>
      <c r="F16" s="54" t="s">
        <v>232</v>
      </c>
    </row>
    <row r="17" spans="2:6">
      <c r="B17" s="84" t="s">
        <v>231</v>
      </c>
      <c r="C17" s="54" t="s">
        <v>382</v>
      </c>
      <c r="D17" s="93" t="s">
        <v>383</v>
      </c>
      <c r="E17" s="78" t="str">
        <f t="shared" si="0"/>
        <v>"[FILE PROCESSING RULE] Use standard native libraries for " &amp; $I$2 &amp; " to parse the file type correctly. Adapt code to data structure (tabular, key-value, etc.). Dataset exists locally with original filename. | " &amp;</v>
      </c>
      <c r="F17" s="54" t="s">
        <v>232</v>
      </c>
    </row>
    <row r="18" spans="2:6">
      <c r="B18" s="84" t="s">
        <v>231</v>
      </c>
      <c r="C18" s="54" t="s">
        <v>184</v>
      </c>
      <c r="D18" s="93" t="s">
        <v>384</v>
      </c>
      <c r="E18" s="78" t="str">
        <f t="shared" si="0"/>
        <v>"[CODE CONSTRAINTS] MUST be between " &amp; IF(G9="Beginner", "5–15", IF(G9="Intermediate", "10–25", "15–35")) &amp; " lines of EXECUTABLE code (STRICT: Do NOT count comments or TODOs) - Length MUST vary across challenges - EXACTLY 1 function - EXACTLY 1 function call - NO classes - NO multiple functions - NO global code EXCEPT the single function call | " &amp;</v>
      </c>
      <c r="F18" s="54" t="s">
        <v>232</v>
      </c>
    </row>
    <row r="19" spans="2:6">
      <c r="B19" s="85" t="s">
        <v>300</v>
      </c>
      <c r="C19" s="54" t="s">
        <v>215</v>
      </c>
      <c r="D19" s="93" t="s">
        <v>314</v>
      </c>
      <c r="E19" s="78" t="str">
        <f t="shared" si="0"/>
        <v>"[FORMAT RULE] Only valid markdown code blocks allowed | " &amp;</v>
      </c>
      <c r="F19" s="54" t="s">
        <v>232</v>
      </c>
    </row>
    <row r="20" spans="2:6">
      <c r="B20" s="85" t="s">
        <v>300</v>
      </c>
      <c r="C20" s="54" t="s">
        <v>385</v>
      </c>
      <c r="D20" s="93" t="s">
        <v>412</v>
      </c>
      <c r="E20" s="78" t="str">
        <f t="shared" si="0"/>
        <v>"[SCORING ENFORCEMENT RULE] Score MUST be ONLY 3, 4, or 5 | " &amp;</v>
      </c>
      <c r="F20" s="54" t="s">
        <v>232</v>
      </c>
    </row>
    <row r="21" spans="2:6">
      <c r="B21" s="85" t="s">
        <v>300</v>
      </c>
      <c r="C21" s="54" t="s">
        <v>386</v>
      </c>
      <c r="D21" s="93" t="s">
        <v>387</v>
      </c>
      <c r="E21" s="78"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232</v>
      </c>
    </row>
    <row r="22" spans="2:6">
      <c r="B22" s="85" t="s">
        <v>300</v>
      </c>
      <c r="C22" s="54" t="s">
        <v>217</v>
      </c>
      <c r="D22" s="93" t="s">
        <v>315</v>
      </c>
      <c r="E22" s="78" t="str">
        <f t="shared" si="0"/>
        <v>"[LANGUAGE TAG RULE] ALWAYS label markdown code blocks with the correct underlying programming language (e.g., python, javascript, sql) | " &amp;</v>
      </c>
      <c r="F22" s="54" t="s">
        <v>232</v>
      </c>
    </row>
    <row r="23" spans="2:6">
      <c r="B23" s="85" t="s">
        <v>300</v>
      </c>
      <c r="C23" s="54" t="s">
        <v>194</v>
      </c>
      <c r="D23" s="93" t="s">
        <v>388</v>
      </c>
      <c r="E23" s="78"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232</v>
      </c>
    </row>
    <row r="24" spans="2:6">
      <c r="B24" s="85" t="s">
        <v>300</v>
      </c>
      <c r="C24" s="54" t="s">
        <v>182</v>
      </c>
      <c r="D24" s="93" t="s">
        <v>389</v>
      </c>
      <c r="E24" s="78"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232</v>
      </c>
    </row>
    <row r="25" spans="2:6">
      <c r="B25" s="54" t="s">
        <v>300</v>
      </c>
      <c r="C25" s="54" t="s">
        <v>390</v>
      </c>
      <c r="D25" s="93" t="s">
        <v>391</v>
      </c>
      <c r="E25" s="78" t="str">
        <f t="shared" si="0"/>
        <v>"[OUTPUT TRUNCATION RULE - STRICT] If expected output is long, display ONLY the first 5 lines. Ensure accuracy. Do NOT use ellipsis (...) | " &amp;</v>
      </c>
      <c r="F25" s="54" t="s">
        <v>232</v>
      </c>
    </row>
    <row r="26" spans="2:6">
      <c r="B26" s="54" t="s">
        <v>300</v>
      </c>
      <c r="C26" s="54" t="s">
        <v>392</v>
      </c>
      <c r="D26" s="93" t="s">
        <v>393</v>
      </c>
      <c r="E26" s="78" t="str">
        <f t="shared" si="0"/>
        <v>"[OUTPUT EXECUTION RULE - STRICT] Expected output MUST be explicit, complete, and produced via print() (at least one print already in base code). Monetary values must include '$' | " &amp;</v>
      </c>
      <c r="F26" s="54" t="s">
        <v>232</v>
      </c>
    </row>
    <row r="27" spans="2:6">
      <c r="B27" s="54" t="s">
        <v>300</v>
      </c>
      <c r="C27" s="54" t="s">
        <v>394</v>
      </c>
      <c r="D27" s="93" t="s">
        <v>395</v>
      </c>
      <c r="E27" s="78"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232</v>
      </c>
    </row>
    <row r="28" spans="2:6">
      <c r="B28" s="54" t="s">
        <v>300</v>
      </c>
      <c r="C28" s="54" t="s">
        <v>396</v>
      </c>
      <c r="D28" s="93" t="s">
        <v>397</v>
      </c>
      <c r="E28" s="78" t="str">
        <f t="shared" si="0"/>
        <v>"[TODO VARIATION RULE] TODO sections MUST vary: Single-line TODO, Multiple TODOs, Small blocks (2–4 lines). | " &amp;</v>
      </c>
      <c r="F28" s="54" t="s">
        <v>232</v>
      </c>
    </row>
    <row r="29" spans="2:6">
      <c r="B29" s="54" t="s">
        <v>300</v>
      </c>
      <c r="C29" s="54" t="s">
        <v>398</v>
      </c>
      <c r="D29" s="93" t="s">
        <v>399</v>
      </c>
      <c r="E29" s="78" t="str">
        <f t="shared" si="0"/>
        <v>"[VARIABILITY RULE - STRICT] Each challenge MUST be structurally different. Vary: Code length, Logic type, Position of TODO, Number of TODOs (1–3), Data flow. | " &amp;</v>
      </c>
      <c r="F29" s="54" t="s">
        <v>232</v>
      </c>
    </row>
    <row r="30" spans="2:6">
      <c r="B30" s="54" t="s">
        <v>300</v>
      </c>
      <c r="C30" s="54" t="s">
        <v>400</v>
      </c>
      <c r="D30" s="93" t="s">
        <v>401</v>
      </c>
      <c r="E30" s="78" t="str">
        <f t="shared" si="0"/>
        <v>"[TODO REALISM RULE - STRICT] TODOs MUST represent realistic mistakes based on the topic: " &amp; I9 &amp; ". Describe what is incorrect or incomplete. Avoid imperative instructions. | " &amp;</v>
      </c>
      <c r="F30" s="54" t="s">
        <v>232</v>
      </c>
    </row>
    <row r="31" spans="2:6">
      <c r="B31" s="54" t="s">
        <v>300</v>
      </c>
      <c r="C31" s="54" t="s">
        <v>402</v>
      </c>
      <c r="D31" s="93" t="s">
        <v>403</v>
      </c>
      <c r="E31" s="78" t="str">
        <f t="shared" si="0"/>
        <v>"[TODO ISOLATION RULE - STRICT] ALL missing, incorrect, or output-affecting logic MUST exist ONLY inside the TODO block. | " &amp;</v>
      </c>
      <c r="F31" s="54" t="s">
        <v>232</v>
      </c>
    </row>
    <row r="32" spans="2:6">
      <c r="B32" s="54" t="s">
        <v>300</v>
      </c>
      <c r="C32" s="54" t="s">
        <v>339</v>
      </c>
      <c r="D32" s="93" t="s">
        <v>404</v>
      </c>
      <c r="E32" s="78" t="str">
        <f t="shared" si="0"/>
        <v>"[NO SOLUTION RULE - STRICT] The code under the # TODO MUST be left empty or with a 'pass'. DO NOT write the actual solution. | " &amp;</v>
      </c>
      <c r="F32" s="54" t="s">
        <v>232</v>
      </c>
    </row>
    <row r="33" spans="2:6">
      <c r="B33" s="54" t="s">
        <v>300</v>
      </c>
      <c r="C33" s="54" t="s">
        <v>405</v>
      </c>
      <c r="D33" s="93" t="s">
        <v>406</v>
      </c>
      <c r="E33" s="78" t="str">
        <f t="shared" si="0"/>
        <v>"[OUTPUT VERIFICATION RULE] The base code MUST print the final variables/results evaluated in the TODO block to verify correctness. | " &amp;</v>
      </c>
      <c r="F33" s="54" t="s">
        <v>232</v>
      </c>
    </row>
    <row r="34" spans="2:6">
      <c r="B34" s="54" t="s">
        <v>300</v>
      </c>
      <c r="C34" s="54" t="s">
        <v>407</v>
      </c>
      <c r="D34" s="93" t="s">
        <v>408</v>
      </c>
      <c r="E34" s="78" t="str">
        <f t="shared" si="0"/>
        <v>"[TODO GUIDANCE RULE] Rule " &amp; IF(G9="Beginner", "Clear explicit hint (no code) | ", IF(G9="Intermediate", "Brief hint | ", "Minimal hint | ")) &amp; " | " &amp;</v>
      </c>
      <c r="F34" s="54" t="s">
        <v>232</v>
      </c>
    </row>
    <row r="35" spans="2:6">
      <c r="B35" s="54" t="s">
        <v>300</v>
      </c>
      <c r="C35" s="54" t="s">
        <v>224</v>
      </c>
      <c r="D35" s="93" t="s">
        <v>409</v>
      </c>
      <c r="E35" s="78" t="str">
        <f t="shared" si="0"/>
        <v>"[OUTPUT] Only header, dataset summary or statement (if any), intro message, challenges (objective, expected output, incomplete code), and footer | " &amp;</v>
      </c>
      <c r="F35" s="54" t="s">
        <v>232</v>
      </c>
    </row>
    <row r="36" spans="2:6">
      <c r="B36" s="54" t="s">
        <v>300</v>
      </c>
      <c r="C36" s="54" t="s">
        <v>228</v>
      </c>
      <c r="D36" s="93" t="s">
        <v>411</v>
      </c>
      <c r="E36" s="78" t="str">
        <f t="shared" si="0"/>
        <v>"[FOOTER RULE - STRICT] End your entire response EXACTLY with this markdown string (ensure all code blocks are closed before it):" &amp; CHAR(10) &amp; "---" &amp; CHAR(10) &amp; "⚡ *Coding5s System - Learn Programming by Writing Code - Coding5S.com*",</v>
      </c>
      <c r="F36" s="54" t="s">
        <v>232</v>
      </c>
    </row>
    <row r="37" spans="2:6">
      <c r="B37" s="54"/>
      <c r="C37" s="54"/>
      <c r="D37" s="93"/>
      <c r="E37" s="78" t="str">
        <f t="shared" si="0"/>
        <v/>
      </c>
      <c r="F37" s="54" t="s">
        <v>232</v>
      </c>
    </row>
    <row r="38" spans="2:6">
      <c r="B38" s="54"/>
      <c r="C38" s="54"/>
      <c r="D38" s="93"/>
      <c r="E38" s="89" t="s">
        <v>410</v>
      </c>
      <c r="F38" s="54" t="s">
        <v>232</v>
      </c>
    </row>
    <row r="39" spans="2:6">
      <c r="B39" s="54"/>
      <c r="C39" s="54"/>
      <c r="D39" s="93"/>
      <c r="E39" s="78"/>
      <c r="F39" s="54" t="s">
        <v>232</v>
      </c>
    </row>
    <row r="40" spans="2:6">
      <c r="B40" s="54"/>
      <c r="C40" s="54"/>
      <c r="D40" s="93"/>
      <c r="E40" s="78"/>
      <c r="F40" s="54" t="s">
        <v>232</v>
      </c>
    </row>
    <row r="41" spans="2:6">
      <c r="B41" s="54"/>
      <c r="C41" s="54"/>
      <c r="D41" s="93"/>
      <c r="E41" s="78"/>
      <c r="F41" s="54" t="s">
        <v>232</v>
      </c>
    </row>
    <row r="42" spans="2:6">
      <c r="B42" s="54"/>
      <c r="C42" s="54"/>
      <c r="D42" s="93"/>
      <c r="E42" s="78"/>
      <c r="F42" s="54"/>
    </row>
    <row r="43" spans="2:6">
      <c r="B43" s="75"/>
      <c r="C43" s="75"/>
      <c r="E43" s="87"/>
    </row>
    <row r="44" spans="2:6">
      <c r="B44" s="75"/>
      <c r="C44" s="75"/>
      <c r="E44" s="87"/>
    </row>
    <row r="45" spans="2:6" ht="36">
      <c r="B45" s="80" t="s">
        <v>497</v>
      </c>
      <c r="C45" s="75"/>
      <c r="E45" s="87"/>
    </row>
    <row r="46" spans="2:6">
      <c r="B46" s="77" t="s">
        <v>286</v>
      </c>
      <c r="C46" s="77" t="s">
        <v>639</v>
      </c>
      <c r="D46" s="77" t="s">
        <v>640</v>
      </c>
      <c r="E46" s="78" t="s">
        <v>287</v>
      </c>
      <c r="F46" s="32" t="s">
        <v>232</v>
      </c>
    </row>
    <row r="47" spans="2:6">
      <c r="B47" s="54" t="s">
        <v>230</v>
      </c>
      <c r="C47" s="54" t="s">
        <v>165</v>
      </c>
      <c r="D47" s="93" t="s">
        <v>378</v>
      </c>
      <c r="E47" s="78" t="str">
        <f>IF(D47="","",""""&amp;C47&amp;" "&amp;IF(C47="[FOOTER RULE - STRICT]",D47,IF(RIGHT(D47,6)=" | "&amp;CHAR(34)&amp;" &amp;",D47,D47&amp;" | "&amp;CHAR(34)&amp;" &amp;")))</f>
        <v>"[ROLE] Tech Lead | " &amp;</v>
      </c>
      <c r="F47" s="32" t="s">
        <v>232</v>
      </c>
    </row>
    <row r="48" spans="2:6">
      <c r="B48" s="54" t="s">
        <v>230</v>
      </c>
      <c r="C48" s="54" t="s">
        <v>167</v>
      </c>
      <c r="D48" s="93" t="s">
        <v>413</v>
      </c>
      <c r="E48" s="78" t="str">
        <f t="shared" ref="E48:E76" si="1">IF(D48="","",""""&amp;C48&amp;" "&amp;IF(C48="[FOOTER RULE - STRICT]",D48,IF(RIGHT(D48,6)=" | "&amp;CHAR(34)&amp;" &amp;",D48,D48&amp;" | "&amp;CHAR(34)&amp;" &amp;")))</f>
        <v>"[TASK] Assign incomplete project script | " &amp;</v>
      </c>
      <c r="F48" s="32" t="s">
        <v>232</v>
      </c>
    </row>
    <row r="49" spans="2:6">
      <c r="B49" s="54" t="s">
        <v>230</v>
      </c>
      <c r="C49" s="54" t="s">
        <v>349</v>
      </c>
      <c r="D49" s="93" t="s">
        <v>170</v>
      </c>
      <c r="E49" s="78" t="str">
        <f t="shared" si="1"/>
        <v>"[PROJECT] " &amp; I9 &amp; " | " &amp;</v>
      </c>
      <c r="F49" s="32" t="s">
        <v>232</v>
      </c>
    </row>
    <row r="50" spans="2:6">
      <c r="B50" s="54" t="s">
        <v>230</v>
      </c>
      <c r="C50" s="54" t="s">
        <v>272</v>
      </c>
      <c r="D50" s="93" t="s">
        <v>273</v>
      </c>
      <c r="E50" s="78" t="str">
        <f t="shared" si="1"/>
        <v>"[TOPICS USED] " &amp; B9 &amp; " | " &amp;</v>
      </c>
      <c r="F50" s="32" t="s">
        <v>232</v>
      </c>
    </row>
    <row r="51" spans="2:6">
      <c r="B51" s="54" t="s">
        <v>230</v>
      </c>
      <c r="C51" s="54" t="s">
        <v>171</v>
      </c>
      <c r="D51" s="93" t="s">
        <v>172</v>
      </c>
      <c r="E51" s="78" t="str">
        <f t="shared" si="1"/>
        <v>"[LEVEL] " &amp; G9 &amp; " | " &amp;</v>
      </c>
      <c r="F51" s="32" t="s">
        <v>232</v>
      </c>
    </row>
    <row r="52" spans="2:6">
      <c r="B52" s="54" t="s">
        <v>230</v>
      </c>
      <c r="C52" s="54" t="s">
        <v>238</v>
      </c>
      <c r="D52" s="93" t="s">
        <v>291</v>
      </c>
      <c r="E52" s="78" t="str">
        <f t="shared" si="1"/>
        <v>"[LIBRARY BEING LEARNED] " &amp; $I$3 &amp; " | " &amp;</v>
      </c>
      <c r="F52" s="32" t="s">
        <v>232</v>
      </c>
    </row>
    <row r="53" spans="2:6">
      <c r="B53" s="54" t="s">
        <v>230</v>
      </c>
      <c r="C53" s="54" t="s">
        <v>177</v>
      </c>
      <c r="D53" s="93" t="s">
        <v>274</v>
      </c>
      <c r="E53" s="78"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3" s="32" t="s">
        <v>232</v>
      </c>
    </row>
    <row r="54" spans="2:6">
      <c r="B54" s="54" t="s">
        <v>230</v>
      </c>
      <c r="C54" s="54" t="s">
        <v>550</v>
      </c>
      <c r="D54" s="93" t="s">
        <v>542</v>
      </c>
      <c r="E54" s="78" t="str">
        <f t="shared" si="1"/>
        <v>"[LANGUAGE SEED CONTEXT] " &amp; IF($AE$7 = "", "Language Seed Not Necessary", "You MUST strictly follow this seed context to enhance, adapt, and naturalize your tone, vocabulary, and instructional quality in " &amp; $B$6 &amp; ": " &amp; $AE$7) &amp; " | " &amp;</v>
      </c>
      <c r="F54" s="32" t="s">
        <v>232</v>
      </c>
    </row>
    <row r="55" spans="2:6">
      <c r="B55" s="54" t="s">
        <v>230</v>
      </c>
      <c r="C55" s="54" t="s">
        <v>223</v>
      </c>
      <c r="D55" s="93" t="s">
        <v>648</v>
      </c>
      <c r="E55" s="78" t="str">
        <f t="shared" si="1"/>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5" s="32" t="s">
        <v>232</v>
      </c>
    </row>
    <row r="56" spans="2:6">
      <c r="B56" s="54" t="s">
        <v>231</v>
      </c>
      <c r="C56" s="54" t="s">
        <v>241</v>
      </c>
      <c r="D56" s="93"/>
      <c r="E56" s="78" t="str">
        <f t="shared" si="1"/>
        <v/>
      </c>
      <c r="F56" s="32" t="s">
        <v>232</v>
      </c>
    </row>
    <row r="57" spans="2:6">
      <c r="B57" s="54" t="s">
        <v>231</v>
      </c>
      <c r="C57" s="54" t="s">
        <v>184</v>
      </c>
      <c r="D57" s="93" t="s">
        <v>414</v>
      </c>
      <c r="E57" s="78" t="str">
        <f t="shared" si="1"/>
        <v>"[CODE CONSTRAINTS] MUST be between " &amp; IF(G9="Beginner", "25–40", IF(G9="Intermediate", "30–60", "40–100")) &amp; " lines of EXECUTABLE code (STRICT: Do NOT count comments or TODOs) - Multi-step flow - Max 2 functions - NO OOP / classes | " &amp;</v>
      </c>
      <c r="F57" s="32" t="s">
        <v>232</v>
      </c>
    </row>
    <row r="58" spans="2:6">
      <c r="B58" s="54" t="s">
        <v>231</v>
      </c>
      <c r="C58" s="54" t="s">
        <v>382</v>
      </c>
      <c r="D58" s="93" t="s">
        <v>415</v>
      </c>
      <c r="E58" s="78" t="str">
        <f t="shared" si="1"/>
        <v>"[FILE PROCESSING RULE] Use standard native libraries for " &amp; $I$2 &amp; " to parse the file type correctly. Adapt code to data structure. Dataset exists locally with original filename. | " &amp;</v>
      </c>
      <c r="F58" s="32" t="s">
        <v>232</v>
      </c>
    </row>
    <row r="59" spans="2:6">
      <c r="B59" s="54" t="s">
        <v>300</v>
      </c>
      <c r="C59" s="54" t="s">
        <v>215</v>
      </c>
      <c r="D59" s="93" t="s">
        <v>314</v>
      </c>
      <c r="E59" s="78" t="str">
        <f t="shared" si="1"/>
        <v>"[FORMAT RULE] Only valid markdown code blocks allowed | " &amp;</v>
      </c>
      <c r="F59" s="32" t="s">
        <v>232</v>
      </c>
    </row>
    <row r="60" spans="2:6">
      <c r="B60" s="54" t="s">
        <v>300</v>
      </c>
      <c r="C60" s="54" t="s">
        <v>217</v>
      </c>
      <c r="D60" s="93" t="s">
        <v>315</v>
      </c>
      <c r="E60" s="78" t="str">
        <f t="shared" si="1"/>
        <v>"[LANGUAGE TAG RULE] ALWAYS label markdown code blocks with the correct underlying programming language (e.g., python, javascript, sql) | " &amp;</v>
      </c>
      <c r="F60" s="32" t="s">
        <v>232</v>
      </c>
    </row>
    <row r="61" spans="2:6">
      <c r="B61" s="54" t="s">
        <v>300</v>
      </c>
      <c r="C61" s="54" t="s">
        <v>386</v>
      </c>
      <c r="D61" s="93" t="s">
        <v>416</v>
      </c>
      <c r="E61" s="78" t="str">
        <f t="shared" si="1"/>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232</v>
      </c>
    </row>
    <row r="62" spans="2:6">
      <c r="B62" s="54" t="s">
        <v>300</v>
      </c>
      <c r="C62" s="54" t="s">
        <v>194</v>
      </c>
      <c r="D62" s="93" t="s">
        <v>417</v>
      </c>
      <c r="E62" s="78" t="str">
        <f t="shared" si="1"/>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232</v>
      </c>
    </row>
    <row r="63" spans="2:6">
      <c r="B63" s="54" t="s">
        <v>300</v>
      </c>
      <c r="C63" s="54" t="s">
        <v>182</v>
      </c>
      <c r="D63" s="93" t="s">
        <v>418</v>
      </c>
      <c r="E63" s="78" t="str">
        <f t="shared" si="1"/>
        <v>"[OUTPUT CONTRACT] EXACTLY 1 project. Structure MUST be: Tech Lead Intro Message, Project: Objective (max 6 lines), Expected Output (code block), Incomplete Code | " &amp;</v>
      </c>
      <c r="F63" s="32" t="s">
        <v>232</v>
      </c>
    </row>
    <row r="64" spans="2:6">
      <c r="B64" s="54" t="s">
        <v>300</v>
      </c>
      <c r="C64" s="54" t="s">
        <v>419</v>
      </c>
      <c r="D64" s="93" t="s">
        <v>420</v>
      </c>
      <c r="E64" s="78" t="str">
        <f t="shared" si="1"/>
        <v>"[OUTPUT TRUNCATION RULE] If output is large, show only first 5 lines. Do NOT use ellipsis (...) | " &amp;</v>
      </c>
      <c r="F64" s="32" t="s">
        <v>232</v>
      </c>
    </row>
    <row r="65" spans="2:6">
      <c r="B65" s="54" t="s">
        <v>300</v>
      </c>
      <c r="C65" s="54" t="s">
        <v>392</v>
      </c>
      <c r="D65" s="93" t="s">
        <v>421</v>
      </c>
      <c r="E65" s="78" t="str">
        <f t="shared" si="1"/>
        <v>"[OUTPUT EXECUTION RULE - STRICT] Expected output MUST be explicit, complete, and produced via final print(). | " &amp;</v>
      </c>
      <c r="F65" s="32" t="s">
        <v>232</v>
      </c>
    </row>
    <row r="66" spans="2:6">
      <c r="B66" s="54" t="s">
        <v>300</v>
      </c>
      <c r="C66" s="54" t="s">
        <v>394</v>
      </c>
      <c r="D66" s="93" t="s">
        <v>422</v>
      </c>
      <c r="E66" s="78" t="str">
        <f t="shared" si="1"/>
        <v>"[BASE CODE INTEGRITY RULE - STRICT] Code outside the TODO block MUST be 100% valid, logically correct, and run without errors. Do NOT use 'pass', '...', or empty placeholders outside the TODO. | " &amp;</v>
      </c>
      <c r="F66" s="32" t="s">
        <v>232</v>
      </c>
    </row>
    <row r="67" spans="2:6">
      <c r="B67" s="54" t="s">
        <v>300</v>
      </c>
      <c r="C67" s="54" t="s">
        <v>423</v>
      </c>
      <c r="D67" s="93" t="s">
        <v>424</v>
      </c>
      <c r="E67" s="78" t="str">
        <f t="shared" si="1"/>
        <v>"[TODO REALISM RULE] TODO must represent realistic integration bugs. Describe what is incorrect/incomplete. | " &amp;</v>
      </c>
      <c r="F67" s="32" t="s">
        <v>232</v>
      </c>
    </row>
    <row r="68" spans="2:6">
      <c r="B68" s="54" t="s">
        <v>300</v>
      </c>
      <c r="C68" s="54" t="s">
        <v>402</v>
      </c>
      <c r="D68" s="93" t="s">
        <v>425</v>
      </c>
      <c r="E68" s="78" t="str">
        <f t="shared" si="1"/>
        <v>"[TODO ISOLATION RULE - STRICT] ALL missing, incorrect, or output-affecting logic MUST exist ONLY inside the TODO block. Replace ONLY integration logic. | " &amp;</v>
      </c>
      <c r="F68" s="32" t="s">
        <v>232</v>
      </c>
    </row>
    <row r="69" spans="2:6">
      <c r="B69" s="54" t="s">
        <v>300</v>
      </c>
      <c r="C69" s="54" t="s">
        <v>339</v>
      </c>
      <c r="D69" s="93" t="s">
        <v>404</v>
      </c>
      <c r="E69" s="78" t="str">
        <f t="shared" si="1"/>
        <v>"[NO SOLUTION RULE - STRICT] The code under the # TODO MUST be left empty or with a 'pass'. DO NOT write the actual solution. | " &amp;</v>
      </c>
      <c r="F69" s="32" t="s">
        <v>232</v>
      </c>
    </row>
    <row r="70" spans="2:6">
      <c r="B70" s="54" t="s">
        <v>300</v>
      </c>
      <c r="C70" s="54" t="s">
        <v>224</v>
      </c>
      <c r="D70" s="93" t="s">
        <v>426</v>
      </c>
      <c r="E70" s="78" t="str">
        <f t="shared" si="1"/>
        <v>"[OUTPUT] Only header, dataset summary or statement (if any), intro message, objective, expected output, incomplete code, and footer | " &amp;</v>
      </c>
      <c r="F70" s="32" t="s">
        <v>232</v>
      </c>
    </row>
    <row r="71" spans="2:6">
      <c r="B71" s="54" t="s">
        <v>300</v>
      </c>
      <c r="C71" s="54" t="s">
        <v>228</v>
      </c>
      <c r="D71" s="93" t="s">
        <v>427</v>
      </c>
      <c r="E71" s="78" t="str">
        <f t="shared" si="1"/>
        <v>"[FOOTER RULE - STRICT] End your entire response EXACTLY with this markdown string (ensure all code blocks are closed before it):" &amp; CHAR(10) &amp; "---" &amp; CHAR(10) &amp; "⚡ *Coding5s System - Learn Programming by Writing Code - Coding5S.com*")</v>
      </c>
      <c r="F71" s="32" t="s">
        <v>232</v>
      </c>
    </row>
    <row r="72" spans="2:6">
      <c r="B72" s="54"/>
      <c r="C72" s="54"/>
      <c r="D72" s="93"/>
      <c r="E72" s="78" t="str">
        <f t="shared" si="1"/>
        <v/>
      </c>
      <c r="F72" s="32" t="s">
        <v>232</v>
      </c>
    </row>
    <row r="73" spans="2:6">
      <c r="B73" s="54"/>
      <c r="C73" s="54"/>
      <c r="D73" s="93"/>
      <c r="E73" s="78" t="str">
        <f t="shared" si="1"/>
        <v/>
      </c>
      <c r="F73" s="32" t="s">
        <v>232</v>
      </c>
    </row>
    <row r="74" spans="2:6">
      <c r="B74" s="54"/>
      <c r="C74" s="54"/>
      <c r="D74" s="93"/>
      <c r="E74" s="78" t="str">
        <f t="shared" si="1"/>
        <v/>
      </c>
      <c r="F74" s="32" t="s">
        <v>232</v>
      </c>
    </row>
    <row r="75" spans="2:6">
      <c r="B75" s="54"/>
      <c r="C75" s="54"/>
      <c r="D75" s="93"/>
      <c r="E75" s="78" t="str">
        <f t="shared" si="1"/>
        <v/>
      </c>
      <c r="F75" s="32" t="s">
        <v>232</v>
      </c>
    </row>
    <row r="76" spans="2:6">
      <c r="B76" s="54"/>
      <c r="C76" s="54"/>
      <c r="D76" s="93"/>
      <c r="E76" s="78" t="str">
        <f t="shared" si="1"/>
        <v/>
      </c>
      <c r="F76" s="32" t="s">
        <v>232</v>
      </c>
    </row>
    <row r="77" spans="2:6">
      <c r="E77" s="87"/>
      <c r="F77" t="s">
        <v>232</v>
      </c>
    </row>
    <row r="79" spans="2:6" ht="36">
      <c r="B79" s="81" t="s">
        <v>495</v>
      </c>
    </row>
    <row r="80" spans="2:6">
      <c r="B80" s="77" t="s">
        <v>229</v>
      </c>
      <c r="C80" s="77" t="s">
        <v>639</v>
      </c>
      <c r="D80" s="77" t="s">
        <v>640</v>
      </c>
      <c r="E80" s="90" t="s">
        <v>249</v>
      </c>
      <c r="F80" s="54" t="s">
        <v>232</v>
      </c>
    </row>
    <row r="81" spans="2:6">
      <c r="B81" s="54" t="s">
        <v>230</v>
      </c>
      <c r="C81" s="54" t="s">
        <v>429</v>
      </c>
      <c r="D81" s="93" t="s">
        <v>430</v>
      </c>
      <c r="E81" s="17" t="str">
        <f t="shared" ref="E81:E95" si="2">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232</v>
      </c>
    </row>
    <row r="82" spans="2:6">
      <c r="B82" s="54" t="s">
        <v>230</v>
      </c>
      <c r="C82" s="54" t="s">
        <v>251</v>
      </c>
      <c r="D82" s="93" t="s">
        <v>431</v>
      </c>
      <c r="E82" s="17" t="str">
        <f t="shared" si="2"/>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232</v>
      </c>
    </row>
    <row r="83" spans="2:6">
      <c r="B83" s="54" t="s">
        <v>230</v>
      </c>
      <c r="C83" s="54" t="s">
        <v>252</v>
      </c>
      <c r="D83" s="93" t="s">
        <v>432</v>
      </c>
      <c r="E83" s="17" t="str">
        <f t="shared" si="2"/>
        <v>"[CONTEXT] You are helping a Junior Developer complete a " &amp; IF(UPPER(H9)="PROJECT", "PROJECT: " &amp; I9 &amp; ". Topics involved: " &amp; B9 &amp; ". Project objective: " &amp; J9, "TOPIC: " &amp; I9 &amp; ". Topic details: " &amp; J9) &amp; " | " &amp;</v>
      </c>
      <c r="F83" s="54" t="s">
        <v>232</v>
      </c>
    </row>
    <row r="84" spans="2:6">
      <c r="B84" s="54" t="s">
        <v>230</v>
      </c>
      <c r="C84" s="54" t="s">
        <v>167</v>
      </c>
      <c r="D84" s="93" t="s">
        <v>433</v>
      </c>
      <c r="E84" s="17" t="str">
        <f t="shared" si="2"/>
        <v>"[TASK] Analyze the student's code and explanation. If they completed the data flow perfectly, celebrate the 'solid foundation' and offer a 'System Extension' challenge. Otherwise, follow the 2-PHASE MENTORING PROTOCOL | " &amp;</v>
      </c>
      <c r="F84" s="54" t="s">
        <v>232</v>
      </c>
    </row>
    <row r="85" spans="2:6">
      <c r="B85" s="54" t="s">
        <v>230</v>
      </c>
      <c r="C85" s="54" t="s">
        <v>238</v>
      </c>
      <c r="D85" s="93" t="s">
        <v>291</v>
      </c>
      <c r="E85" s="17" t="str">
        <f t="shared" si="2"/>
        <v>"[LIBRARY BEING LEARNED] " &amp; $I$3 &amp; " | " &amp;</v>
      </c>
      <c r="F85" s="54" t="s">
        <v>232</v>
      </c>
    </row>
    <row r="86" spans="2:6">
      <c r="B86" s="54" t="s">
        <v>230</v>
      </c>
      <c r="C86" s="54" t="s">
        <v>177</v>
      </c>
      <c r="D86" s="93" t="s">
        <v>274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232</v>
      </c>
    </row>
    <row r="87" spans="2:6">
      <c r="B87" s="54" t="s">
        <v>230</v>
      </c>
      <c r="C87" s="54" t="s">
        <v>550</v>
      </c>
      <c r="D87" s="93" t="s">
        <v>542</v>
      </c>
      <c r="E87" s="17" t="str">
        <f t="shared" si="2"/>
        <v>"[LANGUAGE SEED CONTEXT] " &amp; IF($AE$7 = "", "Language Seed Not Necessary", "You MUST strictly follow this seed context to enhance, adapt, and naturalize your tone, vocabulary, and instructional quality in " &amp; $B$6 &amp; ": " &amp; $AE$7) &amp; " | " &amp;</v>
      </c>
      <c r="F87" s="54" t="s">
        <v>232</v>
      </c>
    </row>
    <row r="88" spans="2:6">
      <c r="B88" s="54" t="s">
        <v>230</v>
      </c>
      <c r="C88" s="54" t="s">
        <v>223</v>
      </c>
      <c r="D88" s="93" t="s">
        <v>649</v>
      </c>
      <c r="E88" s="17" t="str">
        <f t="shared" si="2"/>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232</v>
      </c>
    </row>
    <row r="89" spans="2:6">
      <c r="B89" s="54" t="s">
        <v>231</v>
      </c>
      <c r="C89" s="54" t="s">
        <v>241</v>
      </c>
      <c r="D89" s="93"/>
      <c r="E89" s="17" t="str">
        <f t="shared" si="2"/>
        <v/>
      </c>
      <c r="F89" s="54" t="s">
        <v>232</v>
      </c>
    </row>
    <row r="90" spans="2:6">
      <c r="B90" s="54" t="s">
        <v>231</v>
      </c>
      <c r="C90" s="54" t="s">
        <v>259</v>
      </c>
      <c r="D90" s="93" t="s">
        <v>368</v>
      </c>
      <c r="E90" s="17" t="str">
        <f t="shared" si="2"/>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v>
      </c>
      <c r="F90" s="54" t="s">
        <v>232</v>
      </c>
    </row>
    <row r="91" spans="2:6">
      <c r="B91" s="54" t="s">
        <v>300</v>
      </c>
      <c r="C91" s="54" t="s">
        <v>253</v>
      </c>
      <c r="D91" s="93" t="s">
        <v>434</v>
      </c>
      <c r="E91" s="17" t="str">
        <f t="shared" si="2"/>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232</v>
      </c>
    </row>
    <row r="92" spans="2:6">
      <c r="B92" s="54" t="s">
        <v>300</v>
      </c>
      <c r="C92" s="54" t="s">
        <v>255</v>
      </c>
      <c r="D92" s="93" t="s">
        <v>435</v>
      </c>
      <c r="E92" s="17" t="str">
        <f t="shared" si="2"/>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232</v>
      </c>
    </row>
    <row r="93" spans="2:6">
      <c r="B93" s="54" t="s">
        <v>300</v>
      </c>
      <c r="C93" s="54" t="s">
        <v>256</v>
      </c>
      <c r="D93" s="93" t="s">
        <v>436</v>
      </c>
      <c r="E93" s="17" t="str">
        <f t="shared" si="2"/>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232</v>
      </c>
    </row>
    <row r="94" spans="2:6">
      <c r="B94" s="54" t="s">
        <v>300</v>
      </c>
      <c r="C94" s="54" t="s">
        <v>260</v>
      </c>
      <c r="D94" s="93" t="s">
        <v>437</v>
      </c>
      <c r="E94" s="17" t="str">
        <f t="shared" si="2"/>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232</v>
      </c>
    </row>
    <row r="95" spans="2:6">
      <c r="B95" s="54" t="s">
        <v>300</v>
      </c>
      <c r="C95" s="54" t="s">
        <v>369</v>
      </c>
      <c r="D95" s="93" t="s">
        <v>438</v>
      </c>
      <c r="E95" s="17" t="str">
        <f t="shared" si="2"/>
        <v>"[FOOTER RULE] End your response with: '--- ⚡ *Coding5s Mentor System — Eliminating Epistemic Debt &amp; Connecting the Flow*',</v>
      </c>
      <c r="F95" s="54" t="s">
        <v>232</v>
      </c>
    </row>
    <row r="96" spans="2:6">
      <c r="B96" s="54"/>
      <c r="C96" s="54"/>
      <c r="D96" s="54" t="s">
        <v>439</v>
      </c>
      <c r="E96" s="90" t="s">
        <v>376</v>
      </c>
      <c r="F96" s="54" t="s">
        <v>232</v>
      </c>
    </row>
    <row r="97" spans="2:6">
      <c r="B97" s="54"/>
      <c r="C97" s="54"/>
      <c r="D97" s="54"/>
      <c r="E97" s="78" t="str">
        <f t="shared" ref="E97:E100" si="3">IF(D97="","",""""&amp;C97&amp;" "&amp;IF(C97="[FOOTER RULE - STRICT]",D97,IF(RIGHT(D97,6)=" | "&amp;CHAR(34)&amp;" &amp;",D97,D97&amp;" | "&amp;CHAR(34)&amp;" &amp;")))</f>
        <v/>
      </c>
      <c r="F97" s="54" t="s">
        <v>232</v>
      </c>
    </row>
    <row r="98" spans="2:6">
      <c r="B98" s="54"/>
      <c r="C98" s="54"/>
      <c r="D98" s="54"/>
      <c r="E98" s="78" t="str">
        <f t="shared" si="3"/>
        <v/>
      </c>
      <c r="F98" s="54" t="s">
        <v>232</v>
      </c>
    </row>
    <row r="99" spans="2:6">
      <c r="B99" s="54"/>
      <c r="C99" s="54"/>
      <c r="D99" s="54"/>
      <c r="E99" s="78" t="str">
        <f t="shared" si="3"/>
        <v/>
      </c>
      <c r="F99" s="54" t="s">
        <v>232</v>
      </c>
    </row>
    <row r="100" spans="2:6">
      <c r="B100" s="54"/>
      <c r="C100" s="54"/>
      <c r="D100" s="54"/>
      <c r="E100" s="78" t="str">
        <f t="shared" si="3"/>
        <v/>
      </c>
      <c r="F100" s="54" t="s">
        <v>232</v>
      </c>
    </row>
  </sheetData>
  <conditionalFormatting sqref="B1:B1048576">
    <cfRule type="cellIs" dxfId="35" priority="10" operator="equal">
      <formula>"The Immutable Kernel"</formula>
    </cfRule>
    <cfRule type="cellIs" dxfId="34" priority="11" operator="equal">
      <formula>"Paradigm &amp; Ecosystem"</formula>
    </cfRule>
    <cfRule type="cellIs" dxfId="33" priority="12" operator="equal">
      <formula>"Global Variables &amp; Configuration"</formula>
    </cfRule>
  </conditionalFormatting>
  <conditionalFormatting sqref="C4:C42">
    <cfRule type="expression" dxfId="32" priority="7">
      <formula>$B4="The Immutable Kernel"</formula>
    </cfRule>
    <cfRule type="expression" dxfId="31" priority="8">
      <formula>$B4="Paradigm &amp; Ecosystem"</formula>
    </cfRule>
    <cfRule type="expression" dxfId="30" priority="9">
      <formula>$B4="Global Variables &amp; Configuration"</formula>
    </cfRule>
  </conditionalFormatting>
  <conditionalFormatting sqref="C47:C76">
    <cfRule type="expression" dxfId="29" priority="4">
      <formula>$B47="The Immutable Kernel"</formula>
    </cfRule>
    <cfRule type="expression" dxfId="28" priority="5">
      <formula>$B47="Paradigm &amp; Ecosystem"</formula>
    </cfRule>
    <cfRule type="expression" dxfId="27" priority="6">
      <formula>$B47="Global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99"/>
  <sheetViews>
    <sheetView showGridLines="0" topLeftCell="A83" zoomScaleNormal="100" workbookViewId="0">
      <selection activeCell="E79" sqref="E79:E96"/>
    </sheetView>
  </sheetViews>
  <sheetFormatPr defaultRowHeight="15"/>
  <cols>
    <col min="1" max="1" width="5.42578125" customWidth="1"/>
    <col min="2" max="2" width="36.85546875" customWidth="1"/>
    <col min="3" max="3" width="33" customWidth="1"/>
    <col min="4" max="4" width="85.28515625" customWidth="1"/>
    <col min="5" max="5" width="39.5703125" style="86" customWidth="1"/>
    <col min="6" max="6" width="4" customWidth="1"/>
  </cols>
  <sheetData>
    <row r="2" spans="2:29" ht="36">
      <c r="B2" s="79" t="s">
        <v>494</v>
      </c>
      <c r="D2" s="82" t="s">
        <v>464</v>
      </c>
      <c r="H2" s="83" t="s">
        <v>297</v>
      </c>
      <c r="T2" s="83" t="s">
        <v>298</v>
      </c>
    </row>
    <row r="3" spans="2:29">
      <c r="B3" s="77" t="s">
        <v>229</v>
      </c>
      <c r="C3" s="77" t="s">
        <v>639</v>
      </c>
      <c r="D3" s="77" t="s">
        <v>640</v>
      </c>
      <c r="E3" s="89" t="s">
        <v>237</v>
      </c>
      <c r="F3" s="4" t="s">
        <v>232</v>
      </c>
      <c r="AC3" t="s">
        <v>232</v>
      </c>
    </row>
    <row r="4" spans="2:29">
      <c r="B4" s="76" t="s">
        <v>230</v>
      </c>
      <c r="C4" s="54" t="s">
        <v>165</v>
      </c>
      <c r="D4" s="91" t="s">
        <v>378</v>
      </c>
      <c r="E4" s="78" t="str">
        <f t="shared" ref="E4:E39" si="0">IF(D4="","",""""&amp;C4&amp;" "&amp;IF(C4="[FOOTER RULE - STRICT]",D4,IF(RIGHT(D4,6)=" | "&amp;CHAR(34)&amp;" &amp;",D4,D4&amp;" | "&amp;CHAR(34)&amp;" &amp;")))</f>
        <v>"[ROLE] Tech Lead | " &amp;</v>
      </c>
      <c r="F4" s="54" t="s">
        <v>232</v>
      </c>
    </row>
    <row r="5" spans="2:29">
      <c r="B5" s="76" t="s">
        <v>230</v>
      </c>
      <c r="C5" s="54" t="s">
        <v>167</v>
      </c>
      <c r="D5" s="91" t="s">
        <v>440</v>
      </c>
      <c r="E5" s="78" t="str">
        <f t="shared" si="0"/>
        <v>"[TASK] Provide intentionally messy but functional code for learning debugging and improvement | " &amp;</v>
      </c>
      <c r="F5" s="54" t="s">
        <v>232</v>
      </c>
    </row>
    <row r="6" spans="2:29">
      <c r="B6" s="76" t="s">
        <v>230</v>
      </c>
      <c r="C6" s="54" t="s">
        <v>169</v>
      </c>
      <c r="D6" s="91" t="s">
        <v>170</v>
      </c>
      <c r="E6" s="78" t="str">
        <f t="shared" si="0"/>
        <v>"[TOPIC] " &amp; I9 &amp; " | " &amp;</v>
      </c>
      <c r="F6" s="54" t="s">
        <v>232</v>
      </c>
    </row>
    <row r="7" spans="2:29">
      <c r="B7" s="76" t="s">
        <v>230</v>
      </c>
      <c r="C7" s="54" t="s">
        <v>171</v>
      </c>
      <c r="D7" s="91" t="s">
        <v>172</v>
      </c>
      <c r="E7" s="78" t="str">
        <f t="shared" si="0"/>
        <v>"[LEVEL] " &amp; G9 &amp; " | " &amp;</v>
      </c>
      <c r="F7" s="54" t="s">
        <v>232</v>
      </c>
    </row>
    <row r="8" spans="2:29">
      <c r="B8" s="76" t="s">
        <v>230</v>
      </c>
      <c r="C8" s="54" t="s">
        <v>173</v>
      </c>
      <c r="D8" s="91" t="s">
        <v>305</v>
      </c>
      <c r="E8" s="78" t="str">
        <f t="shared" si="0"/>
        <v>"[COUNT] " &amp; D9 &amp; " challenges | " &amp;</v>
      </c>
      <c r="F8" s="54" t="s">
        <v>232</v>
      </c>
    </row>
    <row r="9" spans="2:29">
      <c r="B9" s="76" t="s">
        <v>230</v>
      </c>
      <c r="C9" s="54" t="s">
        <v>238</v>
      </c>
      <c r="D9" s="91" t="s">
        <v>291</v>
      </c>
      <c r="E9" s="78" t="str">
        <f t="shared" si="0"/>
        <v>"[LIBRARY BEING LEARNED] " &amp; $I$3 &amp; " | " &amp;</v>
      </c>
      <c r="F9" s="54" t="s">
        <v>232</v>
      </c>
    </row>
    <row r="10" spans="2:29">
      <c r="B10" s="76" t="s">
        <v>230</v>
      </c>
      <c r="C10" s="54" t="s">
        <v>233</v>
      </c>
      <c r="D10" s="91" t="s">
        <v>239</v>
      </c>
      <c r="E10"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10" s="54" t="s">
        <v>232</v>
      </c>
    </row>
    <row r="11" spans="2:29">
      <c r="B11" s="76" t="s">
        <v>230</v>
      </c>
      <c r="C11" s="54" t="s">
        <v>175</v>
      </c>
      <c r="D11" s="91" t="s">
        <v>441</v>
      </c>
      <c r="E11" s="78" t="str">
        <f t="shared" si="0"/>
        <v>"[PERSONA RULE] Act as a Tech Lead. A junior wrote this working but messy code. Tone: professional but exhausted by the code quality | " &amp;</v>
      </c>
      <c r="F11" s="54" t="s">
        <v>232</v>
      </c>
    </row>
    <row r="12" spans="2:29">
      <c r="B12" s="76" t="s">
        <v>230</v>
      </c>
      <c r="C12" s="54" t="s">
        <v>177</v>
      </c>
      <c r="D12" s="91" t="s">
        <v>442</v>
      </c>
      <c r="E12" s="78"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232</v>
      </c>
    </row>
    <row r="13" spans="2:29">
      <c r="B13" s="76" t="s">
        <v>230</v>
      </c>
      <c r="C13" s="54" t="s">
        <v>223</v>
      </c>
      <c r="D13" s="91" t="s">
        <v>650</v>
      </c>
      <c r="E13" s="78"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232</v>
      </c>
    </row>
    <row r="14" spans="2:29">
      <c r="B14" s="84" t="s">
        <v>230</v>
      </c>
      <c r="C14" s="54" t="s">
        <v>550</v>
      </c>
      <c r="D14" s="91" t="s">
        <v>542</v>
      </c>
      <c r="E14" s="78" t="str">
        <f t="shared" si="0"/>
        <v>"[LANGUAGE SEED CONTEXT] " &amp; IF($AE$7 = "", "Language Seed Not Necessary", "You MUST strictly follow this seed context to enhance, adapt, and naturalize your tone, vocabulary, and instructional quality in " &amp; $B$6 &amp; ": " &amp; $AE$7) &amp; " | " &amp;</v>
      </c>
      <c r="F14" s="54" t="s">
        <v>232</v>
      </c>
    </row>
    <row r="15" spans="2:29">
      <c r="B15" s="84" t="s">
        <v>231</v>
      </c>
      <c r="C15" s="54" t="s">
        <v>241</v>
      </c>
      <c r="D15" s="91"/>
      <c r="E15" s="78" t="str">
        <f t="shared" si="0"/>
        <v/>
      </c>
      <c r="F15" s="54" t="s">
        <v>232</v>
      </c>
    </row>
    <row r="16" spans="2:29">
      <c r="B16" s="84" t="s">
        <v>231</v>
      </c>
      <c r="C16" s="54" t="s">
        <v>241</v>
      </c>
      <c r="D16" s="91"/>
      <c r="E16" s="78" t="str">
        <f t="shared" si="0"/>
        <v/>
      </c>
      <c r="F16" s="54" t="s">
        <v>232</v>
      </c>
    </row>
    <row r="17" spans="2:6">
      <c r="B17" s="84" t="s">
        <v>231</v>
      </c>
      <c r="C17" s="54" t="s">
        <v>186</v>
      </c>
      <c r="D17" s="91" t="s">
        <v>466</v>
      </c>
      <c r="E17" s="78" t="str">
        <f t="shared" si="0"/>
        <v>"[FUNCTION RULE] Rule: " &amp; IF(G9="Beginner", "Do NOT use functions unless absolutely required by the concept. Use linear scripts. ", IF(G9="Intermediate", "Functions are optional. Use them only if they improve clarity. Avoid over-engineering. ", "Use functions appropriately but code can still be messy. " )) &amp; " | " &amp;</v>
      </c>
      <c r="F17" s="54" t="s">
        <v>232</v>
      </c>
    </row>
    <row r="18" spans="2:6">
      <c r="B18" s="85" t="s">
        <v>231</v>
      </c>
      <c r="C18" s="54" t="s">
        <v>187</v>
      </c>
      <c r="D18" s="91" t="s">
        <v>443</v>
      </c>
      <c r="E18" s="78" t="str">
        <f t="shared" si="0"/>
        <v>"[CODE QUALITY RULE] Code MUST be executable and correct BUT intentionally messy, inconsistent, or suboptimal | " &amp;</v>
      </c>
      <c r="F18" s="54" t="s">
        <v>232</v>
      </c>
    </row>
    <row r="19" spans="2:6">
      <c r="B19" s="85" t="s">
        <v>231</v>
      </c>
      <c r="C19" s="54" t="s">
        <v>444</v>
      </c>
      <c r="D19" s="91" t="s">
        <v>445</v>
      </c>
      <c r="E19" s="78"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232</v>
      </c>
    </row>
    <row r="20" spans="2:6">
      <c r="B20" s="85" t="s">
        <v>231</v>
      </c>
      <c r="C20" s="54" t="s">
        <v>446</v>
      </c>
      <c r="D20" s="91" t="s">
        <v>447</v>
      </c>
      <c r="E20" s="78" t="str">
        <f t="shared" si="0"/>
        <v>"[STYLE INCONSISTENCY RULE] Each challenge should feel like it was written at a different time with different formatting styles | " &amp;</v>
      </c>
      <c r="F20" s="54" t="s">
        <v>232</v>
      </c>
    </row>
    <row r="21" spans="2:6">
      <c r="B21" s="85" t="s">
        <v>231</v>
      </c>
      <c r="C21" s="54" t="s">
        <v>195</v>
      </c>
      <c r="D21" s="91" t="s">
        <v>306</v>
      </c>
      <c r="E21" s="78" t="str">
        <f t="shared" si="0"/>
        <v>"[FILE HANDLING RULE] Use correct loaders and enforce encoding='utf-8' and newline='' when applicable | " &amp;</v>
      </c>
      <c r="F21" s="54" t="s">
        <v>232</v>
      </c>
    </row>
    <row r="22" spans="2:6">
      <c r="B22" s="85" t="s">
        <v>231</v>
      </c>
      <c r="C22" s="54" t="s">
        <v>197</v>
      </c>
      <c r="D22" s="91" t="s">
        <v>448</v>
      </c>
      <c r="E22" s="78" t="str">
        <f t="shared" si="0"/>
        <v>"[DATA TYPE RULE] Explicit casting required before calculations | " &amp;</v>
      </c>
      <c r="F22" s="54" t="s">
        <v>232</v>
      </c>
    </row>
    <row r="23" spans="2:6">
      <c r="B23" s="85" t="s">
        <v>231</v>
      </c>
      <c r="C23" s="54" t="s">
        <v>198</v>
      </c>
      <c r="D23" s="91" t="s">
        <v>449</v>
      </c>
      <c r="E23" s="78" t="str">
        <f t="shared" si="0"/>
        <v>"[DATA ROBUSTNESS RULE] Handle missing, malformed, or inconsistent data safely | " &amp;</v>
      </c>
      <c r="F23" s="54" t="s">
        <v>232</v>
      </c>
    </row>
    <row r="24" spans="2:6">
      <c r="B24" s="85" t="s">
        <v>231</v>
      </c>
      <c r="C24" s="54" t="s">
        <v>199</v>
      </c>
      <c r="D24" s="91" t="s">
        <v>450</v>
      </c>
      <c r="E24" s="78" t="str">
        <f t="shared" si="0"/>
        <v>"[BOOLEAN HANDLING RULE] Normalize boolean values before comparison | " &amp;</v>
      </c>
      <c r="F24" s="54" t="s">
        <v>232</v>
      </c>
    </row>
    <row r="25" spans="2:6">
      <c r="B25" s="85" t="s">
        <v>231</v>
      </c>
      <c r="C25" s="54" t="s">
        <v>200</v>
      </c>
      <c r="D25" s="91" t="s">
        <v>451</v>
      </c>
      <c r="E25" s="78" t="str">
        <f t="shared" si="0"/>
        <v>"[DATA CONSISTENCY RULE] Respect dataset schema | " &amp;</v>
      </c>
      <c r="F25" s="54" t="s">
        <v>232</v>
      </c>
    </row>
    <row r="26" spans="2:6">
      <c r="B26" s="54" t="s">
        <v>231</v>
      </c>
      <c r="C26" s="54" t="s">
        <v>215</v>
      </c>
      <c r="D26" s="91" t="s">
        <v>314</v>
      </c>
      <c r="E26" s="78" t="str">
        <f t="shared" si="0"/>
        <v>"[FORMAT RULE] Only valid markdown code blocks allowed | " &amp;</v>
      </c>
      <c r="F26" s="54" t="s">
        <v>232</v>
      </c>
    </row>
    <row r="27" spans="2:6">
      <c r="B27" s="54" t="s">
        <v>231</v>
      </c>
      <c r="C27" s="54" t="s">
        <v>217</v>
      </c>
      <c r="D27" s="91" t="s">
        <v>315</v>
      </c>
      <c r="E27" s="78" t="str">
        <f t="shared" si="0"/>
        <v>"[LANGUAGE TAG RULE] ALWAYS label markdown code blocks with the correct underlying programming language (e.g., python, javascript, sql) | " &amp;</v>
      </c>
      <c r="F27" s="54" t="s">
        <v>232</v>
      </c>
    </row>
    <row r="28" spans="2:6">
      <c r="B28" s="54" t="s">
        <v>231</v>
      </c>
      <c r="C28" s="54" t="s">
        <v>219</v>
      </c>
      <c r="D28" s="91" t="s">
        <v>452</v>
      </c>
      <c r="E28" s="78" t="str">
        <f t="shared" si="0"/>
        <v>"[OUTPUT FORMAT RULE] Monetary values formatted with '$', commas, 2 decimals | " &amp;</v>
      </c>
      <c r="F28" s="54" t="s">
        <v>232</v>
      </c>
    </row>
    <row r="29" spans="2:6">
      <c r="B29" s="54" t="s">
        <v>231</v>
      </c>
      <c r="C29" s="54" t="s">
        <v>224</v>
      </c>
      <c r="D29" s="91" t="s">
        <v>453</v>
      </c>
      <c r="E29" s="78" t="str">
        <f t="shared" si="0"/>
        <v>"[OUTPUT] Only header, dataset summary or statement (if any), intro, challenges, code, outputs, and footer | " &amp;</v>
      </c>
      <c r="F29" s="54" t="s">
        <v>232</v>
      </c>
    </row>
    <row r="30" spans="2:6">
      <c r="B30" s="54" t="s">
        <v>300</v>
      </c>
      <c r="C30" s="54" t="s">
        <v>179</v>
      </c>
      <c r="D30" s="91" t="s">
        <v>387</v>
      </c>
      <c r="E30" s="78"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232</v>
      </c>
    </row>
    <row r="31" spans="2:6">
      <c r="B31" s="54" t="s">
        <v>300</v>
      </c>
      <c r="C31" s="54" t="s">
        <v>180</v>
      </c>
      <c r="D31" s="91" t="s">
        <v>454</v>
      </c>
      <c r="E31" s="78" t="str">
        <f t="shared" si="0"/>
        <v>"[DATA SUMMARY FORMAT RULE] When a dataset is present, you MUST display IMMEDIATELY AFTER THE HEADER: Dataset Summary: - File Type: - Columns / Fields: - Data Types: - Notes: | " &amp;</v>
      </c>
      <c r="F31" s="54" t="s">
        <v>232</v>
      </c>
    </row>
    <row r="32" spans="2:6">
      <c r="B32" s="54" t="s">
        <v>300</v>
      </c>
      <c r="C32" s="54" t="s">
        <v>194</v>
      </c>
      <c r="D32" s="91" t="s">
        <v>455</v>
      </c>
      <c r="E32" s="78"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232</v>
      </c>
    </row>
    <row r="33" spans="2:6">
      <c r="B33" s="54" t="s">
        <v>300</v>
      </c>
      <c r="C33" s="54" t="s">
        <v>182</v>
      </c>
      <c r="D33" s="91" t="s">
        <v>456</v>
      </c>
      <c r="E33" s="78"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232</v>
      </c>
    </row>
    <row r="34" spans="2:6">
      <c r="B34" s="54" t="s">
        <v>300</v>
      </c>
      <c r="C34" s="54" t="s">
        <v>457</v>
      </c>
      <c r="D34" s="91" t="s">
        <v>458</v>
      </c>
      <c r="E34" s="78" t="str">
        <f t="shared" si="0"/>
        <v>"[REVIEW INTENT RULE] The user is expected to review, identify issues, and refactor the code to production-level quality | " &amp;</v>
      </c>
      <c r="F34" s="54" t="s">
        <v>232</v>
      </c>
    </row>
    <row r="35" spans="2:6">
      <c r="B35" s="54" t="s">
        <v>300</v>
      </c>
      <c r="C35" s="54" t="s">
        <v>184</v>
      </c>
      <c r="D35" s="91" t="s">
        <v>459</v>
      </c>
      <c r="E35" s="78"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232</v>
      </c>
    </row>
    <row r="36" spans="2:6">
      <c r="B36" s="54" t="s">
        <v>300</v>
      </c>
      <c r="C36" s="54" t="s">
        <v>202</v>
      </c>
      <c r="D36" s="91" t="s">
        <v>460</v>
      </c>
      <c r="E36" s="78" t="str">
        <f t="shared" si="0"/>
        <v>"[SUPPORT FILES RULE] If env/config is used, include: 1. Instructional sentence 2. File content in markdown code block 3. BEFORE the main code | " &amp;</v>
      </c>
      <c r="F36" s="54" t="s">
        <v>232</v>
      </c>
    </row>
    <row r="37" spans="2:6">
      <c r="B37" s="54" t="s">
        <v>300</v>
      </c>
      <c r="C37" s="54" t="s">
        <v>203</v>
      </c>
      <c r="D37" s="91" t="s">
        <v>461</v>
      </c>
      <c r="E37" s="78" t="str">
        <f t="shared" si="0"/>
        <v>"[DIFFICULTY RULE] Complexity MUST match level | " &amp;</v>
      </c>
      <c r="F37" s="54" t="s">
        <v>232</v>
      </c>
    </row>
    <row r="38" spans="2:6">
      <c r="B38" s="54" t="s">
        <v>300</v>
      </c>
      <c r="C38" s="54" t="s">
        <v>462</v>
      </c>
      <c r="D38" s="91" t="s">
        <v>463</v>
      </c>
      <c r="E38" s="78" t="str">
        <f t="shared" si="0"/>
        <v>"[DIFFICULTY CONSISTENCY RULE] All challenges MUST have similar complexity and length, even if coding styles differ | " &amp;</v>
      </c>
      <c r="F38" s="54" t="s">
        <v>232</v>
      </c>
    </row>
    <row r="39" spans="2:6">
      <c r="B39" s="54" t="s">
        <v>300</v>
      </c>
      <c r="C39" s="54" t="s">
        <v>228</v>
      </c>
      <c r="D39" s="91" t="s">
        <v>411</v>
      </c>
      <c r="E39" s="78" t="str">
        <f t="shared" si="0"/>
        <v>"[FOOTER RULE - STRICT] End your entire response EXACTLY with this markdown string (ensure all code blocks are closed before it):" &amp; CHAR(10) &amp; "---" &amp; CHAR(10) &amp; "⚡ *Coding5s System - Learn Programming by Writing Code - Coding5S.com*",</v>
      </c>
      <c r="F39" s="54" t="s">
        <v>232</v>
      </c>
    </row>
    <row r="40" spans="2:6">
      <c r="B40" s="54"/>
      <c r="C40" s="54"/>
      <c r="D40" s="91"/>
      <c r="E40" s="89" t="s">
        <v>465</v>
      </c>
      <c r="F40" s="54" t="s">
        <v>232</v>
      </c>
    </row>
    <row r="41" spans="2:6">
      <c r="B41" s="54"/>
      <c r="C41" s="54"/>
      <c r="D41" s="91"/>
      <c r="E41" s="78"/>
      <c r="F41" s="54"/>
    </row>
    <row r="42" spans="2:6">
      <c r="B42" s="75"/>
      <c r="C42" s="75"/>
      <c r="E42" s="87"/>
    </row>
    <row r="43" spans="2:6">
      <c r="B43" s="75"/>
      <c r="C43" s="75"/>
      <c r="E43" s="87"/>
    </row>
    <row r="44" spans="2:6" ht="36">
      <c r="B44" s="80" t="s">
        <v>493</v>
      </c>
      <c r="C44" s="75"/>
      <c r="E44" s="87"/>
    </row>
    <row r="45" spans="2:6">
      <c r="B45" s="77" t="s">
        <v>286</v>
      </c>
      <c r="C45" s="77" t="s">
        <v>639</v>
      </c>
      <c r="D45" s="77" t="s">
        <v>640</v>
      </c>
      <c r="E45" s="89" t="s">
        <v>287</v>
      </c>
      <c r="F45" s="32" t="s">
        <v>232</v>
      </c>
    </row>
    <row r="46" spans="2:6">
      <c r="B46" s="54" t="s">
        <v>230</v>
      </c>
      <c r="C46" s="54" t="s">
        <v>165</v>
      </c>
      <c r="D46" s="91" t="s">
        <v>378</v>
      </c>
      <c r="E46" s="78" t="str">
        <f>IF(D46="","",""""&amp;C46&amp;" "&amp;IF(C46="[FOOTER RULE - STRICT]",D46,IF(RIGHT(D46,6)=" | "&amp;CHAR(34)&amp;" &amp;",D46,D46&amp;" | "&amp;CHAR(34)&amp;" &amp;")))</f>
        <v>"[ROLE] Tech Lead | " &amp;</v>
      </c>
      <c r="F46" s="32" t="s">
        <v>232</v>
      </c>
    </row>
    <row r="47" spans="2:6">
      <c r="B47" s="54" t="s">
        <v>230</v>
      </c>
      <c r="C47" s="54" t="s">
        <v>167</v>
      </c>
      <c r="D47" s="91" t="s">
        <v>467</v>
      </c>
      <c r="E47" s="78" t="str">
        <f t="shared" ref="E47:E75" si="1">IF(D47="","",""""&amp;C47&amp;" "&amp;IF(C47="[FOOTER RULE - STRICT]",D47,IF(RIGHT(D47,6)=" | "&amp;CHAR(34)&amp;" &amp;",D47,D47&amp;" | "&amp;CHAR(34)&amp;" &amp;")))</f>
        <v>"[TASK] Provide a messy but functional project for refactoring | " &amp;</v>
      </c>
      <c r="F47" s="32" t="s">
        <v>232</v>
      </c>
    </row>
    <row r="48" spans="2:6">
      <c r="B48" s="54" t="s">
        <v>230</v>
      </c>
      <c r="C48" s="54" t="s">
        <v>349</v>
      </c>
      <c r="D48" s="91" t="s">
        <v>170</v>
      </c>
      <c r="E48" s="78" t="str">
        <f t="shared" si="1"/>
        <v>"[PROJECT] " &amp; I9 &amp; " | " &amp;</v>
      </c>
      <c r="F48" s="32" t="s">
        <v>232</v>
      </c>
    </row>
    <row r="49" spans="2:6">
      <c r="B49" s="54" t="s">
        <v>230</v>
      </c>
      <c r="C49" s="54" t="s">
        <v>272</v>
      </c>
      <c r="D49" s="91" t="s">
        <v>273</v>
      </c>
      <c r="E49" s="78" t="str">
        <f t="shared" si="1"/>
        <v>"[TOPICS USED] " &amp; B9 &amp; " | " &amp;</v>
      </c>
      <c r="F49" s="32" t="s">
        <v>232</v>
      </c>
    </row>
    <row r="50" spans="2:6">
      <c r="B50" s="54" t="s">
        <v>230</v>
      </c>
      <c r="C50" s="54" t="s">
        <v>171</v>
      </c>
      <c r="D50" s="91" t="s">
        <v>172</v>
      </c>
      <c r="E50" s="78" t="str">
        <f t="shared" si="1"/>
        <v>"[LEVEL] " &amp; G9 &amp; " | " &amp;</v>
      </c>
      <c r="F50" s="32" t="s">
        <v>232</v>
      </c>
    </row>
    <row r="51" spans="2:6">
      <c r="B51" s="54" t="s">
        <v>230</v>
      </c>
      <c r="C51" s="54" t="s">
        <v>175</v>
      </c>
      <c r="D51" s="91" t="s">
        <v>468</v>
      </c>
      <c r="E51" s="78" t="str">
        <f t="shared" si="1"/>
        <v>"[PERSONA RULE] Act as a Tech Lead. A junior wrote this working but messy code. Tone: professional but exhausted | " &amp;</v>
      </c>
      <c r="F51" s="32" t="s">
        <v>232</v>
      </c>
    </row>
    <row r="52" spans="2:6">
      <c r="B52" s="54" t="s">
        <v>230</v>
      </c>
      <c r="C52" s="54" t="s">
        <v>223</v>
      </c>
      <c r="D52" s="91" t="s">
        <v>651</v>
      </c>
      <c r="E52" s="78"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232</v>
      </c>
    </row>
    <row r="53" spans="2:6">
      <c r="B53" s="54" t="s">
        <v>230</v>
      </c>
      <c r="C53" s="54" t="s">
        <v>238</v>
      </c>
      <c r="D53" s="91" t="s">
        <v>291</v>
      </c>
      <c r="E53" s="78" t="str">
        <f t="shared" si="1"/>
        <v>"[LIBRARY BEING LEARNED] " &amp; $I$3 &amp; " | " &amp;</v>
      </c>
      <c r="F53" s="32" t="s">
        <v>232</v>
      </c>
    </row>
    <row r="54" spans="2:6">
      <c r="B54" s="54" t="s">
        <v>230</v>
      </c>
      <c r="C54" s="54" t="s">
        <v>177</v>
      </c>
      <c r="D54" s="91" t="s">
        <v>274</v>
      </c>
      <c r="E54" s="78"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232</v>
      </c>
    </row>
    <row r="55" spans="2:6">
      <c r="B55" s="54" t="s">
        <v>230</v>
      </c>
      <c r="C55" s="54" t="s">
        <v>550</v>
      </c>
      <c r="D55" s="91" t="s">
        <v>542</v>
      </c>
      <c r="E55" s="78" t="str">
        <f t="shared" si="1"/>
        <v>"[LANGUAGE SEED CONTEXT] " &amp; IF($AE$7 = "", "Language Seed Not Necessary", "You MUST strictly follow this seed context to enhance, adapt, and naturalize your tone, vocabulary, and instructional quality in " &amp; $B$6 &amp; ": " &amp; $AE$7) &amp; " | " &amp;</v>
      </c>
      <c r="F55" s="32" t="s">
        <v>232</v>
      </c>
    </row>
    <row r="56" spans="2:6">
      <c r="B56" s="54" t="s">
        <v>231</v>
      </c>
      <c r="C56" s="54" t="s">
        <v>241</v>
      </c>
      <c r="D56" s="91"/>
      <c r="E56" s="78" t="str">
        <f t="shared" si="1"/>
        <v/>
      </c>
      <c r="F56" s="32" t="s">
        <v>232</v>
      </c>
    </row>
    <row r="57" spans="2:6">
      <c r="B57" s="54" t="s">
        <v>231</v>
      </c>
      <c r="C57" s="54" t="s">
        <v>241</v>
      </c>
      <c r="D57" s="91"/>
      <c r="E57" s="78" t="str">
        <f t="shared" si="1"/>
        <v/>
      </c>
      <c r="F57" s="32" t="s">
        <v>232</v>
      </c>
    </row>
    <row r="58" spans="2:6">
      <c r="B58" s="85" t="s">
        <v>231</v>
      </c>
      <c r="C58" s="54" t="s">
        <v>186</v>
      </c>
      <c r="D58" s="91" t="s">
        <v>481</v>
      </c>
      <c r="E58" s="78" t="str">
        <f t="shared" si="1"/>
        <v>"[FUNCTION RULE] Rule: " &amp; IF(G9="Beginner", "Avoid functions unless required. ", IF(G9="Intermediate", "Functions optional. ", "Use 2–4 functions but code can still be messy. " )) &amp; " | " &amp;</v>
      </c>
      <c r="F58" s="32" t="s">
        <v>232</v>
      </c>
    </row>
    <row r="59" spans="2:6">
      <c r="B59" s="85" t="s">
        <v>231</v>
      </c>
      <c r="C59" s="54" t="s">
        <v>187</v>
      </c>
      <c r="D59" s="91" t="s">
        <v>469</v>
      </c>
      <c r="E59" s="78" t="str">
        <f t="shared" si="1"/>
        <v>"[CODE QUALITY RULE] Code MUST be correct and executable but not perfectly clean | " &amp;</v>
      </c>
      <c r="F59" s="32" t="s">
        <v>232</v>
      </c>
    </row>
    <row r="60" spans="2:6">
      <c r="B60" s="85" t="s">
        <v>231</v>
      </c>
      <c r="C60" s="54" t="s">
        <v>444</v>
      </c>
      <c r="D60" s="91" t="s">
        <v>470</v>
      </c>
      <c r="E60" s="78" t="str">
        <f t="shared" si="1"/>
        <v>"[DIRTY CODE RULE] Code MUST NOT include ANY comments and should include inconsistent naming, redundant logic, minor structural issues, and slightly messy organization while still remaining understandable as a complete working program | " &amp;</v>
      </c>
      <c r="F60" s="32" t="s">
        <v>232</v>
      </c>
    </row>
    <row r="61" spans="2:6">
      <c r="B61" s="54" t="s">
        <v>231</v>
      </c>
      <c r="C61" s="54" t="s">
        <v>198</v>
      </c>
      <c r="D61" s="91" t="s">
        <v>471</v>
      </c>
      <c r="E61" s="78" t="str">
        <f t="shared" si="1"/>
        <v>"[DATA ROBUSTNESS RULE] Handle real-world data safely | " &amp;</v>
      </c>
      <c r="F61" s="32" t="s">
        <v>232</v>
      </c>
    </row>
    <row r="62" spans="2:6">
      <c r="B62" s="54" t="s">
        <v>231</v>
      </c>
      <c r="C62" s="54" t="s">
        <v>215</v>
      </c>
      <c r="D62" s="91" t="s">
        <v>314</v>
      </c>
      <c r="E62" s="78" t="str">
        <f t="shared" si="1"/>
        <v>"[FORMAT RULE] Only valid markdown code blocks allowed | " &amp;</v>
      </c>
      <c r="F62" s="32" t="s">
        <v>232</v>
      </c>
    </row>
    <row r="63" spans="2:6">
      <c r="B63" s="54" t="s">
        <v>231</v>
      </c>
      <c r="C63" s="54" t="s">
        <v>217</v>
      </c>
      <c r="D63" s="91" t="s">
        <v>315</v>
      </c>
      <c r="E63" s="78" t="str">
        <f t="shared" si="1"/>
        <v>"[LANGUAGE TAG RULE] ALWAYS label markdown code blocks with the correct underlying programming language (e.g., python, javascript, sql) | " &amp;</v>
      </c>
      <c r="F63" s="32" t="s">
        <v>232</v>
      </c>
    </row>
    <row r="64" spans="2:6">
      <c r="B64" s="54" t="s">
        <v>300</v>
      </c>
      <c r="C64" s="54" t="s">
        <v>179</v>
      </c>
      <c r="D64" s="91" t="s">
        <v>472</v>
      </c>
      <c r="E64" s="78"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4" s="32" t="s">
        <v>232</v>
      </c>
    </row>
    <row r="65" spans="2:6">
      <c r="B65" s="54" t="s">
        <v>300</v>
      </c>
      <c r="C65" s="54" t="s">
        <v>194</v>
      </c>
      <c r="D65" s="91" t="s">
        <v>473</v>
      </c>
      <c r="E65" s="78"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5" s="32" t="s">
        <v>232</v>
      </c>
    </row>
    <row r="66" spans="2:6">
      <c r="B66" s="54" t="s">
        <v>300</v>
      </c>
      <c r="C66" s="54" t="s">
        <v>182</v>
      </c>
      <c r="D66" s="91" t="s">
        <v>474</v>
      </c>
      <c r="E66" s="78" t="str">
        <f t="shared" si="1"/>
        <v>"[OUTPUT CONTRACT] EXACTLY 1 project. Structure MUST be: 1. Tech Lead Intro Email 2. Project: Objective (max 6 lines), Expected Output (code block), Dirty Code | " &amp;</v>
      </c>
      <c r="F66" s="32" t="s">
        <v>232</v>
      </c>
    </row>
    <row r="67" spans="2:6">
      <c r="B67" s="54" t="s">
        <v>300</v>
      </c>
      <c r="C67" s="54" t="s">
        <v>457</v>
      </c>
      <c r="D67" s="91" t="s">
        <v>475</v>
      </c>
      <c r="E67" s="78" t="str">
        <f t="shared" si="1"/>
        <v>"[REVIEW INTENT RULE] The user is expected to review and refactor the project to improve structure, readability, and maintainability | " &amp;</v>
      </c>
      <c r="F67" s="32" t="s">
        <v>232</v>
      </c>
    </row>
    <row r="68" spans="2:6">
      <c r="B68" s="54" t="s">
        <v>300</v>
      </c>
      <c r="C68" s="54" t="s">
        <v>184</v>
      </c>
      <c r="D68" s="91" t="s">
        <v>476</v>
      </c>
      <c r="E68" s="78"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8" s="32" t="s">
        <v>232</v>
      </c>
    </row>
    <row r="69" spans="2:6">
      <c r="B69" s="54" t="s">
        <v>300</v>
      </c>
      <c r="C69" s="54" t="s">
        <v>202</v>
      </c>
      <c r="D69" s="91" t="s">
        <v>477</v>
      </c>
      <c r="E69" s="78" t="str">
        <f t="shared" si="1"/>
        <v>"[SUPPORT FILES RULE] Include config files before code if needed | " &amp;</v>
      </c>
      <c r="F69" s="32" t="s">
        <v>232</v>
      </c>
    </row>
    <row r="70" spans="2:6">
      <c r="B70" s="54" t="s">
        <v>300</v>
      </c>
      <c r="C70" s="54" t="s">
        <v>281</v>
      </c>
      <c r="D70" s="91" t="s">
        <v>478</v>
      </c>
      <c r="E70" s="78" t="str">
        <f t="shared" si="1"/>
        <v>"[EXECUTION RULE] Code MUST run and produce correct output | " &amp;</v>
      </c>
      <c r="F70" s="32" t="s">
        <v>232</v>
      </c>
    </row>
    <row r="71" spans="2:6">
      <c r="B71" s="54" t="s">
        <v>300</v>
      </c>
      <c r="C71" s="54" t="s">
        <v>220</v>
      </c>
      <c r="D71" s="91" t="s">
        <v>479</v>
      </c>
      <c r="E71" s="78" t="str">
        <f t="shared" si="1"/>
        <v>"[CONSISTENCY RULE] Project must match objective | " &amp;</v>
      </c>
      <c r="F71" s="32" t="s">
        <v>232</v>
      </c>
    </row>
    <row r="72" spans="2:6">
      <c r="B72" s="54" t="s">
        <v>300</v>
      </c>
      <c r="C72" s="54" t="s">
        <v>224</v>
      </c>
      <c r="D72" s="91" t="s">
        <v>480</v>
      </c>
      <c r="E72" s="78" t="str">
        <f t="shared" si="1"/>
        <v>"[OUTPUT] Only header, dataset summary or statement (if any), intro email, objective, expected output, code, and footer | " &amp;</v>
      </c>
      <c r="F72" s="32" t="s">
        <v>232</v>
      </c>
    </row>
    <row r="73" spans="2:6">
      <c r="B73" s="54" t="s">
        <v>300</v>
      </c>
      <c r="C73" s="54" t="s">
        <v>228</v>
      </c>
      <c r="D73" s="91" t="s">
        <v>427</v>
      </c>
      <c r="E73" s="78" t="str">
        <f t="shared" si="1"/>
        <v>"[FOOTER RULE - STRICT] End your entire response EXACTLY with this markdown string (ensure all code blocks are closed before it):" &amp; CHAR(10) &amp; "---" &amp; CHAR(10) &amp; "⚡ *Coding5s System - Learn Programming by Writing Code - Coding5S.com*")</v>
      </c>
      <c r="F73" s="32" t="s">
        <v>232</v>
      </c>
    </row>
    <row r="74" spans="2:6">
      <c r="B74" s="54"/>
      <c r="C74" s="54"/>
      <c r="D74" s="91"/>
      <c r="E74" s="78" t="str">
        <f t="shared" si="1"/>
        <v/>
      </c>
      <c r="F74" s="32" t="s">
        <v>232</v>
      </c>
    </row>
    <row r="75" spans="2:6">
      <c r="B75" s="54"/>
      <c r="C75" s="54"/>
      <c r="D75" s="91"/>
      <c r="E75" s="78" t="str">
        <f t="shared" si="1"/>
        <v/>
      </c>
      <c r="F75" s="32" t="s">
        <v>232</v>
      </c>
    </row>
    <row r="76" spans="2:6">
      <c r="E76" s="87"/>
      <c r="F76" t="s">
        <v>232</v>
      </c>
    </row>
    <row r="78" spans="2:6" ht="36">
      <c r="B78" s="81" t="s">
        <v>492</v>
      </c>
    </row>
    <row r="79" spans="2:6">
      <c r="B79" s="77" t="s">
        <v>229</v>
      </c>
      <c r="C79" s="77" t="s">
        <v>639</v>
      </c>
      <c r="D79" s="77" t="s">
        <v>640</v>
      </c>
      <c r="E79" s="90" t="s">
        <v>249</v>
      </c>
      <c r="F79" s="54" t="s">
        <v>232</v>
      </c>
    </row>
    <row r="80" spans="2:6">
      <c r="B80" s="54" t="s">
        <v>230</v>
      </c>
      <c r="C80" s="54" t="s">
        <v>482</v>
      </c>
      <c r="D80" s="91" t="s">
        <v>483</v>
      </c>
      <c r="E80" s="17" t="str">
        <f t="shared" ref="E80:E95" si="2">IF(D80="","",""""&amp;C80&amp;" "&amp;IF(OR(C80="[FOOTER RULE - STRICT]",C80="[FOOTER RULE]"),D80,IF(RIGHT(D80,6)=" | "&amp;CHAR(34)&amp;" &amp;",D80,D80&amp;"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0" s="54" t="s">
        <v>232</v>
      </c>
    </row>
    <row r="81" spans="2:6">
      <c r="B81" s="54" t="s">
        <v>230</v>
      </c>
      <c r="C81" s="54" t="s">
        <v>251</v>
      </c>
      <c r="D81" s="91" t="s">
        <v>484</v>
      </c>
      <c r="E81"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1" s="54" t="s">
        <v>232</v>
      </c>
    </row>
    <row r="82" spans="2:6">
      <c r="B82" s="54" t="s">
        <v>230</v>
      </c>
      <c r="C82" s="54" t="s">
        <v>252</v>
      </c>
      <c r="D82" s="91" t="s">
        <v>485</v>
      </c>
      <c r="E82" s="17" t="str">
        <f t="shared" si="2"/>
        <v>"[CONTEXT] You are performing a Code Review for a " &amp; IF(UPPER(H9)="PROJECT", "PROJECT: " &amp; I9 &amp; ". Topics involved: " &amp; B9 &amp; ". Project objective: " &amp; J9, "TOPIC: " &amp; I9 &amp; ". Topic details: " &amp; J9) &amp; " | " &amp;</v>
      </c>
      <c r="F82" s="54" t="s">
        <v>232</v>
      </c>
    </row>
    <row r="83" spans="2:6">
      <c r="B83" s="54" t="s">
        <v>230</v>
      </c>
      <c r="C83" s="54" t="s">
        <v>167</v>
      </c>
      <c r="D83" s="91" t="s">
        <v>486</v>
      </c>
      <c r="E83"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3" s="54" t="s">
        <v>232</v>
      </c>
    </row>
    <row r="84" spans="2:6">
      <c r="B84" s="54" t="s">
        <v>230</v>
      </c>
      <c r="C84" s="54" t="s">
        <v>238</v>
      </c>
      <c r="D84" s="91" t="s">
        <v>291</v>
      </c>
      <c r="E84" s="17" t="str">
        <f t="shared" si="2"/>
        <v>"[LIBRARY BEING LEARNED] " &amp; $I$3 &amp; " | " &amp;</v>
      </c>
      <c r="F84" s="54" t="s">
        <v>232</v>
      </c>
    </row>
    <row r="85" spans="2:6">
      <c r="B85" s="54" t="s">
        <v>230</v>
      </c>
      <c r="C85" s="54" t="s">
        <v>177</v>
      </c>
      <c r="D85" s="91" t="s">
        <v>274</v>
      </c>
      <c r="E85"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5" s="54" t="s">
        <v>232</v>
      </c>
    </row>
    <row r="86" spans="2:6">
      <c r="B86" s="54" t="s">
        <v>230</v>
      </c>
      <c r="C86" s="54" t="s">
        <v>550</v>
      </c>
      <c r="D86" s="91" t="s">
        <v>542</v>
      </c>
      <c r="E86" s="17" t="str">
        <f t="shared" si="2"/>
        <v>"[LANGUAGE SEED CONTEXT] " &amp; IF($AE$7 = "", "Language Seed Not Necessary", "You MUST strictly follow this seed context to enhance, adapt, and naturalize your tone, vocabulary, and instructional quality in " &amp; $B$6 &amp; ": " &amp; $AE$7) &amp; " | " &amp;</v>
      </c>
      <c r="F86" s="54" t="s">
        <v>232</v>
      </c>
    </row>
    <row r="87" spans="2:6">
      <c r="B87" s="54" t="s">
        <v>230</v>
      </c>
      <c r="C87" s="54" t="s">
        <v>223</v>
      </c>
      <c r="D87" s="91" t="s">
        <v>652</v>
      </c>
      <c r="E87"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7" s="54" t="s">
        <v>232</v>
      </c>
    </row>
    <row r="88" spans="2:6">
      <c r="B88" s="54" t="s">
        <v>231</v>
      </c>
      <c r="C88" s="54" t="s">
        <v>241</v>
      </c>
      <c r="D88" s="91"/>
      <c r="E88" s="17" t="str">
        <f t="shared" si="2"/>
        <v/>
      </c>
      <c r="F88" s="54" t="s">
        <v>232</v>
      </c>
    </row>
    <row r="89" spans="2:6">
      <c r="B89" s="54" t="s">
        <v>231</v>
      </c>
      <c r="C89" s="54" t="s">
        <v>241</v>
      </c>
      <c r="D89" s="91"/>
      <c r="E89" s="17" t="str">
        <f t="shared" si="2"/>
        <v/>
      </c>
      <c r="F89" s="54" t="s">
        <v>232</v>
      </c>
    </row>
    <row r="90" spans="2:6">
      <c r="B90" s="54" t="s">
        <v>231</v>
      </c>
      <c r="C90" s="54" t="s">
        <v>259</v>
      </c>
      <c r="D90" s="91" t="s">
        <v>368</v>
      </c>
      <c r="E90" s="17" t="str">
        <f t="shared" si="2"/>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v>
      </c>
      <c r="F90" s="54" t="s">
        <v>232</v>
      </c>
    </row>
    <row r="91" spans="2:6">
      <c r="B91" s="54" t="s">
        <v>231</v>
      </c>
      <c r="C91" s="54" t="s">
        <v>253</v>
      </c>
      <c r="D91" s="91" t="s">
        <v>487</v>
      </c>
      <c r="E91"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1" s="54" t="s">
        <v>232</v>
      </c>
    </row>
    <row r="92" spans="2:6">
      <c r="B92" s="54" t="s">
        <v>300</v>
      </c>
      <c r="C92" s="54" t="s">
        <v>255</v>
      </c>
      <c r="D92" s="91" t="s">
        <v>488</v>
      </c>
      <c r="E92"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2" s="54" t="s">
        <v>232</v>
      </c>
    </row>
    <row r="93" spans="2:6">
      <c r="B93" s="54" t="s">
        <v>300</v>
      </c>
      <c r="C93" s="54" t="s">
        <v>256</v>
      </c>
      <c r="D93" s="91" t="s">
        <v>489</v>
      </c>
      <c r="E93"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3" s="54" t="s">
        <v>232</v>
      </c>
    </row>
    <row r="94" spans="2:6">
      <c r="B94" s="54" t="s">
        <v>300</v>
      </c>
      <c r="C94" s="54" t="s">
        <v>260</v>
      </c>
      <c r="D94" s="91" t="s">
        <v>490</v>
      </c>
      <c r="E94"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4" s="54" t="s">
        <v>232</v>
      </c>
    </row>
    <row r="95" spans="2:6">
      <c r="B95" s="54" t="s">
        <v>300</v>
      </c>
      <c r="C95" s="54" t="s">
        <v>369</v>
      </c>
      <c r="D95" s="91" t="s">
        <v>559</v>
      </c>
      <c r="E95" s="17" t="str">
        <f t="shared" si="2"/>
        <v>"[FOOTER RULE] End your response with: '--- ⚡ *Coding5s Mentor System — Eliminating Technical Debt with Elegance*'",</v>
      </c>
      <c r="F95" s="54" t="s">
        <v>232</v>
      </c>
    </row>
    <row r="96" spans="2:6">
      <c r="B96" s="54"/>
      <c r="C96" s="54"/>
      <c r="D96" s="91"/>
      <c r="E96" s="89" t="s">
        <v>491</v>
      </c>
      <c r="F96" s="54" t="s">
        <v>232</v>
      </c>
    </row>
    <row r="97" spans="2:6">
      <c r="B97" s="54"/>
      <c r="C97" s="54"/>
      <c r="D97" s="91"/>
      <c r="E97" s="78" t="str">
        <f t="shared" ref="E97:E99" si="3">IF(D97="","",""""&amp;C97&amp;" "&amp;IF(C97="[FOOTER RULE - STRICT]",D97,IF(RIGHT(D97,6)=" | "&amp;CHAR(34)&amp;" &amp;",D97,D97&amp;" | "&amp;CHAR(34)&amp;" &amp;")))</f>
        <v/>
      </c>
      <c r="F97" s="54" t="s">
        <v>232</v>
      </c>
    </row>
    <row r="98" spans="2:6">
      <c r="B98" s="54"/>
      <c r="C98" s="54"/>
      <c r="D98" s="91"/>
      <c r="E98" s="78" t="str">
        <f t="shared" si="3"/>
        <v/>
      </c>
      <c r="F98" s="54" t="s">
        <v>232</v>
      </c>
    </row>
    <row r="99" spans="2:6">
      <c r="B99" s="54"/>
      <c r="C99" s="54"/>
      <c r="D99" s="91"/>
      <c r="E99" s="78" t="str">
        <f t="shared" si="3"/>
        <v/>
      </c>
      <c r="F99" s="54" t="s">
        <v>232</v>
      </c>
    </row>
  </sheetData>
  <conditionalFormatting sqref="B1:B1048576">
    <cfRule type="cellIs" dxfId="23" priority="10" operator="equal">
      <formula>"The Immutable Kernel"</formula>
    </cfRule>
    <cfRule type="cellIs" dxfId="22" priority="11" operator="equal">
      <formula>"Paradigm &amp; Ecosystem"</formula>
    </cfRule>
    <cfRule type="cellIs" dxfId="21" priority="12" operator="equal">
      <formula>"Global Variables &amp; Configuration"</formula>
    </cfRule>
  </conditionalFormatting>
  <conditionalFormatting sqref="C4:C41">
    <cfRule type="expression" dxfId="20" priority="7">
      <formula>$B4="The Immutable Kernel"</formula>
    </cfRule>
    <cfRule type="expression" dxfId="19" priority="8">
      <formula>$B4="Paradigm &amp; Ecosystem"</formula>
    </cfRule>
    <cfRule type="expression" dxfId="18" priority="9">
      <formula>$B4="Global Variables &amp; Configuration"</formula>
    </cfRule>
  </conditionalFormatting>
  <conditionalFormatting sqref="C46:C75">
    <cfRule type="expression" dxfId="17" priority="4">
      <formula>$B46="The Immutable Kernel"</formula>
    </cfRule>
    <cfRule type="expression" dxfId="16" priority="5">
      <formula>$B46="Paradigm &amp; Ecosystem"</formula>
    </cfRule>
    <cfRule type="expression" dxfId="15" priority="6">
      <formula>$B46="Global Variables &amp; Configuration"</formula>
    </cfRule>
  </conditionalFormatting>
  <conditionalFormatting sqref="C80:C99">
    <cfRule type="expression" dxfId="14" priority="1">
      <formula>$B80="The Immutable Kernel"</formula>
    </cfRule>
    <cfRule type="expression" dxfId="13" priority="2">
      <formula>$B80="Paradigm &amp; Ecosystem"</formula>
    </cfRule>
    <cfRule type="expression" dxfId="12" priority="3">
      <formula>$B80="Global Variables &amp; Configuration"</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6" zoomScaleNormal="100" workbookViewId="0">
      <selection activeCell="E80" sqref="E80:E96"/>
    </sheetView>
  </sheetViews>
  <sheetFormatPr defaultRowHeight="15"/>
  <cols>
    <col min="1" max="1" width="5.42578125" customWidth="1"/>
    <col min="2" max="2" width="36.85546875" customWidth="1"/>
    <col min="3" max="3" width="33" customWidth="1"/>
    <col min="4" max="4" width="85.28515625" customWidth="1"/>
    <col min="5" max="5" width="39.5703125" style="86" customWidth="1"/>
    <col min="6" max="6" width="4" customWidth="1"/>
  </cols>
  <sheetData>
    <row r="2" spans="2:29" ht="36">
      <c r="B2" s="79" t="s">
        <v>503</v>
      </c>
      <c r="D2" s="82" t="s">
        <v>504</v>
      </c>
      <c r="H2" s="83" t="s">
        <v>297</v>
      </c>
      <c r="T2" s="83" t="s">
        <v>298</v>
      </c>
    </row>
    <row r="3" spans="2:29">
      <c r="B3" s="77" t="s">
        <v>229</v>
      </c>
      <c r="C3" s="77" t="s">
        <v>639</v>
      </c>
      <c r="D3" s="77" t="s">
        <v>640</v>
      </c>
      <c r="E3" s="89" t="s">
        <v>237</v>
      </c>
      <c r="F3" s="4" t="s">
        <v>232</v>
      </c>
      <c r="AC3" t="s">
        <v>232</v>
      </c>
    </row>
    <row r="4" spans="2:29">
      <c r="B4" s="76" t="s">
        <v>230</v>
      </c>
      <c r="C4" s="54" t="s">
        <v>165</v>
      </c>
      <c r="D4" s="92" t="s">
        <v>507</v>
      </c>
      <c r="E4" s="78" t="str">
        <f t="shared" ref="E4:E41" si="0">IF(D4="","",""""&amp;C4&amp;" "&amp;IF(C4="[FOOTER RULE - STRICT]",D4,IF(RIGHT(D4,6)=" | "&amp;CHAR(34)&amp;" &amp;",D4,D4&amp;" | "&amp;CHAR(34)&amp;" &amp;")))</f>
        <v>"[ROLE] Tech Product Manager assigning a " &amp; $I$2 &amp; " Jira Ticket | " &amp;</v>
      </c>
      <c r="F4" s="54" t="s">
        <v>232</v>
      </c>
    </row>
    <row r="5" spans="2:29">
      <c r="B5" s="76" t="s">
        <v>230</v>
      </c>
      <c r="C5" s="54" t="s">
        <v>167</v>
      </c>
      <c r="D5" s="92" t="s">
        <v>508</v>
      </c>
      <c r="E5" s="78" t="str">
        <f t="shared" si="0"/>
        <v>"[TASK] Provide a guided implementation exercise with full solution for learning purposes | " &amp;</v>
      </c>
      <c r="F5" s="54" t="s">
        <v>232</v>
      </c>
    </row>
    <row r="6" spans="2:29">
      <c r="B6" s="76" t="s">
        <v>230</v>
      </c>
      <c r="C6" s="54" t="s">
        <v>169</v>
      </c>
      <c r="D6" s="92" t="s">
        <v>170</v>
      </c>
      <c r="E6" s="78" t="str">
        <f t="shared" si="0"/>
        <v>"[TOPIC] " &amp; I9 &amp; " | " &amp;</v>
      </c>
      <c r="F6" s="54" t="s">
        <v>232</v>
      </c>
    </row>
    <row r="7" spans="2:29">
      <c r="B7" s="76" t="s">
        <v>230</v>
      </c>
      <c r="C7" s="54" t="s">
        <v>171</v>
      </c>
      <c r="D7" s="92" t="s">
        <v>172</v>
      </c>
      <c r="E7" s="78" t="str">
        <f t="shared" si="0"/>
        <v>"[LEVEL] " &amp; G9 &amp; " | " &amp;</v>
      </c>
      <c r="F7" s="54" t="s">
        <v>232</v>
      </c>
    </row>
    <row r="8" spans="2:29">
      <c r="B8" s="76" t="s">
        <v>230</v>
      </c>
      <c r="C8" s="54" t="s">
        <v>238</v>
      </c>
      <c r="D8" s="92" t="s">
        <v>291</v>
      </c>
      <c r="E8" s="78" t="str">
        <f t="shared" si="0"/>
        <v>"[LIBRARY BEING LEARNED] " &amp; $I$3 &amp; " | " &amp;</v>
      </c>
      <c r="F8" s="54" t="s">
        <v>232</v>
      </c>
    </row>
    <row r="9" spans="2:29">
      <c r="B9" s="76" t="s">
        <v>230</v>
      </c>
      <c r="C9" s="54" t="s">
        <v>233</v>
      </c>
      <c r="D9" s="92" t="s">
        <v>351</v>
      </c>
      <c r="E9"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9" s="54" t="s">
        <v>232</v>
      </c>
    </row>
    <row r="10" spans="2:29">
      <c r="B10" s="76" t="s">
        <v>230</v>
      </c>
      <c r="C10" s="54" t="s">
        <v>175</v>
      </c>
      <c r="D10" s="92" t="s">
        <v>509</v>
      </c>
      <c r="E10" s="78" t="str">
        <f t="shared" si="0"/>
        <v>"[PERSONA RULE] Act as a professional Tech Product Manager writing clear Jira tickets | " &amp;</v>
      </c>
      <c r="F10" s="54" t="s">
        <v>232</v>
      </c>
    </row>
    <row r="11" spans="2:29">
      <c r="B11" s="76" t="s">
        <v>230</v>
      </c>
      <c r="C11" s="54" t="s">
        <v>177</v>
      </c>
      <c r="D11" s="92" t="s">
        <v>442</v>
      </c>
      <c r="E11" s="78"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232</v>
      </c>
    </row>
    <row r="12" spans="2:29">
      <c r="B12" s="76" t="s">
        <v>230</v>
      </c>
      <c r="C12" s="54" t="s">
        <v>550</v>
      </c>
      <c r="D12" s="92" t="s">
        <v>542</v>
      </c>
      <c r="E12" s="78" t="str">
        <f t="shared" si="0"/>
        <v>"[LANGUAGE SEED CONTEXT] " &amp; IF($AE$7 = "", "Language Seed Not Necessary", "You MUST strictly follow this seed context to enhance, adapt, and naturalize your tone, vocabulary, and instructional quality in " &amp; $B$6 &amp; ": " &amp; $AE$7) &amp; " | " &amp;</v>
      </c>
      <c r="F12" s="54" t="s">
        <v>232</v>
      </c>
    </row>
    <row r="13" spans="2:29">
      <c r="B13" s="76" t="s">
        <v>230</v>
      </c>
      <c r="C13" s="54" t="s">
        <v>223</v>
      </c>
      <c r="D13" s="92" t="s">
        <v>653</v>
      </c>
      <c r="E13" s="78"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232</v>
      </c>
    </row>
    <row r="14" spans="2:29">
      <c r="B14" s="84" t="s">
        <v>231</v>
      </c>
      <c r="C14" s="54" t="s">
        <v>241</v>
      </c>
      <c r="D14" s="92"/>
      <c r="E14" s="78" t="str">
        <f t="shared" si="0"/>
        <v/>
      </c>
      <c r="F14" s="54" t="s">
        <v>232</v>
      </c>
    </row>
    <row r="15" spans="2:29">
      <c r="B15" s="84" t="s">
        <v>231</v>
      </c>
      <c r="C15" s="54" t="s">
        <v>241</v>
      </c>
      <c r="D15" s="92"/>
      <c r="E15" s="78" t="str">
        <f t="shared" si="0"/>
        <v/>
      </c>
      <c r="F15" s="54" t="s">
        <v>232</v>
      </c>
    </row>
    <row r="16" spans="2:29">
      <c r="B16" s="84" t="s">
        <v>231</v>
      </c>
      <c r="C16" s="54" t="s">
        <v>514</v>
      </c>
      <c r="D16" s="92" t="s">
        <v>515</v>
      </c>
      <c r="E16" s="78" t="str">
        <f t="shared" si="0"/>
        <v>"[CRITICAL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v>
      </c>
      <c r="F16" s="54" t="s">
        <v>232</v>
      </c>
    </row>
    <row r="17" spans="2:6">
      <c r="B17" s="84" t="s">
        <v>231</v>
      </c>
      <c r="C17" s="54" t="s">
        <v>186</v>
      </c>
      <c r="D17" s="92" t="s">
        <v>516</v>
      </c>
      <c r="E17" s="78" t="str">
        <f t="shared" si="0"/>
        <v>"[FUNCTION RULE] Rule: " &amp; IF(G9="Beginner", "Use simple scripts or minimal functions. ", IF(G9="Intermediate", "Use functions where appropriate. ", "Use modular functions with clear structure. ")) &amp; " | " &amp;</v>
      </c>
      <c r="F17" s="54" t="s">
        <v>232</v>
      </c>
    </row>
    <row r="18" spans="2:6">
      <c r="B18" s="84" t="s">
        <v>231</v>
      </c>
      <c r="C18" s="54" t="s">
        <v>187</v>
      </c>
      <c r="D18" s="92" t="s">
        <v>517</v>
      </c>
      <c r="E18" s="78" t="str">
        <f t="shared" si="0"/>
        <v>"[CODE QUALITY RULE] Code MUST be clean, readable, and production-like | " &amp;</v>
      </c>
      <c r="F18" s="54" t="s">
        <v>232</v>
      </c>
    </row>
    <row r="19" spans="2:6">
      <c r="B19" s="85" t="s">
        <v>231</v>
      </c>
      <c r="C19" s="54" t="s">
        <v>195</v>
      </c>
      <c r="D19" s="92" t="s">
        <v>522</v>
      </c>
      <c r="E19" s="78" t="str">
        <f t="shared" si="0"/>
        <v>"[FILE HANDLING RULE] Use correct loaders and enforce encoding='utf-8' and newline=' when applicable | " &amp;</v>
      </c>
      <c r="F19" s="54" t="s">
        <v>232</v>
      </c>
    </row>
    <row r="20" spans="2:6">
      <c r="B20" s="85" t="s">
        <v>231</v>
      </c>
      <c r="C20" s="54" t="s">
        <v>197</v>
      </c>
      <c r="D20" s="92" t="s">
        <v>448</v>
      </c>
      <c r="E20" s="78" t="str">
        <f t="shared" si="0"/>
        <v>"[DATA TYPE RULE] Explicit casting required before calculations | " &amp;</v>
      </c>
      <c r="F20" s="54" t="s">
        <v>232</v>
      </c>
    </row>
    <row r="21" spans="2:6">
      <c r="B21" s="54" t="s">
        <v>231</v>
      </c>
      <c r="C21" s="54" t="s">
        <v>198</v>
      </c>
      <c r="D21" s="92" t="s">
        <v>518</v>
      </c>
      <c r="E21" s="78" t="str">
        <f t="shared" si="0"/>
        <v>"[DATA ROBUSTNESS RULE] Handle missing or malformed data safely | " &amp;</v>
      </c>
      <c r="F21" s="54" t="s">
        <v>232</v>
      </c>
    </row>
    <row r="22" spans="2:6">
      <c r="B22" s="54" t="s">
        <v>231</v>
      </c>
      <c r="C22" s="54" t="s">
        <v>199</v>
      </c>
      <c r="D22" s="92" t="s">
        <v>450</v>
      </c>
      <c r="E22" s="78" t="str">
        <f t="shared" si="0"/>
        <v>"[BOOLEAN HANDLING RULE] Normalize boolean values before comparison | " &amp;</v>
      </c>
      <c r="F22" s="54" t="s">
        <v>232</v>
      </c>
    </row>
    <row r="23" spans="2:6">
      <c r="B23" s="54" t="s">
        <v>231</v>
      </c>
      <c r="C23" s="54" t="s">
        <v>200</v>
      </c>
      <c r="D23" s="92" t="s">
        <v>451</v>
      </c>
      <c r="E23" s="78" t="str">
        <f t="shared" si="0"/>
        <v>"[DATA CONSISTENCY RULE] Respect dataset schema | " &amp;</v>
      </c>
      <c r="F23" s="54" t="s">
        <v>232</v>
      </c>
    </row>
    <row r="24" spans="2:6">
      <c r="B24" s="54" t="s">
        <v>231</v>
      </c>
      <c r="C24" s="54" t="s">
        <v>510</v>
      </c>
      <c r="D24" s="92" t="s">
        <v>511</v>
      </c>
      <c r="E24" s="78"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232</v>
      </c>
    </row>
    <row r="25" spans="2:6">
      <c r="B25" s="54" t="s">
        <v>300</v>
      </c>
      <c r="C25" s="54" t="s">
        <v>179</v>
      </c>
      <c r="D25" s="92" t="s">
        <v>512</v>
      </c>
      <c r="E25" s="78"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v>
      </c>
      <c r="F25" s="54" t="s">
        <v>232</v>
      </c>
    </row>
    <row r="26" spans="2:6">
      <c r="B26" s="54" t="s">
        <v>300</v>
      </c>
      <c r="C26" s="54" t="s">
        <v>180</v>
      </c>
      <c r="D26" s="92" t="s">
        <v>454</v>
      </c>
      <c r="E26" s="78" t="str">
        <f t="shared" si="0"/>
        <v>"[DATA SUMMARY FORMAT RULE] When a dataset is present, you MUST display IMMEDIATELY AFTER THE HEADER: Dataset Summary: - File Type: - Columns / Fields: - Data Types: - Notes: | " &amp;</v>
      </c>
      <c r="F26" s="54" t="s">
        <v>232</v>
      </c>
    </row>
    <row r="27" spans="2:6">
      <c r="B27" s="54" t="s">
        <v>300</v>
      </c>
      <c r="C27" s="54" t="s">
        <v>182</v>
      </c>
      <c r="D27" s="92" t="s">
        <v>549</v>
      </c>
      <c r="E27" s="78"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232</v>
      </c>
    </row>
    <row r="28" spans="2:6">
      <c r="B28" s="54" t="s">
        <v>300</v>
      </c>
      <c r="C28" s="54" t="s">
        <v>184</v>
      </c>
      <c r="D28" s="92" t="s">
        <v>513</v>
      </c>
      <c r="E28" s="78"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232</v>
      </c>
    </row>
    <row r="29" spans="2:6">
      <c r="B29" s="54" t="s">
        <v>300</v>
      </c>
      <c r="C29" s="54" t="s">
        <v>335</v>
      </c>
      <c r="D29" s="92" t="s">
        <v>519</v>
      </c>
      <c r="E29" s="78"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232</v>
      </c>
    </row>
    <row r="30" spans="2:6">
      <c r="B30" s="54" t="s">
        <v>300</v>
      </c>
      <c r="C30" s="54" t="s">
        <v>203</v>
      </c>
      <c r="D30" s="92" t="s">
        <v>461</v>
      </c>
      <c r="E30" s="78" t="str">
        <f t="shared" si="0"/>
        <v>"[DIFFICULTY RULE] Complexity MUST match level | " &amp;</v>
      </c>
      <c r="F30" s="54" t="s">
        <v>232</v>
      </c>
    </row>
    <row r="31" spans="2:6">
      <c r="B31" s="54" t="s">
        <v>300</v>
      </c>
      <c r="C31" s="54" t="s">
        <v>215</v>
      </c>
      <c r="D31" s="92" t="s">
        <v>314</v>
      </c>
      <c r="E31" s="78" t="str">
        <f t="shared" si="0"/>
        <v>"[FORMAT RULE] Only valid markdown code blocks allowed | " &amp;</v>
      </c>
      <c r="F31" s="54" t="s">
        <v>232</v>
      </c>
    </row>
    <row r="32" spans="2:6">
      <c r="B32" s="54" t="s">
        <v>300</v>
      </c>
      <c r="C32" s="54" t="s">
        <v>217</v>
      </c>
      <c r="D32" s="92" t="s">
        <v>315</v>
      </c>
      <c r="E32" s="78" t="str">
        <f t="shared" si="0"/>
        <v>"[LANGUAGE TAG RULE] ALWAYS label markdown code blocks with the correct underlying programming language (e.g., python, javascript, sql) | " &amp;</v>
      </c>
      <c r="F32" s="54" t="s">
        <v>232</v>
      </c>
    </row>
    <row r="33" spans="2:6">
      <c r="B33" s="54" t="s">
        <v>300</v>
      </c>
      <c r="C33" s="54" t="s">
        <v>224</v>
      </c>
      <c r="D33" s="92" t="s">
        <v>520</v>
      </c>
      <c r="E33" s="78" t="str">
        <f t="shared" si="0"/>
        <v>"[OUTPUT] Only header, dataset summary or statement (if any), the defined sections, and footer | " &amp;</v>
      </c>
      <c r="F33" s="54" t="s">
        <v>232</v>
      </c>
    </row>
    <row r="34" spans="2:6">
      <c r="B34" s="54" t="s">
        <v>300</v>
      </c>
      <c r="C34" s="54" t="s">
        <v>228</v>
      </c>
      <c r="D34" s="92" t="s">
        <v>521</v>
      </c>
      <c r="E34" s="78" t="str">
        <f t="shared" si="0"/>
        <v>"[FOOTER RULE - STRICT] End your entire response EXACTLY with this markdown string (ensure all code blocks are closed before it):" &amp; CHAR(10) &amp; "---" &amp; CHAR(10) &amp; "⚡ *Coding5s System — Learn Programming by Writing Code*",</v>
      </c>
      <c r="F34" s="54" t="s">
        <v>232</v>
      </c>
    </row>
    <row r="35" spans="2:6">
      <c r="B35" s="54"/>
      <c r="C35" s="54"/>
      <c r="D35" s="92"/>
      <c r="E35" s="89" t="s">
        <v>523</v>
      </c>
      <c r="F35" s="54" t="s">
        <v>232</v>
      </c>
    </row>
    <row r="36" spans="2:6">
      <c r="B36" s="54"/>
      <c r="C36" s="54"/>
      <c r="D36" s="92"/>
      <c r="E36" s="78" t="str">
        <f t="shared" si="0"/>
        <v/>
      </c>
      <c r="F36" s="54" t="s">
        <v>232</v>
      </c>
    </row>
    <row r="37" spans="2:6">
      <c r="B37" s="54"/>
      <c r="C37" s="54"/>
      <c r="D37" s="92"/>
      <c r="E37" s="78" t="str">
        <f t="shared" si="0"/>
        <v/>
      </c>
      <c r="F37" s="54" t="s">
        <v>232</v>
      </c>
    </row>
    <row r="38" spans="2:6">
      <c r="B38" s="54"/>
      <c r="C38" s="54"/>
      <c r="D38" s="92"/>
      <c r="E38" s="78" t="str">
        <f t="shared" si="0"/>
        <v/>
      </c>
      <c r="F38" s="54" t="s">
        <v>232</v>
      </c>
    </row>
    <row r="39" spans="2:6">
      <c r="B39" s="54"/>
      <c r="C39" s="54"/>
      <c r="D39" s="92"/>
      <c r="E39" s="78" t="str">
        <f t="shared" si="0"/>
        <v/>
      </c>
      <c r="F39" s="54" t="s">
        <v>232</v>
      </c>
    </row>
    <row r="40" spans="2:6">
      <c r="B40" s="54"/>
      <c r="C40" s="54"/>
      <c r="D40" s="92"/>
      <c r="E40" s="78" t="str">
        <f t="shared" si="0"/>
        <v/>
      </c>
      <c r="F40" s="54" t="s">
        <v>232</v>
      </c>
    </row>
    <row r="41" spans="2:6">
      <c r="B41" s="54"/>
      <c r="C41" s="54"/>
      <c r="D41" s="92"/>
      <c r="E41" s="78" t="str">
        <f t="shared" si="0"/>
        <v/>
      </c>
      <c r="F41" s="54" t="s">
        <v>232</v>
      </c>
    </row>
    <row r="42" spans="2:6">
      <c r="B42" s="54"/>
      <c r="C42" s="54"/>
      <c r="D42" s="92"/>
      <c r="E42" s="78"/>
      <c r="F42" s="54"/>
    </row>
    <row r="43" spans="2:6">
      <c r="B43" s="75"/>
      <c r="C43" s="75"/>
      <c r="E43" s="87"/>
    </row>
    <row r="44" spans="2:6">
      <c r="B44" s="75"/>
      <c r="C44" s="75"/>
      <c r="E44" s="87"/>
    </row>
    <row r="45" spans="2:6" ht="36">
      <c r="B45" s="80" t="s">
        <v>505</v>
      </c>
      <c r="C45" s="75"/>
      <c r="E45" s="87"/>
    </row>
    <row r="46" spans="2:6">
      <c r="B46" s="77" t="s">
        <v>286</v>
      </c>
      <c r="C46" s="77" t="s">
        <v>639</v>
      </c>
      <c r="D46" s="77" t="s">
        <v>640</v>
      </c>
      <c r="E46" s="89" t="s">
        <v>287</v>
      </c>
      <c r="F46" s="32" t="s">
        <v>232</v>
      </c>
    </row>
    <row r="47" spans="2:6">
      <c r="B47" s="54" t="s">
        <v>230</v>
      </c>
      <c r="C47" s="54" t="s">
        <v>165</v>
      </c>
      <c r="D47" s="92" t="s">
        <v>507</v>
      </c>
      <c r="E47" s="78" t="str">
        <f>IF(D47="","",""""&amp;C47&amp;" "&amp;IF(C47="[FOOTER RULE - STRICT]",D47,IF(RIGHT(D47,6)=" | "&amp;CHAR(34)&amp;" &amp;",D47,D47&amp;" | "&amp;CHAR(34)&amp;" &amp;")))</f>
        <v>"[ROLE] Tech Product Manager assigning a " &amp; $I$2 &amp; " Jira Ticket | " &amp;</v>
      </c>
      <c r="F47" s="32" t="s">
        <v>232</v>
      </c>
    </row>
    <row r="48" spans="2:6">
      <c r="B48" s="54" t="s">
        <v>230</v>
      </c>
      <c r="C48" s="54" t="s">
        <v>167</v>
      </c>
      <c r="D48" s="92" t="s">
        <v>524</v>
      </c>
      <c r="E48" s="78" t="str">
        <f t="shared" ref="E48:E76" si="1">IF(D48="","",""""&amp;C48&amp;" "&amp;IF(C48="[FOOTER RULE - STRICT]",D48,IF(RIGHT(D48,6)=" | "&amp;CHAR(34)&amp;" &amp;",D48,D48&amp;" | "&amp;CHAR(34)&amp;" &amp;")))</f>
        <v>"[TASK] Provide a guided project implementation with full solution | " &amp;</v>
      </c>
      <c r="F48" s="32" t="s">
        <v>232</v>
      </c>
    </row>
    <row r="49" spans="2:6">
      <c r="B49" s="54" t="s">
        <v>230</v>
      </c>
      <c r="C49" s="54" t="s">
        <v>349</v>
      </c>
      <c r="D49" s="92" t="s">
        <v>170</v>
      </c>
      <c r="E49" s="78" t="str">
        <f t="shared" si="1"/>
        <v>"[PROJECT] " &amp; I9 &amp; " | " &amp;</v>
      </c>
      <c r="F49" s="32" t="s">
        <v>232</v>
      </c>
    </row>
    <row r="50" spans="2:6">
      <c r="B50" s="54" t="s">
        <v>230</v>
      </c>
      <c r="C50" s="54" t="s">
        <v>272</v>
      </c>
      <c r="D50" s="92" t="s">
        <v>273</v>
      </c>
      <c r="E50" s="78" t="str">
        <f t="shared" si="1"/>
        <v>"[TOPICS USED] " &amp; B9 &amp; " | " &amp;</v>
      </c>
      <c r="F50" s="32" t="s">
        <v>232</v>
      </c>
    </row>
    <row r="51" spans="2:6">
      <c r="B51" s="54" t="s">
        <v>230</v>
      </c>
      <c r="C51" s="54" t="s">
        <v>171</v>
      </c>
      <c r="D51" s="92" t="s">
        <v>172</v>
      </c>
      <c r="E51" s="78" t="str">
        <f t="shared" si="1"/>
        <v>"[LEVEL] " &amp; G9 &amp; " | " &amp;</v>
      </c>
      <c r="F51" s="32" t="s">
        <v>232</v>
      </c>
    </row>
    <row r="52" spans="2:6">
      <c r="B52" s="54" t="s">
        <v>230</v>
      </c>
      <c r="C52" s="54" t="s">
        <v>175</v>
      </c>
      <c r="D52" s="92" t="s">
        <v>525</v>
      </c>
      <c r="E52" s="78" t="str">
        <f t="shared" si="1"/>
        <v>"[PERSONA RULE] Act as a professional Tech Product Manager defining a project ticket | " &amp;</v>
      </c>
      <c r="F52" s="32" t="s">
        <v>232</v>
      </c>
    </row>
    <row r="53" spans="2:6">
      <c r="B53" s="54" t="s">
        <v>230</v>
      </c>
      <c r="C53" s="54" t="s">
        <v>238</v>
      </c>
      <c r="D53" s="92" t="s">
        <v>291</v>
      </c>
      <c r="E53" s="78" t="str">
        <f t="shared" si="1"/>
        <v>"[LIBRARY BEING LEARNED] " &amp; $I$3 &amp; " | " &amp;</v>
      </c>
      <c r="F53" s="32" t="s">
        <v>232</v>
      </c>
    </row>
    <row r="54" spans="2:6">
      <c r="B54" s="54" t="s">
        <v>230</v>
      </c>
      <c r="C54" s="54" t="s">
        <v>233</v>
      </c>
      <c r="D54" s="92" t="s">
        <v>239</v>
      </c>
      <c r="E54" s="78" t="str">
        <f t="shared" si="1"/>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54" s="32" t="s">
        <v>232</v>
      </c>
    </row>
    <row r="55" spans="2:6">
      <c r="B55" s="54" t="s">
        <v>230</v>
      </c>
      <c r="C55" s="54" t="s">
        <v>223</v>
      </c>
      <c r="D55" s="92" t="s">
        <v>654</v>
      </c>
      <c r="E55" s="78"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232</v>
      </c>
    </row>
    <row r="56" spans="2:6">
      <c r="B56" s="54" t="s">
        <v>230</v>
      </c>
      <c r="C56" s="54" t="s">
        <v>177</v>
      </c>
      <c r="D56" s="92" t="s">
        <v>526</v>
      </c>
      <c r="E56" s="78"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232</v>
      </c>
    </row>
    <row r="57" spans="2:6">
      <c r="B57" s="54" t="s">
        <v>230</v>
      </c>
      <c r="C57" s="54" t="s">
        <v>550</v>
      </c>
      <c r="D57" s="92" t="s">
        <v>542</v>
      </c>
      <c r="E57" s="78" t="str">
        <f t="shared" si="1"/>
        <v>"[LANGUAGE SEED CONTEXT] " &amp; IF($AE$7 = "", "Language Seed Not Necessary", "You MUST strictly follow this seed context to enhance, adapt, and naturalize your tone, vocabulary, and instructional quality in " &amp; $B$6 &amp; ": " &amp; $AE$7) &amp; " | " &amp;</v>
      </c>
      <c r="F57" s="32" t="s">
        <v>232</v>
      </c>
    </row>
    <row r="58" spans="2:6">
      <c r="B58" s="54" t="s">
        <v>231</v>
      </c>
      <c r="C58" s="54" t="s">
        <v>241</v>
      </c>
      <c r="D58" s="92"/>
      <c r="E58" s="78" t="str">
        <f t="shared" si="1"/>
        <v/>
      </c>
      <c r="F58" s="32" t="s">
        <v>232</v>
      </c>
    </row>
    <row r="59" spans="2:6">
      <c r="B59" s="54" t="s">
        <v>231</v>
      </c>
      <c r="C59" s="54" t="s">
        <v>241</v>
      </c>
      <c r="D59" s="92"/>
      <c r="E59" s="78" t="str">
        <f t="shared" si="1"/>
        <v/>
      </c>
      <c r="F59" s="32" t="s">
        <v>232</v>
      </c>
    </row>
    <row r="60" spans="2:6">
      <c r="B60" s="54" t="s">
        <v>231</v>
      </c>
      <c r="C60" s="54" t="s">
        <v>184</v>
      </c>
      <c r="D60" s="92" t="s">
        <v>527</v>
      </c>
      <c r="E60" s="78"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classes - NO unnecessary complexity | " &amp;</v>
      </c>
      <c r="F60" s="32" t="s">
        <v>232</v>
      </c>
    </row>
    <row r="61" spans="2:6">
      <c r="B61" s="54" t="s">
        <v>231</v>
      </c>
      <c r="C61" s="54" t="s">
        <v>514</v>
      </c>
      <c r="D61" s="92" t="s">
        <v>528</v>
      </c>
      <c r="E61" s="78" t="str">
        <f t="shared" si="1"/>
        <v>"[CRITICAL OUTPUT RULE] Output MUST match real execution - Convert sets to sorted lists before printing | " &amp;</v>
      </c>
      <c r="F61" s="32" t="s">
        <v>232</v>
      </c>
    </row>
    <row r="62" spans="2:6">
      <c r="B62" s="54" t="s">
        <v>231</v>
      </c>
      <c r="C62" s="54" t="s">
        <v>186</v>
      </c>
      <c r="D62" s="92" t="s">
        <v>529</v>
      </c>
      <c r="E62" s="78" t="str">
        <f t="shared" si="1"/>
        <v>"[FUNCTION RULE] " &amp; IF(G9="Beginner", "Avoid complex structure. ", IF(G9="Intermediate", "Functions optional. ", "Use structured modular functions. ")) &amp; " | " &amp;</v>
      </c>
      <c r="F62" s="32" t="s">
        <v>232</v>
      </c>
    </row>
    <row r="63" spans="2:6">
      <c r="B63" s="54" t="s">
        <v>300</v>
      </c>
      <c r="C63" s="54" t="s">
        <v>510</v>
      </c>
      <c r="D63" s="92" t="s">
        <v>530</v>
      </c>
      <c r="E63" s="78"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232</v>
      </c>
    </row>
    <row r="64" spans="2:6">
      <c r="B64" s="54" t="s">
        <v>300</v>
      </c>
      <c r="C64" s="54" t="s">
        <v>179</v>
      </c>
      <c r="D64" s="92" t="s">
        <v>531</v>
      </c>
      <c r="E64" s="78"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232</v>
      </c>
    </row>
    <row r="65" spans="2:6">
      <c r="B65" s="54" t="s">
        <v>300</v>
      </c>
      <c r="C65" s="54" t="s">
        <v>182</v>
      </c>
      <c r="D65" s="92" t="s">
        <v>532</v>
      </c>
      <c r="E65" s="78"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232</v>
      </c>
    </row>
    <row r="66" spans="2:6">
      <c r="B66" s="54" t="s">
        <v>300</v>
      </c>
      <c r="C66" s="54" t="s">
        <v>187</v>
      </c>
      <c r="D66" s="92" t="s">
        <v>533</v>
      </c>
      <c r="E66" s="78" t="str">
        <f t="shared" si="1"/>
        <v>"[CODE QUALITY RULE] Code MUST be clean and realistic | " &amp;</v>
      </c>
      <c r="F66" s="32" t="s">
        <v>232</v>
      </c>
    </row>
    <row r="67" spans="2:6">
      <c r="B67" s="54" t="s">
        <v>300</v>
      </c>
      <c r="C67" s="54" t="s">
        <v>198</v>
      </c>
      <c r="D67" s="92" t="s">
        <v>471</v>
      </c>
      <c r="E67" s="78" t="str">
        <f t="shared" si="1"/>
        <v>"[DATA ROBUSTNESS RULE] Handle real-world data safely | " &amp;</v>
      </c>
      <c r="F67" s="32" t="s">
        <v>232</v>
      </c>
    </row>
    <row r="68" spans="2:6">
      <c r="B68" s="54" t="s">
        <v>300</v>
      </c>
      <c r="C68" s="54" t="s">
        <v>215</v>
      </c>
      <c r="D68" s="92" t="s">
        <v>534</v>
      </c>
      <c r="E68" s="78" t="str">
        <f t="shared" si="1"/>
        <v>"[FORMAT RULE] Only markdown code blocks allowed | " &amp;</v>
      </c>
      <c r="F68" s="32" t="s">
        <v>232</v>
      </c>
    </row>
    <row r="69" spans="2:6">
      <c r="B69" s="54" t="s">
        <v>300</v>
      </c>
      <c r="C69" s="54" t="s">
        <v>217</v>
      </c>
      <c r="D69" s="92" t="s">
        <v>315</v>
      </c>
      <c r="E69" s="78" t="str">
        <f t="shared" si="1"/>
        <v>"[LANGUAGE TAG RULE] ALWAYS label markdown code blocks with the correct underlying programming language (e.g., python, javascript, sql) | " &amp;</v>
      </c>
      <c r="F69" s="32" t="s">
        <v>232</v>
      </c>
    </row>
    <row r="70" spans="2:6">
      <c r="B70" s="54" t="s">
        <v>300</v>
      </c>
      <c r="C70" s="54" t="s">
        <v>281</v>
      </c>
      <c r="D70" s="92" t="s">
        <v>535</v>
      </c>
      <c r="E70" s="78" t="str">
        <f t="shared" si="1"/>
        <v>"[EXECUTION RULE] Code MUST run correctly | " &amp;</v>
      </c>
      <c r="F70" s="32" t="s">
        <v>232</v>
      </c>
    </row>
    <row r="71" spans="2:6">
      <c r="B71" s="54" t="s">
        <v>300</v>
      </c>
      <c r="C71" s="54" t="s">
        <v>224</v>
      </c>
      <c r="D71" s="92" t="s">
        <v>536</v>
      </c>
      <c r="E71" s="78" t="str">
        <f t="shared" si="1"/>
        <v>"[OUTPUT] Only header, dataset summary or statement (if any), defined sections, and footer, | " &amp;</v>
      </c>
      <c r="F71" s="32" t="s">
        <v>232</v>
      </c>
    </row>
    <row r="72" spans="2:6">
      <c r="B72" s="54" t="s">
        <v>300</v>
      </c>
      <c r="C72" s="54" t="s">
        <v>228</v>
      </c>
      <c r="D72" s="92" t="s">
        <v>285</v>
      </c>
      <c r="E72" s="78" t="str">
        <f t="shared" si="1"/>
        <v>"[FOOTER RULE - STRICT] End your entire response EXACTLY with this markdown string (ensure all code blocks are closed before it):" &amp; CHAR(10) &amp; "---" &amp; CHAR(10) &amp; "⚡ *Coding5s System — Learn Programming by Writing Code*")</v>
      </c>
      <c r="F72" s="32" t="s">
        <v>232</v>
      </c>
    </row>
    <row r="73" spans="2:6">
      <c r="B73" s="54"/>
      <c r="C73" s="54"/>
      <c r="D73" s="92"/>
      <c r="E73" s="78" t="str">
        <f t="shared" si="1"/>
        <v/>
      </c>
      <c r="F73" s="32" t="s">
        <v>232</v>
      </c>
    </row>
    <row r="74" spans="2:6">
      <c r="B74" s="54"/>
      <c r="C74" s="54"/>
      <c r="D74" s="92"/>
      <c r="E74" s="78" t="str">
        <f t="shared" si="1"/>
        <v/>
      </c>
      <c r="F74" s="32" t="s">
        <v>232</v>
      </c>
    </row>
    <row r="75" spans="2:6">
      <c r="B75" s="54"/>
      <c r="C75" s="54"/>
      <c r="D75" s="92"/>
      <c r="E75" s="78" t="str">
        <f t="shared" si="1"/>
        <v/>
      </c>
      <c r="F75" s="32" t="s">
        <v>232</v>
      </c>
    </row>
    <row r="76" spans="2:6">
      <c r="B76" s="54"/>
      <c r="C76" s="54"/>
      <c r="D76" s="92"/>
      <c r="E76" s="78" t="str">
        <f t="shared" si="1"/>
        <v/>
      </c>
      <c r="F76" s="32" t="s">
        <v>232</v>
      </c>
    </row>
    <row r="77" spans="2:6">
      <c r="E77" s="87"/>
      <c r="F77" t="s">
        <v>232</v>
      </c>
    </row>
    <row r="79" spans="2:6" ht="36">
      <c r="B79" s="81" t="s">
        <v>506</v>
      </c>
    </row>
    <row r="80" spans="2:6">
      <c r="B80" s="77" t="s">
        <v>229</v>
      </c>
      <c r="C80" s="77" t="s">
        <v>639</v>
      </c>
      <c r="D80" s="77" t="s">
        <v>640</v>
      </c>
      <c r="E80" s="90" t="s">
        <v>249</v>
      </c>
      <c r="F80" s="54" t="s">
        <v>232</v>
      </c>
    </row>
    <row r="81" spans="2:6">
      <c r="B81" s="54" t="s">
        <v>230</v>
      </c>
      <c r="C81" s="54" t="s">
        <v>537</v>
      </c>
      <c r="D81" s="92" t="s">
        <v>538</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232</v>
      </c>
    </row>
    <row r="82" spans="2:6">
      <c r="B82" s="54" t="s">
        <v>230</v>
      </c>
      <c r="C82" s="54" t="s">
        <v>251</v>
      </c>
      <c r="D82" s="92" t="s">
        <v>539</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232</v>
      </c>
    </row>
    <row r="83" spans="2:6">
      <c r="B83" s="54" t="s">
        <v>230</v>
      </c>
      <c r="C83" s="54" t="s">
        <v>252</v>
      </c>
      <c r="D83" s="92" t="s">
        <v>540</v>
      </c>
      <c r="E83" s="17" t="str">
        <f t="shared" si="2"/>
        <v>"[CONTEXT] You are reviewing the final implementation of a new feature for a " &amp; IF(UPPER(H9)="PROJECT", "PROJECT: " &amp; I9 &amp; ". Topics integrated: " &amp; B9 &amp; ". Business Goal: " &amp; J9, "TOPIC: " &amp; I9 &amp; ". Goal: " &amp; J9) &amp; " | " &amp;</v>
      </c>
      <c r="F83" s="54" t="s">
        <v>232</v>
      </c>
    </row>
    <row r="84" spans="2:6">
      <c r="B84" s="54" t="s">
        <v>230</v>
      </c>
      <c r="C84" s="54" t="s">
        <v>167</v>
      </c>
      <c r="D84" s="92" t="s">
        <v>541</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232</v>
      </c>
    </row>
    <row r="85" spans="2:6">
      <c r="B85" s="54" t="s">
        <v>230</v>
      </c>
      <c r="C85" s="54" t="s">
        <v>238</v>
      </c>
      <c r="D85" s="92" t="s">
        <v>291</v>
      </c>
      <c r="E85" s="17" t="str">
        <f t="shared" si="2"/>
        <v>"[LIBRARY BEING LEARNED] " &amp; $I$3 &amp; " | " &amp;</v>
      </c>
      <c r="F85" s="54" t="s">
        <v>232</v>
      </c>
    </row>
    <row r="86" spans="2:6">
      <c r="B86" s="54" t="s">
        <v>230</v>
      </c>
      <c r="C86" s="54" t="s">
        <v>177</v>
      </c>
      <c r="D86" s="92" t="s">
        <v>274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232</v>
      </c>
    </row>
    <row r="87" spans="2:6">
      <c r="B87" s="54" t="s">
        <v>230</v>
      </c>
      <c r="C87" s="54" t="s">
        <v>550</v>
      </c>
      <c r="D87" s="92" t="s">
        <v>542</v>
      </c>
      <c r="E87" s="17" t="str">
        <f t="shared" si="2"/>
        <v>"[LANGUAGE SEED CONTEXT] " &amp; IF($AE$7 = "", "Language Seed Not Necessary", "You MUST strictly follow this seed context to enhance, adapt, and naturalize your tone, vocabulary, and instructional quality in " &amp; $B$6 &amp; ": " &amp; $AE$7) &amp; " | " &amp;</v>
      </c>
      <c r="F87" s="54" t="s">
        <v>232</v>
      </c>
    </row>
    <row r="88" spans="2:6">
      <c r="B88" s="54" t="s">
        <v>230</v>
      </c>
      <c r="C88" s="54" t="s">
        <v>223</v>
      </c>
      <c r="D88" s="92" t="s">
        <v>655</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232</v>
      </c>
    </row>
    <row r="89" spans="2:6">
      <c r="B89" s="54" t="s">
        <v>231</v>
      </c>
      <c r="C89" s="54" t="s">
        <v>241</v>
      </c>
      <c r="D89" s="92"/>
      <c r="E89" s="17" t="str">
        <f t="shared" si="2"/>
        <v/>
      </c>
      <c r="F89" s="54" t="s">
        <v>232</v>
      </c>
    </row>
    <row r="90" spans="2:6">
      <c r="B90" s="54" t="s">
        <v>231</v>
      </c>
      <c r="C90" s="54" t="s">
        <v>259</v>
      </c>
      <c r="D90" s="92" t="s">
        <v>368</v>
      </c>
      <c r="E90" s="17" t="str">
        <f t="shared" si="2"/>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v>
      </c>
      <c r="F90" s="54" t="s">
        <v>232</v>
      </c>
    </row>
    <row r="91" spans="2:6">
      <c r="B91" s="54" t="s">
        <v>300</v>
      </c>
      <c r="C91" s="54" t="s">
        <v>253</v>
      </c>
      <c r="D91" s="92" t="s">
        <v>543</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232</v>
      </c>
    </row>
    <row r="92" spans="2:6">
      <c r="B92" s="54" t="s">
        <v>300</v>
      </c>
      <c r="C92" s="54" t="s">
        <v>255</v>
      </c>
      <c r="D92" s="92" t="s">
        <v>544</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232</v>
      </c>
    </row>
    <row r="93" spans="2:6">
      <c r="B93" s="54" t="s">
        <v>300</v>
      </c>
      <c r="C93" s="54" t="s">
        <v>256</v>
      </c>
      <c r="D93" s="92" t="s">
        <v>545</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232</v>
      </c>
    </row>
    <row r="94" spans="2:6">
      <c r="B94" s="54" t="s">
        <v>300</v>
      </c>
      <c r="C94" s="54" t="s">
        <v>546</v>
      </c>
      <c r="D94" s="92" t="s">
        <v>547</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232</v>
      </c>
    </row>
    <row r="95" spans="2:6">
      <c r="B95" s="54" t="s">
        <v>300</v>
      </c>
      <c r="C95" s="54" t="s">
        <v>369</v>
      </c>
      <c r="D95" s="92" t="s">
        <v>548</v>
      </c>
      <c r="E95" s="17" t="str">
        <f t="shared" si="2"/>
        <v>"[FOOTER RULE] End your response with: '--- ⚡ *Coding5s Mentor System — Eliminating Epistemic Debt &amp; Shipping to Production*'",</v>
      </c>
      <c r="F95" s="54" t="s">
        <v>232</v>
      </c>
    </row>
    <row r="96" spans="2:6">
      <c r="B96" s="54"/>
      <c r="C96" s="54"/>
      <c r="D96" s="92"/>
      <c r="E96" s="90" t="s">
        <v>491</v>
      </c>
      <c r="F96" s="54" t="s">
        <v>232</v>
      </c>
    </row>
    <row r="97" spans="2:6">
      <c r="B97" s="54"/>
      <c r="C97" s="54"/>
      <c r="D97" s="92"/>
      <c r="E97" s="78" t="str">
        <f t="shared" ref="E97:E100" si="3">IF(D97="","",""""&amp;C97&amp;" "&amp;IF(C97="[FOOTER RULE - STRICT]",D97,IF(RIGHT(D97,6)=" | "&amp;CHAR(34)&amp;" &amp;",D97,D97&amp;" | "&amp;CHAR(34)&amp;" &amp;")))</f>
        <v/>
      </c>
      <c r="F97" s="54" t="s">
        <v>232</v>
      </c>
    </row>
    <row r="98" spans="2:6">
      <c r="B98" s="54"/>
      <c r="C98" s="54"/>
      <c r="D98" s="92"/>
      <c r="E98" s="78" t="str">
        <f t="shared" si="3"/>
        <v/>
      </c>
      <c r="F98" s="54" t="s">
        <v>232</v>
      </c>
    </row>
    <row r="99" spans="2:6">
      <c r="B99" s="54"/>
      <c r="C99" s="54"/>
      <c r="D99" s="92"/>
      <c r="E99" s="78" t="str">
        <f t="shared" si="3"/>
        <v/>
      </c>
      <c r="F99" s="54" t="s">
        <v>232</v>
      </c>
    </row>
    <row r="100" spans="2:6">
      <c r="B100" s="54"/>
      <c r="C100" s="54"/>
      <c r="D100" s="92"/>
      <c r="E100" s="78" t="str">
        <f t="shared" si="3"/>
        <v/>
      </c>
      <c r="F100" s="54" t="s">
        <v>232</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610</v>
      </c>
      <c r="C2" t="s">
        <v>581</v>
      </c>
      <c r="D2" t="s">
        <v>26</v>
      </c>
      <c r="E2" t="s">
        <v>611</v>
      </c>
    </row>
    <row r="3" spans="2:5">
      <c r="B3" t="s">
        <v>582</v>
      </c>
      <c r="C3" t="s">
        <v>21</v>
      </c>
      <c r="D3" t="s">
        <v>583</v>
      </c>
      <c r="E3" t="s">
        <v>612</v>
      </c>
    </row>
    <row r="4" spans="2:5">
      <c r="B4" t="s">
        <v>584</v>
      </c>
      <c r="C4" t="s">
        <v>602</v>
      </c>
      <c r="D4" t="s">
        <v>583</v>
      </c>
      <c r="E4" t="s">
        <v>613</v>
      </c>
    </row>
    <row r="5" spans="2:5">
      <c r="B5" t="s">
        <v>585</v>
      </c>
      <c r="C5" t="s">
        <v>24</v>
      </c>
      <c r="D5" t="s">
        <v>583</v>
      </c>
      <c r="E5" t="s">
        <v>614</v>
      </c>
    </row>
    <row r="6" spans="2:5">
      <c r="B6" t="s">
        <v>586</v>
      </c>
      <c r="C6" t="s">
        <v>25</v>
      </c>
      <c r="D6" t="s">
        <v>583</v>
      </c>
      <c r="E6" t="s">
        <v>615</v>
      </c>
    </row>
    <row r="7" spans="2:5">
      <c r="B7" t="s">
        <v>587</v>
      </c>
      <c r="C7" t="s">
        <v>26</v>
      </c>
      <c r="D7" t="s">
        <v>583</v>
      </c>
      <c r="E7" t="s">
        <v>616</v>
      </c>
    </row>
    <row r="8" spans="2:5">
      <c r="B8" t="s">
        <v>588</v>
      </c>
      <c r="C8" t="s">
        <v>27</v>
      </c>
      <c r="D8" t="s">
        <v>583</v>
      </c>
      <c r="E8" t="s">
        <v>617</v>
      </c>
    </row>
    <row r="9" spans="2:5">
      <c r="B9" t="s">
        <v>589</v>
      </c>
      <c r="C9" t="s">
        <v>28</v>
      </c>
      <c r="D9" t="s">
        <v>583</v>
      </c>
      <c r="E9" t="s">
        <v>618</v>
      </c>
    </row>
    <row r="10" spans="2:5">
      <c r="B10" t="s">
        <v>590</v>
      </c>
      <c r="C10" t="s">
        <v>48</v>
      </c>
      <c r="D10" t="s">
        <v>591</v>
      </c>
      <c r="E10" t="s">
        <v>619</v>
      </c>
    </row>
    <row r="11" spans="2:5">
      <c r="B11" t="s">
        <v>592</v>
      </c>
      <c r="C11" t="s">
        <v>593</v>
      </c>
      <c r="D11" t="s">
        <v>591</v>
      </c>
      <c r="E11" t="s">
        <v>620</v>
      </c>
    </row>
    <row r="12" spans="2:5">
      <c r="B12" t="s">
        <v>594</v>
      </c>
      <c r="C12" t="s">
        <v>603</v>
      </c>
      <c r="D12" t="s">
        <v>591</v>
      </c>
      <c r="E12" t="s">
        <v>621</v>
      </c>
    </row>
    <row r="13" spans="2:5">
      <c r="B13" t="s">
        <v>595</v>
      </c>
      <c r="C13" t="s">
        <v>557</v>
      </c>
      <c r="D13" t="s">
        <v>591</v>
      </c>
      <c r="E13" t="s">
        <v>622</v>
      </c>
    </row>
    <row r="14" spans="2:5">
      <c r="B14" t="s">
        <v>596</v>
      </c>
      <c r="C14" t="s">
        <v>604</v>
      </c>
      <c r="D14" t="s">
        <v>583</v>
      </c>
      <c r="E14" t="s">
        <v>623</v>
      </c>
    </row>
    <row r="15" spans="2:5">
      <c r="B15" t="s">
        <v>597</v>
      </c>
      <c r="C15" t="s">
        <v>605</v>
      </c>
      <c r="D15" t="s">
        <v>583</v>
      </c>
      <c r="E15" t="s">
        <v>624</v>
      </c>
    </row>
    <row r="16" spans="2:5">
      <c r="B16" t="s">
        <v>598</v>
      </c>
      <c r="C16" t="s">
        <v>606</v>
      </c>
      <c r="D16" t="s">
        <v>583</v>
      </c>
      <c r="E16" t="s">
        <v>625</v>
      </c>
    </row>
    <row r="17" spans="2:5">
      <c r="B17" t="s">
        <v>599</v>
      </c>
      <c r="C17" t="s">
        <v>607</v>
      </c>
      <c r="D17" t="s">
        <v>583</v>
      </c>
      <c r="E17" t="s">
        <v>626</v>
      </c>
    </row>
    <row r="18" spans="2:5">
      <c r="B18" t="s">
        <v>600</v>
      </c>
      <c r="C18" t="s">
        <v>608</v>
      </c>
      <c r="D18" t="s">
        <v>583</v>
      </c>
      <c r="E18" t="s">
        <v>627</v>
      </c>
    </row>
    <row r="19" spans="2:5">
      <c r="B19" t="s">
        <v>601</v>
      </c>
      <c r="C19" t="s">
        <v>609</v>
      </c>
      <c r="D19" t="s">
        <v>583</v>
      </c>
      <c r="E19" t="s">
        <v>628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heetViews>
  <sheetFormatPr defaultRowHeight="15"/>
  <cols>
    <col min="1" max="1" width="3.140625" customWidth="1"/>
  </cols>
  <sheetData>
    <row r="2" spans="2:11">
      <c r="B2" s="107" t="s">
        <v>561</v>
      </c>
      <c r="C2" s="108"/>
      <c r="D2" s="108"/>
      <c r="E2" s="108"/>
      <c r="F2" s="108"/>
      <c r="G2" s="108"/>
      <c r="H2" s="108"/>
      <c r="I2" s="108"/>
      <c r="J2" s="108"/>
      <c r="K2" s="109"/>
    </row>
    <row r="3" spans="2:11">
      <c r="B3" s="110"/>
      <c r="K3" s="111"/>
    </row>
    <row r="4" spans="2:11">
      <c r="B4" s="110" t="s">
        <v>562</v>
      </c>
      <c r="K4" s="111"/>
    </row>
    <row r="5" spans="2:11">
      <c r="B5" s="110"/>
      <c r="K5" s="111"/>
    </row>
    <row r="6" spans="2:11">
      <c r="B6" s="112" t="s">
        <v>563</v>
      </c>
      <c r="K6" s="111"/>
    </row>
    <row r="7" spans="2:11">
      <c r="B7" s="112" t="s">
        <v>564</v>
      </c>
      <c r="K7" s="111"/>
    </row>
    <row r="8" spans="2:11">
      <c r="B8" s="112" t="s">
        <v>565</v>
      </c>
      <c r="K8" s="111"/>
    </row>
    <row r="9" spans="2:11">
      <c r="B9" s="112" t="s">
        <v>566</v>
      </c>
      <c r="K9" s="111"/>
    </row>
    <row r="10" spans="2:11">
      <c r="B10" s="112" t="s">
        <v>567</v>
      </c>
      <c r="K10" s="111"/>
    </row>
    <row r="11" spans="2:11">
      <c r="B11" s="112" t="s">
        <v>568</v>
      </c>
      <c r="K11" s="111"/>
    </row>
    <row r="12" spans="2:11">
      <c r="B12" s="112"/>
      <c r="K12" s="111"/>
    </row>
    <row r="13" spans="2:11">
      <c r="B13" s="112" t="s">
        <v>569</v>
      </c>
      <c r="K13" s="111"/>
    </row>
    <row r="14" spans="2:11">
      <c r="B14" s="112" t="s">
        <v>570</v>
      </c>
      <c r="K14" s="111"/>
    </row>
    <row r="15" spans="2:11">
      <c r="B15" s="112"/>
      <c r="K15" s="111"/>
    </row>
    <row r="16" spans="2:11">
      <c r="B16" s="112" t="s">
        <v>571</v>
      </c>
      <c r="K16" s="111"/>
    </row>
    <row r="17" spans="2:11">
      <c r="B17" s="112" t="s">
        <v>572</v>
      </c>
      <c r="K17" s="111"/>
    </row>
    <row r="18" spans="2:11">
      <c r="B18" s="112" t="s">
        <v>573</v>
      </c>
      <c r="K18" s="111"/>
    </row>
    <row r="19" spans="2:11">
      <c r="B19" s="112" t="s">
        <v>574</v>
      </c>
      <c r="K19" s="111"/>
    </row>
    <row r="20" spans="2:11">
      <c r="B20" s="112" t="s">
        <v>575</v>
      </c>
      <c r="K20" s="111"/>
    </row>
    <row r="21" spans="2:11">
      <c r="B21" s="112" t="s">
        <v>576</v>
      </c>
      <c r="K21" s="111"/>
    </row>
    <row r="22" spans="2:11">
      <c r="B22" s="112" t="s">
        <v>577</v>
      </c>
      <c r="K22" s="111"/>
    </row>
    <row r="23" spans="2:11">
      <c r="B23" s="112"/>
      <c r="K23" s="111"/>
    </row>
    <row r="24" spans="2:11">
      <c r="B24" s="112" t="s">
        <v>578</v>
      </c>
      <c r="D24" s="116" t="s">
        <v>579</v>
      </c>
      <c r="K24" s="111"/>
    </row>
    <row r="25" spans="2:11">
      <c r="B25" s="113"/>
      <c r="C25" s="114"/>
      <c r="D25" s="114"/>
      <c r="E25" s="114"/>
      <c r="F25" s="114"/>
      <c r="G25" s="114"/>
      <c r="H25" s="114"/>
      <c r="I25" s="114"/>
      <c r="J25" s="114"/>
      <c r="K25" s="115"/>
    </row>
  </sheetData>
  <hyperlinks>
    <hyperlink ref="D24" r:id="rId1" xr:uid="{C1585F6D-E84E-4BDD-BFC6-8C9DE04D69F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23"/>
  <sheetViews>
    <sheetView showGridLines="0" workbookViewId="0"/>
  </sheetViews>
  <sheetFormatPr defaultRowHeight="15"/>
  <sheetData>
    <row r="1" spans="1:1" ht="18">
      <c r="A1" s="117" t="s">
        <v>629</v>
      </c>
    </row>
    <row r="3" spans="1:1">
      <c r="A3" t="s">
        <v>630</v>
      </c>
    </row>
    <row r="4" spans="1:1">
      <c r="A4" s="118"/>
    </row>
    <row r="5" spans="1:1">
      <c r="A5" s="119" t="s">
        <v>631</v>
      </c>
    </row>
    <row r="6" spans="1:1">
      <c r="A6" s="118"/>
    </row>
    <row r="7" spans="1:1">
      <c r="A7" s="118"/>
    </row>
    <row r="8" spans="1:1">
      <c r="A8" s="120"/>
    </row>
    <row r="9" spans="1:1">
      <c r="A9" s="121" t="s">
        <v>632</v>
      </c>
    </row>
    <row r="10" spans="1:1">
      <c r="A10" s="120"/>
    </row>
    <row r="11" spans="1:1">
      <c r="A11" s="121" t="s">
        <v>633</v>
      </c>
    </row>
    <row r="12" spans="1:1">
      <c r="A12" s="118"/>
    </row>
    <row r="13" spans="1:1">
      <c r="A13" s="119" t="s">
        <v>634</v>
      </c>
    </row>
    <row r="14" spans="1:1">
      <c r="A14" s="118"/>
    </row>
    <row r="15" spans="1:1">
      <c r="A15" s="118"/>
    </row>
    <row r="16" spans="1:1">
      <c r="A16" s="120"/>
    </row>
    <row r="17" spans="1:1">
      <c r="A17" s="120" t="s">
        <v>635</v>
      </c>
    </row>
    <row r="18" spans="1:1">
      <c r="A18" s="120"/>
    </row>
    <row r="19" spans="1:1">
      <c r="A19" s="120" t="s">
        <v>636</v>
      </c>
    </row>
    <row r="20" spans="1:1">
      <c r="A20" s="120"/>
    </row>
    <row r="21" spans="1:1">
      <c r="A21" s="120" t="s">
        <v>637</v>
      </c>
    </row>
    <row r="22" spans="1:1">
      <c r="A22" s="118"/>
    </row>
    <row r="23" spans="1:1">
      <c r="A23" s="119" t="s">
        <v>638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PromptGenerator</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2026-07-15T06:45:40Z</dcterms:modified>
</cp:coreProperties>
</file>