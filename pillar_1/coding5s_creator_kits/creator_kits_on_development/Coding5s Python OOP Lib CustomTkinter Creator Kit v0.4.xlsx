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
    </mc:Choice>
  </mc:AlternateContent>
  <xr:revisionPtr revIDLastSave="0" documentId="13_ncr:1_{86EFA1E3-D648-474D-B457-A16565A1F10E}"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4125" yWindow="885" windowWidth="19815" windowHeight="12405" tabRatio="732" activeTab="3"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K10" i="1" l="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9" i="1"/>
  <c r="D19" i="2"/>
  <c r="D20" i="2"/>
  <c r="D18" i="2"/>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9" i="1"/>
  <c r="AD10" i="1"/>
  <c r="AD11" i="1"/>
  <c r="AD12" i="1"/>
  <c r="AD13" i="1"/>
  <c r="AD14" i="1"/>
  <c r="AD15" i="1"/>
  <c r="AD16" i="1"/>
  <c r="W16" i="1" s="1"/>
  <c r="AD17" i="1"/>
  <c r="AD18" i="1"/>
  <c r="AD19" i="1"/>
  <c r="AD20" i="1"/>
  <c r="AD21" i="1"/>
  <c r="AD22" i="1"/>
  <c r="AD23" i="1"/>
  <c r="AD24" i="1"/>
  <c r="AD25" i="1"/>
  <c r="AD26" i="1"/>
  <c r="AD27" i="1"/>
  <c r="AD28" i="1"/>
  <c r="AD29" i="1"/>
  <c r="AD30" i="1"/>
  <c r="AD31" i="1"/>
  <c r="AD32" i="1"/>
  <c r="W32" i="1" s="1"/>
  <c r="AD33" i="1"/>
  <c r="AD34" i="1"/>
  <c r="AD35" i="1"/>
  <c r="AD36" i="1"/>
  <c r="AD37" i="1"/>
  <c r="AD38" i="1"/>
  <c r="AD39" i="1"/>
  <c r="AD40" i="1"/>
  <c r="W40" i="1" s="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W9" i="1"/>
  <c r="W10" i="1"/>
  <c r="W11" i="1"/>
  <c r="W12" i="1"/>
  <c r="W13" i="1"/>
  <c r="W14" i="1"/>
  <c r="W15" i="1"/>
  <c r="W17" i="1"/>
  <c r="W18" i="1"/>
  <c r="W19" i="1"/>
  <c r="W20" i="1"/>
  <c r="W21" i="1"/>
  <c r="W22" i="1"/>
  <c r="W23" i="1"/>
  <c r="W24" i="1"/>
  <c r="W25" i="1"/>
  <c r="W26" i="1"/>
  <c r="W27" i="1"/>
  <c r="W28" i="1"/>
  <c r="W29" i="1"/>
  <c r="W30" i="1"/>
  <c r="W31" i="1"/>
  <c r="W33" i="1"/>
  <c r="W34" i="1"/>
  <c r="W35" i="1"/>
  <c r="W36" i="1"/>
  <c r="W37" i="1"/>
  <c r="W38" i="1"/>
  <c r="W39"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Q40" i="1" s="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9" i="1"/>
  <c r="AA10" i="1"/>
  <c r="AA11" i="1"/>
  <c r="AA12" i="1"/>
  <c r="AA13" i="1"/>
  <c r="AA14" i="1"/>
  <c r="AA15" i="1"/>
  <c r="AA16" i="1"/>
  <c r="N16" i="1" s="1"/>
  <c r="AA17" i="1"/>
  <c r="AA18" i="1"/>
  <c r="AA19" i="1"/>
  <c r="AA20" i="1"/>
  <c r="AA21" i="1"/>
  <c r="AA22" i="1"/>
  <c r="AA23" i="1"/>
  <c r="AA24" i="1"/>
  <c r="AA25" i="1"/>
  <c r="AA26" i="1"/>
  <c r="AA27" i="1"/>
  <c r="AA28" i="1"/>
  <c r="AA29" i="1"/>
  <c r="AA30" i="1"/>
  <c r="AA31" i="1"/>
  <c r="AA32" i="1"/>
  <c r="AA33" i="1"/>
  <c r="AA34" i="1"/>
  <c r="AA35" i="1"/>
  <c r="AA36" i="1"/>
  <c r="AA37" i="1"/>
  <c r="AA38" i="1"/>
  <c r="AA39" i="1"/>
  <c r="AA40" i="1"/>
  <c r="N40" i="1" s="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N9" i="1"/>
  <c r="N10" i="1"/>
  <c r="N11" i="1"/>
  <c r="N12" i="1"/>
  <c r="N13" i="1"/>
  <c r="N14" i="1"/>
  <c r="N15" i="1"/>
  <c r="N17" i="1"/>
  <c r="N18" i="1"/>
  <c r="N19" i="1"/>
  <c r="N20" i="1"/>
  <c r="N21" i="1"/>
  <c r="N22" i="1"/>
  <c r="N23" i="1"/>
  <c r="N24" i="1"/>
  <c r="N25" i="1"/>
  <c r="N26" i="1"/>
  <c r="N27" i="1"/>
  <c r="N28" i="1"/>
  <c r="N29" i="1"/>
  <c r="N30" i="1"/>
  <c r="N31" i="1"/>
  <c r="N32" i="1"/>
  <c r="N33" i="1"/>
  <c r="N34" i="1"/>
  <c r="N35" i="1"/>
  <c r="N36" i="1"/>
  <c r="N37" i="1"/>
  <c r="N38" i="1"/>
  <c r="N39"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E54" i="16"/>
  <c r="E55" i="16"/>
  <c r="E56" i="16"/>
  <c r="E59" i="16"/>
  <c r="E60" i="16"/>
  <c r="E61" i="16"/>
  <c r="E62" i="16"/>
  <c r="E63" i="16"/>
  <c r="E64" i="16"/>
  <c r="E65" i="16"/>
  <c r="E66" i="16"/>
  <c r="E67" i="16"/>
  <c r="E68" i="16"/>
  <c r="E69" i="16"/>
  <c r="E70" i="16"/>
  <c r="E71" i="16"/>
  <c r="E72" i="16"/>
  <c r="E73" i="16"/>
  <c r="E74" i="16"/>
  <c r="E75" i="16"/>
  <c r="E76" i="16"/>
  <c r="D53" i="16"/>
  <c r="E53" i="16" s="1"/>
  <c r="D9" i="2"/>
  <c r="D10" i="15"/>
  <c r="D10" i="16"/>
  <c r="D18" i="15"/>
  <c r="D17" i="15"/>
  <c r="D16" i="15"/>
  <c r="D19" i="15"/>
  <c r="D94" i="2"/>
  <c r="D93" i="2"/>
  <c r="D66" i="2"/>
  <c r="D67" i="2"/>
  <c r="D65" i="2"/>
  <c r="D59" i="2"/>
  <c r="D14" i="2"/>
  <c r="E87"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E58" i="16" s="1"/>
  <c r="D57" i="16"/>
  <c r="E57" i="16" s="1"/>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H105" i="1"/>
  <c r="AH104" i="1"/>
  <c r="AH103" i="1"/>
  <c r="A103" i="1" a="1"/>
  <c r="A103" i="1" s="1"/>
  <c r="AH102" i="1"/>
  <c r="A102" i="1" a="1"/>
  <c r="A102" i="1" s="1"/>
  <c r="AH101" i="1"/>
  <c r="A101" i="1" a="1"/>
  <c r="A101" i="1" s="1"/>
  <c r="AH100" i="1"/>
  <c r="A100" i="1" a="1"/>
  <c r="A100" i="1" s="1"/>
  <c r="AH99" i="1"/>
  <c r="A99" i="1" a="1"/>
  <c r="A99" i="1" s="1"/>
  <c r="AH98" i="1"/>
  <c r="AH97" i="1"/>
  <c r="AH96" i="1"/>
  <c r="AH95" i="1"/>
  <c r="AH94" i="1"/>
  <c r="A94" i="1" a="1"/>
  <c r="A94" i="1" s="1"/>
  <c r="AH93" i="1"/>
  <c r="A93" i="1" a="1"/>
  <c r="A93" i="1" s="1"/>
  <c r="AH92" i="1"/>
  <c r="A92" i="1" a="1"/>
  <c r="A92" i="1" s="1"/>
  <c r="AH91" i="1"/>
  <c r="AH90" i="1"/>
  <c r="A90" i="1" a="1"/>
  <c r="A90" i="1" s="1"/>
  <c r="AH89" i="1"/>
  <c r="AH88" i="1"/>
  <c r="AH87" i="1"/>
  <c r="A87" i="1" a="1"/>
  <c r="A87" i="1" s="1"/>
  <c r="AH86" i="1"/>
  <c r="AH85" i="1"/>
  <c r="AH84" i="1"/>
  <c r="A84" i="1" a="1"/>
  <c r="A84" i="1" s="1"/>
  <c r="AH83" i="1"/>
  <c r="AH82" i="1"/>
  <c r="A82" i="1" a="1"/>
  <c r="A82" i="1" s="1"/>
  <c r="AH81" i="1"/>
  <c r="AH80" i="1"/>
  <c r="AH79" i="1"/>
  <c r="A79" i="1" a="1"/>
  <c r="A79" i="1" s="1"/>
  <c r="AH78" i="1"/>
  <c r="A78" i="1" a="1"/>
  <c r="A78" i="1" s="1"/>
  <c r="AH77" i="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H64" i="1"/>
  <c r="AH63" i="1"/>
  <c r="A63" i="1" a="1"/>
  <c r="A63" i="1" s="1"/>
  <c r="AH62" i="1"/>
  <c r="A62" i="1" a="1"/>
  <c r="A62" i="1" s="1"/>
  <c r="AH61" i="1"/>
  <c r="AH60" i="1"/>
  <c r="AH59" i="1"/>
  <c r="A59" i="1" a="1"/>
  <c r="A59" i="1" s="1"/>
  <c r="AH58" i="1"/>
  <c r="A58" i="1" a="1"/>
  <c r="A58" i="1" s="1"/>
  <c r="AH57" i="1"/>
  <c r="AH56" i="1"/>
  <c r="AH55" i="1"/>
  <c r="AH54" i="1"/>
  <c r="A54" i="1" a="1"/>
  <c r="A54" i="1" s="1"/>
  <c r="AH53" i="1"/>
  <c r="AH52" i="1"/>
  <c r="A52" i="1" a="1"/>
  <c r="A52" i="1" s="1"/>
  <c r="AH51" i="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L1" i="1" l="1"/>
  <c r="B50" i="1"/>
  <c r="B51" i="1" s="1"/>
  <c r="B52" i="1" l="1"/>
  <c r="B53" i="1" s="1"/>
  <c r="B54" i="1" s="1"/>
  <c r="B55" i="1" s="1"/>
  <c r="B56" i="1" s="1"/>
  <c r="B57" i="1" s="1"/>
  <c r="A17" i="1" a="1"/>
  <c r="A17" i="1" s="1"/>
  <c r="A35" i="1" a="1"/>
  <c r="A35" i="1" s="1"/>
  <c r="A26" i="1" a="1"/>
  <c r="A26" i="1" s="1"/>
  <c r="A36" i="1" a="1"/>
  <c r="A36" i="1" s="1"/>
  <c r="A34" i="1" a="1"/>
  <c r="A34" i="1" s="1"/>
  <c r="A25" i="1" a="1"/>
  <c r="A25" i="1" s="1"/>
  <c r="A50" i="1" a="1"/>
  <c r="A50" i="1" s="1"/>
  <c r="A47" i="1" a="1"/>
  <c r="A47" i="1" s="1"/>
  <c r="A55" i="1" a="1"/>
  <c r="A55" i="1" s="1"/>
  <c r="A66" i="1" a="1"/>
  <c r="A66" i="1" s="1"/>
  <c r="A85" i="1" a="1"/>
  <c r="A85" i="1" s="1"/>
  <c r="A14" i="1" a="1"/>
  <c r="A14" i="1" s="1"/>
  <c r="A20" i="1" a="1"/>
  <c r="A20" i="1" s="1"/>
  <c r="A27" i="1" a="1"/>
  <c r="A27" i="1" s="1"/>
  <c r="A46" i="1" a="1"/>
  <c r="A46" i="1" s="1"/>
  <c r="A53" i="1" a="1"/>
  <c r="A53" i="1" s="1"/>
  <c r="A69" i="1" a="1"/>
  <c r="A69" i="1" s="1"/>
  <c r="A61" i="1" a="1"/>
  <c r="A61" i="1" s="1"/>
  <c r="A83" i="1" a="1"/>
  <c r="A83" i="1" s="1"/>
  <c r="A76" i="1" a="1"/>
  <c r="A76" i="1" s="1"/>
  <c r="A91" i="1" a="1"/>
  <c r="A91" i="1" s="1"/>
  <c r="A98" i="1" a="1"/>
  <c r="A98" i="1" s="1"/>
  <c r="A120" i="1" a="1"/>
  <c r="A120" i="1" s="1"/>
  <c r="A112" i="1" a="1"/>
  <c r="A112" i="1" s="1"/>
  <c r="B58" i="1" l="1"/>
  <c r="B59" i="1" s="1"/>
  <c r="B60" i="1" s="1"/>
  <c r="B61" i="1" l="1"/>
  <c r="B62" i="1" s="1"/>
  <c r="B63" i="1" s="1"/>
  <c r="B64" i="1" s="1"/>
  <c r="B65" i="1" s="1"/>
  <c r="B66" i="1" s="1"/>
  <c r="B67" i="1" l="1"/>
  <c r="B68" i="1" l="1"/>
  <c r="B69" i="1" l="1"/>
  <c r="B70" i="1" l="1"/>
  <c r="B71" i="1" l="1"/>
  <c r="B72" i="1" l="1"/>
  <c r="B73" i="1" l="1"/>
  <c r="B74" i="1" l="1"/>
  <c r="B75" i="1" s="1"/>
  <c r="B76" i="1" s="1"/>
  <c r="B77" i="1" s="1"/>
  <c r="B78" i="1" l="1"/>
  <c r="B79" i="1" s="1"/>
  <c r="B80" i="1" s="1"/>
  <c r="B81" i="1" s="1"/>
  <c r="B82" i="1" l="1"/>
  <c r="B83" i="1" l="1"/>
  <c r="B84" i="1" l="1"/>
  <c r="B85" i="1" l="1"/>
  <c r="B86" i="1" l="1"/>
  <c r="B87" i="1" l="1"/>
  <c r="B88" i="1" s="1"/>
  <c r="B89" i="1" s="1"/>
  <c r="B90" i="1" s="1"/>
  <c r="B91" i="1" l="1"/>
  <c r="B92" i="1" s="1"/>
  <c r="B93" i="1" s="1"/>
  <c r="B94" i="1" s="1"/>
  <c r="B95" i="1" s="1"/>
  <c r="B96" i="1" l="1"/>
  <c r="B97" i="1" l="1"/>
  <c r="B98" i="1" l="1"/>
  <c r="B99" i="1" s="1"/>
  <c r="B100" i="1" s="1"/>
  <c r="B101" i="1" s="1"/>
  <c r="B102" i="1" s="1"/>
  <c r="B103" i="1" s="1"/>
  <c r="B104" i="1" s="1"/>
  <c r="B105" i="1" l="1"/>
  <c r="B106" i="1" s="1"/>
  <c r="B107" i="1" s="1"/>
  <c r="B108" i="1" s="1"/>
  <c r="B109" i="1" s="1"/>
  <c r="B110" i="1" s="1"/>
  <c r="B111" i="1" s="1"/>
  <c r="B112" i="1" s="1"/>
  <c r="B113" i="1" s="1"/>
  <c r="B114" i="1" s="1"/>
  <c r="B115" i="1" l="1"/>
  <c r="B116" i="1" l="1"/>
  <c r="A96" i="1" a="1"/>
  <c r="A96" i="1" s="1"/>
  <c r="B117" i="1" l="1"/>
  <c r="A104" i="1" a="1"/>
  <c r="A104" i="1" s="1"/>
  <c r="A117" i="1" a="1"/>
  <c r="A117" i="1" s="1"/>
  <c r="A49" i="1" a="1"/>
  <c r="A49" i="1" s="1"/>
  <c r="A65" i="1" a="1"/>
  <c r="A65" i="1" s="1"/>
  <c r="A33" i="1" a="1"/>
  <c r="A33" i="1" s="1"/>
  <c r="A57" i="1" a="1"/>
  <c r="A57" i="1" s="1"/>
  <c r="A41" i="1" a="1"/>
  <c r="A41" i="1" s="1"/>
  <c r="A73" i="1" a="1"/>
  <c r="A73" i="1" s="1"/>
  <c r="A81" i="1" a="1"/>
  <c r="A81" i="1" s="1"/>
  <c r="A89" i="1" a="1"/>
  <c r="A89" i="1" s="1"/>
  <c r="A97" i="1" a="1"/>
  <c r="A97" i="1" s="1"/>
  <c r="A106" i="1" a="1"/>
  <c r="A106" i="1" s="1"/>
  <c r="A114" i="1" a="1"/>
  <c r="A1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 r="A60" i="1" l="1" a="1"/>
  <c r="A60" i="1" s="1"/>
  <c r="A51" i="1" a="1"/>
  <c r="A51" i="1" s="1"/>
  <c r="A42" i="1" a="1"/>
  <c r="A42" i="1" s="1"/>
  <c r="A77" i="1" a="1"/>
  <c r="A77" i="1" s="1"/>
  <c r="A86" i="1" a="1"/>
  <c r="A86" i="1" s="1"/>
  <c r="A95" i="1" a="1"/>
  <c r="A95" i="1" s="1"/>
  <c r="A113" i="1" a="1"/>
  <c r="A11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<sst xmlns="http://schemas.openxmlformats.org/spreadsheetml/2006/main" count="2482" uniqueCount="842">
  <si>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</si>
  <si>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</si>
  <si>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</si>
  <si>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</si>
  <si>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</si>
  <si>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</si>
  <si>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</si>
  <si>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</si>
  <si>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</si>
  <si>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</si>
  <si>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</si>
  <si>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</si>
  <si>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</si>
  <si>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</si>
  <si>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</si>
  <si>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</si>
  <si>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</si>
  <si>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</si>
  <si>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</si>
  <si>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</si>
  <si>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</si>
  <si>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</si>
  <si>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</si>
  <si>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</si>
  <si>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</si>
  <si>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</si>
  <si>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</si>
  <si>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</si>
  <si>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</si>
  <si>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</si>
  <si>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</si>
  <si>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</si>
  <si>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</si>
  <si>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</si>
  <si>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</si>
  <si>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</si>
  <si>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</si>
  <si>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</si>
  <si>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</si>
  <si>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</si>
  <si>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</si>
  <si>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</si>
  <si>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</si>
  <si>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</si>
  <si>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</si>
  <si>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</si>
  <si>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</si>
  <si>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</si>
  <si>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</si>
  <si>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</si>
  <si>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</si>
  <si>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</si>
  <si>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</si>
  <si>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</si>
  <si>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</si>
  <si>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</si>
  <si>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</si>
  <si>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</si>
  <si>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</si>
  <si>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</si>
  <si>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</si>
  <si>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</si>
  <si>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</si>
  <si>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</si>
  <si>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</si>
  <si>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</si>
  <si>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</si>
  <si>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</si>
  <si>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</si>
  <si>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</si>
  <si>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</si>
  <si>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</si>
  <si>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</si>
  <si>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</si>
  <si>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</si>
  <si>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</si>
  <si>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</si>
  <si>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</si>
  <si>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</si>
  <si>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</si>
  <si>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</si>
  <si>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</si>
  <si>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</si>
  <si>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</si>
  <si>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</si>
  <si>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</si>
  <si>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</si>
  <si>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</si>
  <si>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</si>
  <si>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</si>
  <si>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</si>
  <si>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</si>
  <si>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</si>
  <si>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</si>
  <si>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</si>
  <si>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</si>
  <si>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</si>
  <si>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</si>
  <si>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</si>
  <si>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</si>
  <si>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</si>
  <si>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</si>
  <si>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</si>
  <si>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</si>
  <si>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</si>
  <si>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</si>
  <si>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</si>
  <si>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</si>
  <si>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</si>
  <si>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</si>
  <si>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</si>
  <si>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</si>
  <si>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</si>
  <si>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</si>
  <si>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</si>
  <si>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</si>
  <si>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</si>
  <si>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</si>
  <si>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</si>
  <si>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</si>
  <si>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</si>
  <si>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</si>
  <si>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</si>
  <si>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</si>
  <si>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</si>
  <si>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</si>
  <si>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</si>
  <si>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</si>
  <si>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</si>
  <si>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</si>
  <si>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</si>
  <si>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</si>
  <si>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</si>
  <si>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</si>
  <si>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</si>
  <si>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</si>
  <si>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</si>
  <si>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</si>
  <si>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</si>
  <si>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</si>
  <si>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</si>
  <si>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</si>
  <si>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</si>
  <si>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</si>
  <si>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</si>
  <si>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</si>
  <si>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</si>
  <si>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</si>
  <si>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</si>
  <si>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</si>
  <si>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</si>
  <si>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</si>
  <si>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</si>
  <si>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</si>
  <si>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</si>
  <si>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</si>
  <si>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</si>
  <si>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</si>
  <si>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</si>
  <si>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</si>
  <si>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</si>
  <si>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</si>
  <si>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</si>
  <si>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</si>
  <si>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</si>
  <si>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</si>
  <si>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</si>
  <si>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</si>
  <si>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</si>
  <si>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</si>
  <si>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</si>
  <si>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</si>
  <si>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</si>
  <si>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</si>
  <si>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</si>
  <si>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</si>
  <si>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</si>
  <si>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</si>
  <si>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</si>
  <si>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</si>
  <si>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</si>
  <si>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</si>
  <si>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</si>
  <si>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</si>
  <si>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</si>
  <si>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</si>
  <si>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</si>
  <si>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</si>
  <si>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</si>
  <si>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</si>
  <si>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</si>
  <si>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</si>
  <si>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</si>
  <si>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</si>
  <si>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</si>
  <si>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</si>
  <si>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</si>
  <si>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</si>
  <si>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</si>
  <si>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</si>
  <si>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</si>
  <si>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</si>
  <si>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</si>
  <si>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</si>
  <si>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</si>
  <si>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</si>
  <si>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</si>
  <si>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</si>
  <si>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</si>
  <si>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</si>
  <si>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</si>
  <si>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</si>
  <si>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</si>
  <si>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</si>
  <si>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</si>
  <si>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</si>
  <si>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</si>
  <si>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</si>
  <si>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</si>
  <si>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</si>
  <si>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</si>
  <si>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</si>
  <si>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</si>
  <si>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</si>
  <si>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</si>
  <si>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</si>
  <si>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</si>
  <si>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</si>
  <si>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</si>
  <si>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</si>
  <si>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</si>
  <si>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</si>
  <si>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</si>
  <si>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</si>
  <si>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</si>
  <si>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</si>
  <si>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</si>
  <si>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</si>
  <si>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</si>
  <si>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</si>
  <si>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</si>
  <si>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</si>
  <si>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</si>
  <si>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</si>
  <si>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</si>
  <si>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</si>
  <si>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</si>
  <si>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</si>
  <si>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</si>
  <si>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</si>
  <si>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</si>
  <si>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</si>
  <si>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</si>
  <si>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</si>
  <si>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</si>
  <si>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</si>
  <si>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</si>
  <si>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</si>
  <si>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</si>
  <si>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</si>
  <si>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</si>
  <si>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</si>
  <si>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</si>
  <si>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</si>
  <si>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</si>
  <si>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</si>
  <si>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</si>
  <si>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</si>
  <si>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</si>
  <si>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</si>
  <si>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</si>
  <si>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</si>
  <si>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</si>
  <si>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</si>
  <si>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</si>
  <si>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</si>
  <si>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</si>
  <si>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</si>
  <si>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</si>
  <si>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</si>
  <si>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</si>
  <si>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</si>
  <si>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</si>
  <si>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</si>
  <si>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</si>
  <si>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</si>
  <si>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</si>
  <si>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</si>
  <si>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</si>
  <si>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</si>
  <si>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</si>
  <si>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</si>
  <si>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</si>
  <si>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</si>
  <si>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</si>
  <si>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</si>
  <si>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</si>
  <si>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</si>
  <si>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</si>
  <si>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</si>
  <si>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</si>
  <si>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</si>
  <si>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</si>
  <si>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</si>
  <si>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</si>
  <si>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</si>
  <si>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</si>
  <si>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</si>
  <si>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</si>
  <si>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</si>
  <si>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</si>
  <si>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</si>
  <si>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</si>
  <si>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</si>
  <si>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</si>
  <si>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</si>
  <si>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</si>
  <si>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</si>
  <si>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</si>
  <si>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</si>
  <si>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</si>
  <si>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</si>
  <si>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</si>
  <si>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</si>
  <si>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</si>
  <si>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</si>
  <si>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</si>
  <si>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</si>
  <si>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</si>
  <si>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</si>
  <si>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</si>
  <si>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</si>
  <si>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</si>
  <si>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</si>
  <si>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</si>
  <si>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</si>
  <si>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</si>
  <si>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</si>
  <si>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</si>
  <si>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</si>
  <si>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</si>
  <si>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</si>
  <si>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</si>
  <si>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</si>
  <si>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</si>
  <si>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</si>
  <si>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</si>
  <si>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</si>
  <si>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</si>
  <si>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</si>
  <si>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</si>
  <si>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</si>
  <si>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</si>
  <si>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</si>
  <si>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</si>
  <si>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</si>
  <si>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</si>
  <si>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</si>
  <si>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</si>
  <si>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</si>
  <si>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</si>
  <si>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</si>
  <si>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</si>
  <si>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</si>
  <si>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</si>
  <si>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</si>
  <si>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</si>
  <si>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</si>
  <si>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</si>
  <si>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</si>
  <si>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</si>
  <si>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</si>
  <si>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</si>
  <si>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</si>
  <si>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</si>
  <si>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</si>
  <si>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</si>
  <si>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</si>
  <si>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</si>
  <si>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</si>
  <si>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</si>
  <si>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</si>
  <si>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</si>
  <si>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</si>
  <si>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</si>
  <si>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</si>
  <si>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</si>
  <si>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</si>
  <si>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</si>
  <si>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</si>
  <si>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</si>
  <si>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</si>
  <si>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</si>
  <si>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</si>
  <si>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</si>
  <si>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</si>
  <si>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</si>
  <si>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</si>
  <si>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</si>
  <si>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</si>
  <si>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</si>
  <si>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</si>
  <si>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</si>
  <si>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</si>
  <si>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</si>
  <si>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</si>
  <si>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</si>
  <si>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</si>
  <si>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</si>
  <si>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</si>
  <si>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</si>
  <si>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</si>
  <si>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</si>
  <si>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</si>
  <si>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</si>
  <si>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</si>
  <si>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</si>
  <si>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</si>
  <si>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</si>
  <si>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</si>
  <si>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</si>
  <si>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</si>
  <si>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</si>
  <si>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</si>
  <si>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</si>
  <si>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</si>
  <si>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</si>
  <si>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</si>
  <si>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</si>
  <si>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</si>
  <si>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</si>
  <si>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</si>
  <si>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</si>
  <si>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</si>
  <si>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</si>
  <si>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</si>
  <si>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</si>
  <si>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</si>
  <si>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</si>
  <si>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</si>
  <si>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</si>
  <si>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</si>
  <si>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</si>
  <si>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</si>
  <si>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</si>
  <si>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</si>
  <si>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</si>
  <si>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</si>
  <si>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</si>
  <si>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</si>
  <si>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</si>
  <si>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</si>
  <si>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</si>
  <si>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</si>
  <si>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</si>
  <si>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</si>
  <si>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</si>
  <si>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</si>
  <si>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</si>
  <si>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</si>
  <si>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</si>
  <si>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</si>
  <si>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</si>
  <si>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</si>
  <si>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</si>
  <si>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</si>
  <si>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</si>
  <si>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</si>
  <si>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</si>
  <si>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</si>
  <si>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</si>
  <si>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</si>
  <si>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</si>
  <si>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</si>
  <si>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</si>
  <si>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</si>
  <si>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</si>
  <si>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</si>
  <si>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</si>
  <si>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</si>
  <si>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</si>
  <si>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</si>
  <si>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</si>
  <si>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</si>
  <si>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</si>
  <si>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</si>
  <si>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</si>
  <si>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</si>
  <si>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</si>
  <si>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</si>
  <si>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</si>
  <si>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</si>
  <si>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</si>
  <si>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</si>
  <si>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</si>
  <si>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</si>
  <si>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</si>
  <si>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</si>
  <si>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</si>
  <si>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</si>
  <si>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</si>
  <si>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</si>
  <si>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</si>
  <si>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</si>
  <si>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</si>
  <si>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</si>
  <si>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</si>
  <si>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</si>
  <si>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</si>
  <si>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</si>
  <si>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</si>
  <si>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</si>
  <si>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</si>
  <si>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</si>
  <si>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</si>
  <si>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</si>
  <si>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</si>
  <si>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</si>
  <si>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</si>
  <si>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</si>
  <si>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</si>
  <si>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</si>
  <si>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</si>
  <si>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</si>
  <si>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</si>
  <si>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</si>
  <si>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</si>
  <si>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</si>
  <si>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</si>
  <si>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</si>
  <si>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</si>
  <si>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</si>
  <si>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</si>
  <si>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</si>
  <si>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</si>
  <si>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</si>
  <si>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</si>
  <si>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</si>
  <si>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</si>
  <si>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</si>
  <si>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</si>
  <si>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</si>
  <si>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</si>
  <si>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</si>
  <si>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</si>
  <si>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</si>
  <si>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</si>
  <si>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</si>
  <si>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</si>
  <si>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</si>
  <si>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</si>
  <si>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</si>
  <si>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</si>
  <si>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</si>
  <si>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</si>
  <si>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</si>
  <si>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</si>
  <si>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</si>
  <si>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</si>
  <si>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</si>
  <si>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</si>
  <si>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</si>
  <si>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</si>
  <si>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</si>
  <si>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</si>
  <si>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</si>
  <si>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</si>
  <si>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</si>
  <si>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</si>
  <si>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</si>
  <si>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</si>
  <si>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</si>
  <si>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</si>
  <si>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</si>
  <si>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</si>
  <si>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</si>
  <si>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</si>
  <si>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</si>
  <si>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</si>
  <si>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</si>
  <si>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</si>
  <si>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</si>
  <si>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</si>
  <si>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</si>
  <si>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</si>
  <si>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</si>
  <si>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</si>
  <si>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</si>
  <si>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</si>
  <si>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</si>
  <si>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</si>
  <si>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</si>
  <si>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</si>
  <si>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</si>
  <si>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</si>
  <si>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</si>
  <si>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</si>
  <si>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</si>
  <si>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</si>
  <si>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</si>
  <si>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</si>
  <si>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</si>
  <si>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</si>
  <si>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</si>
  <si>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</si>
  <si>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</si>
  <si>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</si>
  <si>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</si>
  <si>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</si>
  <si>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</si>
  <si>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</si>
  <si>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</si>
  <si>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</si>
  <si>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</si>
  <si>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</si>
  <si>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</si>
  <si>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</si>
  <si>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</si>
  <si>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</si>
  <si>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</si>
  <si>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</si>
  <si>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</si>
  <si>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</si>
  <si>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</si>
  <si>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</si>
  <si>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</si>
  <si>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</si>
  <si>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</si>
  <si>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</si>
  <si>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</si>
  <si>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</si>
  <si>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</si>
  <si>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</si>
  <si>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</si>
  <si>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</si>
  <si>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</si>
  <si>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</si>
  <si>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</si>
  <si>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</si>
  <si>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</si>
  <si>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</si>
  <si>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</si>
  <si>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</si>
  <si>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</si>
  <si>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</si>
  <si>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</si>
  <si>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</si>
  <si>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</si>
  <si>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</si>
  <si>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</si>
  <si>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</si>
  <si>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</si>
  <si>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</si>
  <si>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</si>
  <si>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</si>
  <si>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</si>
  <si>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</si>
  <si>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</si>
  <si>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</si>
  <si>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</si>
  <si>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</si>
  <si>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</si>
  <si>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</si>
  <si>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</si>
  <si>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</si>
  <si>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</si>
  <si>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</si>
  <si>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</si>
  <si>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</si>
  <si>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</si>
  <si>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</si>
  <si>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</si>
  <si>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</si>
  <si>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</si>
  <si>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</si>
  <si>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</si>
  <si>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</si>
  <si>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</si>
  <si>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</si>
  <si>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</si>
  <si>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</si>
  <si>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</si>
  <si>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</si>
  <si>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</si>
  <si>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</si>
  <si>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</si>
  <si>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</si>
  <si>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</si>
  <si>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</si>
  <si>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</si>
  <si>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</si>
  <si>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</si>
  <si>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</si>
  <si>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</si>
  <si>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</si>
  <si>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</si>
  <si>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</si>
  <si>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</si>
  <si>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</si>
  <si>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</si>
  <si>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</si>
  <si>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</si>
  <si>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</si>
  <si>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</si>
  <si>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</si>
  <si>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</si>
  <si>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</si>
  <si>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</si>
  <si>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Yes</t>
  </si>
  <si>
    <t>79 characters (PEP 8 standard)</t>
  </si>
  <si>
    <t>If using default parameters, NEVER use mutable default arguments (e.g. default_list=[]); use None as default and initialize inside function.</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</si>
  <si>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</si>
  <si>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</si>
  <si>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</si>
  <si>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</si>
  <si>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</si>
  <si>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</si>
  <si>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</si>
  <si>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</si>
  <si>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</si>
  <si>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Basic primitive types (int, float, str, bool) or simple lists/dictionaries.</t>
  </si>
  <si>
    <t>print() statements with comma-separated values to display outputs clearly.</t>
  </si>
  <si>
    <t>Standard basic logic validation using native assert statements.</t>
  </si>
  <si>
    <t>visual block tags separating functional script sections (e.g., '# --- BLOQUE 1: [NAME] ---')</t>
  </si>
  <si>
    <t>Basic Python built-ins, primitive operators, and explicit type conversion.</t>
  </si>
  <si>
    <t>Enforce encoding='utf-8' and newline='' when handling files via open() with context managers or pathlib.Path.</t>
  </si>
  <si>
    <t>Environment variables via os.getenv() or python-dotenv may be used but bugs MUST exist ONLY in Python code logic, NEVER in .env files.</t>
  </si>
  <si>
    <t>Support files (.env, .env.example) MUST be provided BEFORE the broken code, fully correct, and contain NO bugs.</t>
  </si>
  <si>
    <t>All challenges MUST have similar complexity, length, and functional scope.</t>
  </si>
  <si>
    <t>Simulate a messy Python script. The project MUST contain EXACTLY 2–5 bugs mixing Syntax errors, Logic errors, and common Runtime Exceptions.</t>
  </si>
  <si>
    <t>1. Syntax &amp; Type Errors (e.g., indentation errors, typos, missing colons/brackets, TypeError, unhandled NoneType access),</t>
  </si>
  <si>
    <t>2. Logic Errors (e.g., incorrect calculations, faulty comparison operators, improper loop boundaries, wrong return values), AND</t>
  </si>
  <si>
    <t>3. Runtime Exceptions (e.g., KeyError, FileNotFoundError, ValueError in type casting, ZeroDivisionError, IndexError).</t>
  </si>
  <si>
    <t>Act as 'The Analytical Partner' (El Detective con Café). Translate machine tracebacks from bottom to top into plain human language. Enforce NO KEYBOARD rule in Phase 1.</t>
  </si>
  <si>
    <t>NEVER use mutable default arguments (e.g., default_list=[]); use None as default and initialize inside function.</t>
  </si>
  <si>
    <t>Require standard pip tooling and requirements.txt file for external dependencies when applicable.</t>
  </si>
  <si>
    <t>MUST be between 25–40 lines of EXECUTABLE base Python code (STRICT: Do NOT count comments or # TODO blocks).</t>
  </si>
  <si>
    <t>Clean, Pythonic, PEP 8 compliant code with 4-space indentation. Enforce Minimal Intervention Rule and NO KEYBOARD rule in Phase 1.</t>
  </si>
  <si>
    <t>Simple console output verification via standard print() statements.</t>
  </si>
  <si>
    <t>Act as 'The Logical Scaffold' (El Maestro de Obra). Focus on simple Data Gap Analysis (Point A -&gt; Point B -&gt; Point C) and structural code completion.</t>
  </si>
  <si>
    <t>reinventing native package features using raw Python code, manual boilerplate parsing, or ignoring the library's built-in helper functions and idioms</t>
  </si>
  <si>
    <t>official API design patterns, native objects, core helper modules, and idiomatic execution flows</t>
  </si>
  <si>
    <t>[EXECUTION_CALL_RULE]</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</si>
  <si>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</si>
  <si>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</si>
  <si>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[TESTING_FRAMEWORK_RULE]</t>
  </si>
  <si>
    <t>[DEPENDENCY_MANAGEMENT_RULE]</t>
  </si>
  <si>
    <t>[CORE_QUALITY_POLICY]</t>
  </si>
  <si>
    <t>Python OOP</t>
  </si>
  <si>
    <t>STRICT REQUIREMENT: Integrate custom class definitions ('class'), 'init' constructor methods, and instance methods in EVERY example.</t>
  </si>
  <si>
    <t>Advanced OOP: Inheritance, method overriding, custom dunder methods ('str', 'repr', 'len'), property decorators (@property), and class/static methods.</t>
  </si>
  <si>
    <t>comprehensive docstrings using triple quotes ('3xquotes') explaining class attributes, method parameters, return types, and exceptions</t>
  </si>
  <si>
    <t>Expect clean class definitions, proper encapsulation, instance initialization via init, and correct use of self. Enforce basic OOP principles.</t>
  </si>
  <si>
    <t>Expect advanced OOP architecture using abstract base classes (abc.ABC), inheritance, polymorphism, custom exceptions, and composition over inheritance.</t>
  </si>
  <si>
    <t>Use PascalCase for Class names, snake_case for methods/attributes/variables, UPPER_CASE for constants, and snake_case for file names.</t>
  </si>
  <si>
    <t>Reject procedural scripts, loose functions outside classes, unencapsulated global state, or abusing static methods when instance state is needed.</t>
  </si>
  <si>
    <t>Validation using native assert statements or standard unittest.TestCase classes.</t>
  </si>
  <si>
    <t>Each challenge MUST include: EXACTLY 1 class definition, 1 init method, at least 1 instance method, and 1 class instantiation with method call.</t>
  </si>
  <si>
    <t>lines of EXECUTABLE broken Python code per challenge (STRICT: Do NOT count blank lines). All logic MUST be encapsulated inside class methods.</t>
  </si>
  <si>
    <t>Clean, Pythonic, PEP 8 compliant code, descriptive PascalCase class naming, 4-space indentation, and explicit Minimal Intervention Rule.</t>
  </si>
  <si>
    <t>For Beginner level, # TODO MUST be atomic (1-2 simple lines max, e.g., basic attribute assignment, primitive print call, or direct comparison). NO complex buffer redirections or string parsing.</t>
  </si>
  <si>
    <t>Class-based object architecture. Require at least 1 class with internal state management. Logic integration located exclusively inside # TODO blocks.</t>
  </si>
  <si>
    <t>Reject loose procedural code outside classes. Enforce explicit encapsulation (use private _attributes where appropriate) and correct self usage.</t>
  </si>
  <si>
    <t>Code MUST adhere strictly to PEP 8 guidelines. Use PascalCase for Classes, snake_case for methods/variables. Enforce solid OOP patterns: encapsulation, inheritance, and object composition.</t>
  </si>
  <si>
    <t>Code MUST adhere strictly to PEP 8 guidelines. Use PascalCase for Classes, snake_case for methods/variables. Enforce robust OOP architecture, design patterns (Factory, Strategy, Singleton), and abstract base classes using the abc module.</t>
  </si>
  <si>
    <t>Focus strictly on basic class definitions, the 'init' method, and simple object instantiation. DO NOT use flat linear scripts or procedural code outside of classes.</t>
  </si>
  <si>
    <t>Evaluate based on basic class instantiation, attribute assignment, and simple method calls. Do NOT expect advanced inheritance or decorators unless explicitly demanded.</t>
  </si>
  <si>
    <t>5–15 lines of EXECUTABLE base code. Code outside # TODO MUST be 100% valid and readable. All code MUST be encapsulated within a class structure; NEVER use flat linear scripts.</t>
  </si>
  <si>
    <t>Use primitives (int, float, str, bool) and flat lists/dicts. No deep nesting.</t>
  </si>
  <si>
    <t>Print intermediate and final results via standard print() using commas or formatted strings.</t>
  </si>
  <si>
    <t>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</si>
  <si>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t>
  </si>
  <si>
    <t>CustomTkinter</t>
  </si>
  <si>
    <t>Create a simple application lifecycle using import customtkinter as ctk, ctk.CTk(), app.mainloop(), and app.destroy().</t>
  </si>
  <si>
    <t>Application Root Initialization (Toolbox: import customtkinter as ctk, ctk.CTk(), app.mainloop(), app.destroy())</t>
  </si>
  <si>
    <t>Evaluate runtime updates and idle processing using app.update(), app.update_idletasks(), and app.quit().</t>
  </si>
  <si>
    <t>Lifecycle Execution Management (Toolbox: app.update(), app.update_idletasks(), app.quit())</t>
  </si>
  <si>
    <t>Assign window properties and constraints using app.title(), app.geometry(), app.resizable(), and app.iconbitmap().</t>
  </si>
  <si>
    <t>Primary Window Geometry &amp; Attributes (Toolbox: app.title(), app.geometry(), app.resizable(), app.iconbitmap())</t>
  </si>
  <si>
    <t>Configure global application styles using ctk.set_appearance_mode(), ctk.get_appearance_mode(), and ctk.set_default_color_theme().</t>
  </si>
  <si>
    <t>Appearance Modes &amp; System Styling (Toolbox: ctk.set_appearance_mode(), ctk.get_appearance_mode(), ctk.set_default_color_theme())</t>
  </si>
  <si>
    <t>Create an object-oriented window structure using class App(ctk.CTk):, super().init(), and self.mainloop().</t>
  </si>
  <si>
    <t>Class-Based Application Shell (Toolbox: class App(ctk.CTk):, super().init(), self.mainloop())</t>
  </si>
  <si>
    <t>Construct modular view containers using class View(ctk.CTkFrame):, super().init(master), and self.grid().</t>
  </si>
  <si>
    <t>Modular Container Frame Architecture (Toolbox: class View(ctk.CTkFrame):, super().init(master), self.grid())</t>
  </si>
  <si>
    <t>Instantiate reactive GUI variables using ctk.StringVar(), ctk.IntVar(), ctk.DoubleVar(), and ctk.BooleanVar().</t>
  </si>
  <si>
    <t>Control Variable Instantiation (Toolbox: ctk.StringVar(), ctk.IntVar(), ctk.DoubleVar(), ctk.BooleanVar())</t>
  </si>
  <si>
    <t>Develop a GUI configuration initializer consolidating window setup, theme settings, OOP shells, and basic reactive variables.</t>
  </si>
  <si>
    <t>Basic Application Shell and Theme Manager</t>
  </si>
  <si>
    <t>Evaluate variable modification and tracing using var.get(), var.set(), var.trace_add(), and var.trace_remove().</t>
  </si>
  <si>
    <t>Variable Mutation &amp; Event Observers (Toolbox: var.get(), var.set(), var.trace_add(), var.trace_remove())</t>
  </si>
  <si>
    <t>Create basic user interaction components using ctk.CTkLabel(), ctk.CTkButton(), and button.configure().</t>
  </si>
  <si>
    <t>Interactive Labels &amp; Action Buttons (Toolbox: ctk.CTkLabel(), ctk.CTkButton(), button.configure())</t>
  </si>
  <si>
    <t>Create text entry fields with validation logic using ctk.CTkEntry(), entry.get(), entry.delete(), and entry.insert().</t>
  </si>
  <si>
    <t>Text Entry &amp; Dynamic Input Validation (Toolbox: ctk.CTkEntry(), entry.get(), entry.delete(), entry.insert())</t>
  </si>
  <si>
    <t>Assign binary choices and state toggles using ctk.CTkCheckBox(), ctk.CTkRadioButton(), and ctk.CTkSwitch().</t>
  </si>
  <si>
    <t>Toggle &amp; Binary Controls (Toolbox: ctk.CTkCheckBox(), ctk.CTkRadioButton(), ctk.CTkSwitch())</t>
  </si>
  <si>
    <t>Evaluate continuous range values using ctk.CTkSlider(), ctk.CTkSegmentedButton(), and slider.get().</t>
  </si>
  <si>
    <t>Continuous Range &amp; Segmented Selection (Toolbox: ctk.CTkSlider(), ctk.CTkSegmentedButton(), slider.get())</t>
  </si>
  <si>
    <t>Create dropdown selection interfaces using ctk.CTkOptionMenu(), ctk.CTkComboBox(), menu.set(), and menu.get().</t>
  </si>
  <si>
    <t>Dropdown Menu Controls (Toolbox: ctk.CTkOptionMenu(), ctk.CTkComboBox(), menu.set(), menu.get())</t>
  </si>
  <si>
    <t>Prompt modal user input using ctk.CTkInputDialog(), dialog.get_input(), and dialog.configure().</t>
  </si>
  <si>
    <t>Native Modal Input Dialogs (Toolbox: ctk.CTkInputDialog(), dialog.get_input(), dialog.configure())</t>
  </si>
  <si>
    <t>Develop a interactive user survey form consolidating selection controls, entry fields, dropdowns, modal inputs, and variable tracing.</t>
  </si>
  <si>
    <t>User Registration and Preferences Survey</t>
  </si>
  <si>
    <t>Place UI elements in a grid matrix using widget.grid(), row, column, rowspan, and columnspan.</t>
  </si>
  <si>
    <t>Grid Positioning Mechanics (Toolbox: widget.grid(), row, column, rowspan, columnspan)</t>
  </si>
  <si>
    <t>Assign layout margins and alignment using padx, pady, ipadx, ipady, and sticky.</t>
  </si>
  <si>
    <t>Layout Spacing &amp; Sticky Alignment (Toolbox: padx, pady, ipadx, ipady, sticky)</t>
  </si>
  <si>
    <t>Configure responsive grid behaviors using grid_columnconfigure(), grid_rowconfigure(), weight, and minsize.</t>
  </si>
  <si>
    <t>Responsive Grid Weighting (Toolbox: grid_columnconfigure(), grid_rowconfigure(), weight, minsize)</t>
  </si>
  <si>
    <t>Evaluate dynamic view switching using frame.grid_forget(), frame.grid_remove(), and frame.tkraise().</t>
  </si>
  <si>
    <t>Dynamic Frame Detachment &amp; Stacking (Toolbox: frame.grid_forget(), frame.grid_remove(), frame.tkraise())</t>
  </si>
  <si>
    <t>Construct grouped containers using ctk.CTkFrame(), ctk.CTkScrollableFrame(), and frame.configure().</t>
  </si>
  <si>
    <t>Structural Frame Containers (Toolbox: ctk.CTkFrame(), ctk.CTkScrollableFrame(), frame.configure())</t>
  </si>
  <si>
    <t>Create multi-tab views using ctk.CTkTabview(), tabview.add(), tabview.tab(), and tabview.set().</t>
  </si>
  <si>
    <t>Multi-Tab Container Views (Toolbox: ctk.CTkTabview(), tabview.add(), tabview.tab(), tabview.set())</t>
  </si>
  <si>
    <t>Assign action callbacks using command=self.action, lambda: self.action(arg), and partial(self.action, arg).</t>
  </si>
  <si>
    <t>Event Callback Integration (Toolbox: command=self.action, lambda: self.action(arg), partial(self.action, arg))</t>
  </si>
  <si>
    <t>Develop a multi-tab dashboard interface consolidating responsive grid layouts, scrollable frames, frame switching, and event callbacks.</t>
  </si>
  <si>
    <t>Dynamic Dashboard Navigation Layout</t>
  </si>
  <si>
    <t>Bind system and native user inputs using widget.bind(), widget.unbind(), and app.protocol("WM_DELETE_WINDOW", func).</t>
  </si>
  <si>
    <t>Native Event Binding &amp; Protocols (Toolbox: widget.bind(), widget.unbind(), app.protocol("WM_DELETE_WINDOW", func))</t>
  </si>
  <si>
    <t>Evaluate and modify element states at runtime using widget.cget(), widget.configure(), state="normal", and state="disabled".</t>
  </si>
  <si>
    <t>Attribute Inspection &amp; Runtime Mutation (Toolbox: widget.cget(), widget.configure(), state="normal", state="disabled")</t>
  </si>
  <si>
    <t>Update activity progression indicators using ctk.CTkProgressBar(), progress.set(), progress.start(), and progress.stop().</t>
  </si>
  <si>
    <t>Progress Tracking Mechanics (Toolbox: ctk.CTkProgressBar(), progress.set(), progress.start(), progress.stop())</t>
  </si>
  <si>
    <t>Manipulate complex text interfaces using ctk.CTkTextbox(), text.insert(), text.delete(), and text.see().</t>
  </si>
  <si>
    <t>Multiline Text Display Operations (Toolbox: ctk.CTkTextbox(), text.insert(), text.delete(), text.see())</t>
  </si>
  <si>
    <t>Render scalable image media using ctk.CTkImage(), light_image, dark_image, and size.</t>
  </si>
  <si>
    <t>High-DPI Image Rendering (Toolbox: ctk.CTkImage(), light_image, dark_image, size)</t>
  </si>
  <si>
    <t>Schedule asynchronous tasks using app.after(), app.after_cancel(), and app.after_idle().</t>
  </si>
  <si>
    <t>Queue Scheduling &amp; Delayed Execution (Toolbox: app.after(), app.after_cancel(), app.after_idle())</t>
  </si>
  <si>
    <t>Inspect and destroy UI elements dynamically using container.winfo_children(), widget.winfo_parent(), and widget.destroy().</t>
  </si>
  <si>
    <t>Programmatic Generation &amp; Hierarchy Inspection (Toolbox: container.winfo_children(), widget.winfo_parent(), widget.destroy())</t>
  </si>
  <si>
    <t>Develop a multi-media dynamic task runner consolidating image rendering, multiline text logs, progress tracking, scheduled execution, and programmatic widget cleanup.</t>
  </si>
  <si>
    <t>Asynchronous Media &amp; Task Runner Dashboard</t>
  </si>
  <si>
    <t>Requires customtkinter library. Standalone scripts must assume customtkinter is installed via pip.</t>
  </si>
  <si>
    <t>Requires 'customtkinter' as the core UI dependency across all topics.</t>
  </si>
  <si>
    <t>Instantiate root (root = ctk.CTk()), instantiate view class with root as master, attach at least 1 visible CTk widget, call grid()/pack(), and strictly end script with root.mainloop(). FORBIDDEN: omitting root.mainloop(), rendering empty frames without widgets, or using if __name__ == '__main__': boilerplate.</t>
  </si>
  <si>
    <t>Must include 'import customtkinter as ctk' on its own dedicated top-level line, separated by a newline from any class declaration.</t>
  </si>
  <si>
    <t>Strict limit of EXECUTABLE lines per example as specified in the topic metric (STRICT: exclude blank/comment lines). Code structure must fit completely within this 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</si>
</sst>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4">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zoomScale="85" zoomScaleNormal="85" workbookViewId="0">
      <selection activeCell="K28" sqref="K28"/>
    </sheetView>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OOP | [TASK] Teach and explain concepts clearly with correct code examples | [TOPIC] Create a simple application lifecycle using import customtkinter as ctk, ctk.CTk(), app.mainloop(), and app.destroy().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OOP | 📊 Level: Beginner | 🌐 Coding5s.com
**Concept:** Application Root Initialization (Toolbox: import customtkinter as ctk, ctk.CTk(), app.mainloop(), app.destroy())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748</v>
      </c>
      <c r="J2" s="16"/>
      <c r="K2" s="139" t="s">
        <v>9</v>
      </c>
      <c r="L2" s="140"/>
      <c r="M2" s="141"/>
      <c r="N2" s="140" t="s">
        <v>10</v>
      </c>
      <c r="O2" s="140"/>
      <c r="P2" s="140"/>
      <c r="Q2" s="142" t="s">
        <v>11</v>
      </c>
      <c r="R2" s="140"/>
      <c r="S2" s="143"/>
      <c r="T2" s="140" t="s">
        <v>12</v>
      </c>
      <c r="U2" s="140"/>
      <c r="V2" s="140"/>
      <c r="W2" s="142" t="s">
        <v>13</v>
      </c>
      <c r="X2" s="140"/>
      <c r="Y2" s="143"/>
      <c r="Z2" s="1"/>
      <c r="AA2" s="1"/>
      <c r="AB2" s="1"/>
      <c r="AC2" s="1"/>
      <c r="AD2" s="1"/>
      <c r="AE2" s="15"/>
      <c r="AF2" s="14"/>
      <c r="AG2" s="14"/>
      <c r="AH2" s="15"/>
      <c r="AI2" s="15"/>
      <c r="AJ2" s="15"/>
      <c r="AK2" s="15"/>
      <c r="AL2" s="15"/>
    </row>
    <row r="3" spans="1:39" ht="26.25">
      <c r="A3" s="1"/>
      <c r="B3" s="2"/>
      <c r="C3" s="96" t="str">
        <f>""</f>
        <v/>
      </c>
      <c r="D3" s="2"/>
      <c r="E3" s="100">
        <f>COUNTA(E9:E200)-E4</f>
        <v>2</v>
      </c>
      <c r="F3" s="97" t="s">
        <v>266</v>
      </c>
      <c r="G3" s="2"/>
      <c r="H3" s="2"/>
      <c r="I3" s="16" t="s">
        <v>772</v>
      </c>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30</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492</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672</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671</v>
      </c>
      <c r="L7" s="31" t="s">
        <v>671</v>
      </c>
      <c r="M7" s="38"/>
      <c r="N7" s="31" t="s">
        <v>671</v>
      </c>
      <c r="O7" s="31" t="s">
        <v>671</v>
      </c>
      <c r="P7" s="22"/>
      <c r="Q7" s="31" t="s">
        <v>671</v>
      </c>
      <c r="R7" s="31" t="s">
        <v>671</v>
      </c>
      <c r="S7" s="39"/>
      <c r="T7" s="31" t="s">
        <v>671</v>
      </c>
      <c r="U7" s="31" t="s">
        <v>671</v>
      </c>
      <c r="V7" s="22"/>
      <c r="W7" s="31" t="s">
        <v>671</v>
      </c>
      <c r="X7" s="31" t="s">
        <v>671</v>
      </c>
      <c r="Y7" s="39"/>
      <c r="Z7" s="31" t="s">
        <v>671</v>
      </c>
      <c r="AA7" s="31" t="s">
        <v>671</v>
      </c>
      <c r="AB7" s="31" t="s">
        <v>671</v>
      </c>
      <c r="AC7" s="31" t="s">
        <v>671</v>
      </c>
      <c r="AD7" s="31" t="s">
        <v>671</v>
      </c>
      <c r="AE7" s="35" t="str">
        <f>_xlfn.CONCAT(AH9:AH200)</f>
        <v/>
      </c>
      <c r="AF7" s="15"/>
      <c r="AG7" s="15"/>
      <c r="AH7" s="15"/>
      <c r="AI7" s="15" t="s">
        <v>224</v>
      </c>
      <c r="AJ7" s="15" t="s">
        <v>224</v>
      </c>
      <c r="AK7" s="138" t="s">
        <v>497</v>
      </c>
      <c r="AL7" s="138"/>
      <c r="AM7" s="138"/>
    </row>
    <row r="8" spans="1:39">
      <c r="A8" s="42" t="s">
        <v>19</v>
      </c>
      <c r="B8" s="43">
        <v>0</v>
      </c>
      <c r="C8" s="41" t="s">
        <v>18</v>
      </c>
      <c r="D8" s="43" t="s">
        <v>493</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494</v>
      </c>
      <c r="AF8" s="42" t="s">
        <v>495</v>
      </c>
      <c r="AG8" s="42" t="s">
        <v>496</v>
      </c>
      <c r="AH8" s="42" t="s">
        <v>42</v>
      </c>
      <c r="AI8" s="42" t="s">
        <v>43</v>
      </c>
      <c r="AJ8" s="42" t="s">
        <v>499</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10</v>
      </c>
      <c r="D9" s="46">
        <v>3</v>
      </c>
      <c r="E9" s="47" t="s">
        <v>46</v>
      </c>
      <c r="F9" s="48">
        <v>1</v>
      </c>
      <c r="G9" s="49" t="s">
        <v>47</v>
      </c>
      <c r="H9" s="49" t="s">
        <v>48</v>
      </c>
      <c r="I9" s="50" t="s">
        <v>773</v>
      </c>
      <c r="J9" s="51" t="s">
        <v>774</v>
      </c>
      <c r="K9" s="129" t="str">
        <f>IF(H9="Topic",
"[ROLE] Friendly tutor specializing in " &amp; $I$2 &amp; " | " &amp;
"[TOPIC] " &amp; I9 &amp; " | " &amp;
"[LEVEL] " &amp; G9 &amp; " | " &amp;
"[COUNT] " &amp; D9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strictly on basic class definitions, the 'init' method, and simple object instantiation. DO NOT use flat linear scripts or procedural code outside of classes.", IF(G9="Intermediate", "STRICT REQUIREMENT: Integrate custom class definitions ('class'), 'init' constructor methods, and instance methods in EVERY example.", "Advanced OOP: Inheritance, method overriding, custom dunder methods ('str', 'repr', 'len'), property decorators (@property), and class/static methods.")) &amp; " | " &amp;
_xlfn._LONGTEXT("[CODE_CONSTRAINTS_RULE]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 &amp;
"[I_O_PARADIGM] Basic primitive types (int, float, str, bool) or simple lists/dictionaries. - print() statements with comma-separated values to display outputs clearly. | " &amp;
"[INLINE_PACKAGE_MANAGER] Must include 'import customtkinter as ctk' on its own dedicated top-level line, separated by a newline from any class declaration.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OOP | [TOPIC] Create a simple application lifecycle using import customtkinter as ctk, ctk.CTk(), app.mainloop(), and app.destroy(). | [LEVEL] Beginner | [COUNT] 3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OOP - CustomTkinter | 📊 Level: Beginner | 🌐 Coding5s.com
**Concept:** Application Root Initialization (Toolbox: import customtkinter as ctk, ctk.CTk(), app.mainloop(), app.destroy())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 t="shared" ref="L9:L40" si="0">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class instantiation, attribute assignment, and simple method calls. Do NOT expect advanced inheritance or decorators unless explicitly demanded.", IF(G9="Intermediate", "Expect clean class definitions, proper encapsulation, instance initialization via init, and correct use of self. Enforce basic OOP principles.", "Expect advanced OOP architecture using abstract base classes (abc.ABC), inheritance, polymorphism, custom exceptions, and composition over inheritance.")) &amp; " | " &amp;
_xlfn._LONGTEXT("[CODE_QUALITY_POLICIES]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 simple application lifecycle using import customtkinter as ctk, ctk.CTk(), app.mainloop(), and app.destroy().. Topic details: Application Root Initialization (Toolbox: import customtkinter as ctk, ctk.CTk(), app.mainloop(), app.destroy())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OOP - CustomTkinter | 📊 Level: Beginner
**Topic:** Create a simple application lifecycle using import customtkinter as ctk, ctk.CTk(), app.mainloop(), and app.destroy().
---
 | [FOOTER RULE - STRICT] End your response with: '--- ⚡ *Coding5s Mentor System — Eliminating Epistemic Debt*' | </v>
      </c>
      <c r="M9" s="52">
        <v>0</v>
      </c>
      <c r="N9" s="102" t="str">
        <f t="shared" ref="N9:N40" si="1">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native assert statements or standard unittest.TestCase classes. | " &amp;
"[DEPENDENCY_MANAGEMENT_RULE] Requires customtkinter library. Standalone scripts must assume customtkinter is installed via pip. | " &amp;
"[CODE CONSTRAINTS] Each challenge MUST include: EXACTLY 1 class definition, 1 init method, at least 1 instance method, and 1 class instantiation with method call. - " &amp; IF(G9="Beginner", "5–15", IF(G9="Intermediate", "10–25", "15–35")) &amp; " lines of EXECUTABLE broken Python code per challenge (STRICT: Do NOT count blank lines). All logic MUST be encapsulated inside class methods.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OOP Developer | [TASK] Generate debugging challenges in Python OOP | | [TOPIC] Create a simple application lifecycle using import customtkinter as ctk, ctk.CTk(), app.mainloop(), and app.destroy(). | | [LEVEL] Beginner |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OOP - CustomTkinter | 📊 Level: Beginner | 🌐 Coding5s.com
Concept: Application Root Initialization (Toolbox: import customtkinter as ctk, ctk.CTk(), app.mainloop(), app.destroy())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 t="shared" ref="O9:O40" si="2">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 simple application lifecycle using import customtkinter as ctk, ctk.CTk(), app.mainloop(), and app.destroy().. Topic details: Application Root Initialization (Toolbox: import customtkinter as ctk, ctk.CTk(), app.mainloop(), app.destroy())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OOP - CustomTkinter | 📊 Level: Beginner
**Topic:** Create a simple application lifecycle using import customtkinter as ctk, ctk.CTk(), app.mainloop(), and app.destroy().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 t="shared" ref="Q9:Q40" si="3">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Requires 'customtkinter' as the core UI dependency across all topics. | " &amp;
"[TESTING_FRAMEWORK_PROTOCOL] Simple console output verification via standard print() statements. | " &amp;
"[CHALLENGE_CONSTRAINTS_POLICY] For Beginner level, # TODO MUST be atomic (1-2 simple lines max, e.g., basic attribute assignment, primitive print call, or direct comparison). NO complex buffer redirections or string parsing. - " &amp; IF(G9="Beginner","5–15", IF(G9="Intermediate","10–25","15–35")) &amp; " 5–15 lines of EXECUTABLE base code. Code outside # TODO MUST be 100% valid and readable. All code MUST be encapsulated within a class structure; NEVER use flat linear scripts.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OOP script challenges | [TOPIC] Create a simple application lifecycle using import customtkinter as ctk, ctk.CTk(), app.mainloop(), and app.destroy(). | [LEVEL] Beginner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OOP - CustomTkinter | 📊 Level: Beginner | 🌐 Coding5s.com
**Concept:** Application Root Initialization (Toolbox: import customtkinter as ctk, ctk.CTk(), app.mainloop(), app.destroy())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 simple application lifecycle using import customtkinter as ctk, ctk.CTk(), app.mainloop(), and app.destroy()..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 t="shared" ref="R9:R40" si="4">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 simple application lifecycle using import customtkinter as ctk, ctk.CTk(), app.mainloop(), and app.destroy().. Topic details: Application Root Initialization (Toolbox: import customtkinter as ctk, ctk.CTk(), app.mainloop(), app.destroy())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OOP - CustomTkinter | 📊 Level: Beginner
**Topic:** Create a simple application lifecycle using import customtkinter as ctk, ctk.CTk(), app.mainloop(), and app.destroy().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 t="shared" ref="T9:T40" si="5">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Create a simple application lifecycle using import customtkinter as ctk, ctk.CTk(), app.mainloop(), and app.destroy(). | [LEVEL] Beginner | [COUNT] 3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OOP - CustomTkinter | 📊 Level: Beginner | 🌐 Coding5s.com
**Concept:** Application Root Initialization (Toolbox: import customtkinter as ctk, ctk.CTk(), app.mainloop(), app.destroy())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 t="shared" ref="U9:U40" si="6">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"[PYTHON QUALITY RULE - STRICT] Code MUST adhere strictly to PEP 8 guidelines. Use PascalCase for Classes, snake_case for methods/variables. Enforce solid OOP patterns: encapsulation, inheritance, and object composition.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a simple application lifecycle using import customtkinter as ctk, ctk.CTk(), app.mainloop(), and app.destroy().. Topic details: Application Root Initialization (Toolbox: import customtkinter as ctk, ctk.CTk(), app.mainloop(), app.destroy())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OOP - CustomTkinter | 📊 Level: Beginner
**Topic:** Create a simple application lifecycle using import customtkinter as ctk, ctk.CTk(), app.mainloop(), and app.destroy().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 t="shared" ref="W9:W40" si="7">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OOP Jira Ticket | [TASK] Provide a guided implementation exercise with full solution for learning purposes | [TOPIC] Create a simple application lifecycle using import customtkinter as ctk, ctk.CTk(), app.mainloop(), and app.destroy().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OOP - CustomTkinter | 📊 Level: Beginner | 🌐 Coding5s.com
**Concept:** Application Root Initialization (Toolbox: import customtkinter as ctk, ctk.CTk(), app.mainloop(), app.destroy())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 t="shared" ref="X9:X40" si="8">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PascalCase for Classes, snake_case for methods/variables. Enforce robust OOP architecture, design patterns (Factory, Strategy, Singleton), and abstract base classes using the abc m","odule.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 simple application lifecycle using import customtkinter as ctk, ctk.CTk(), app.mainloop(), and app.destroy().. Goal: Application Root Initialization (Toolbox: import customtkinter as ctk, ctk.CTk(), app.mainloop(), app.destroy())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OOP - CustomTkinter | 📊 Level: Beginner
**Topic:** Create a simple application lifecycle using import customtkinter as ctk, ctk.CTk(), app.mainloop(), and app.destroy().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 t="shared" ref="Z9:Z40" si="9">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Must include 'import customtkinter as ctk' on a separate top-level line before any class declaration.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 t="shared" ref="AA9:AA40" si="10">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 t="shared" ref="AB9:AB40" si="11">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IF(G9="Beginner","25–40", IF(G9="Intermediate","30–60","40–100")) &amp; " Class-based object architecture. Require at least 1 class with internal state management. Logic integration located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 t="shared" ref="AC9:AC40" si="12">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 t="shared" ref="AD9:AD40" si="13">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14">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5">IF(H10="","",IF(AND(H10="Topic",H9="PROJECT"),B9+1,IF(H10="PROJECT",B9,IF(AND(H10="Topic",H9="Topic"),B9,B9+1))))</f>
        <v>1</v>
      </c>
      <c r="C10" s="95">
        <v>10</v>
      </c>
      <c r="D10" s="57">
        <v>3</v>
      </c>
      <c r="E10" s="58" t="s">
        <v>46</v>
      </c>
      <c r="F10" s="59">
        <v>2</v>
      </c>
      <c r="G10" s="60" t="s">
        <v>47</v>
      </c>
      <c r="H10" s="60" t="s">
        <v>48</v>
      </c>
      <c r="I10" s="61" t="s">
        <v>775</v>
      </c>
      <c r="J10" s="62" t="s">
        <v>776</v>
      </c>
      <c r="K10" s="129" t="str">
        <f t="shared" ref="K10:K73" si="16">IF(H10="Topic",
"[ROLE] Friendly tutor specializing in " &amp; $I$2 &amp; " | " &amp;
"[TOPIC] " &amp; I10 &amp; " | " &amp;
"[LEVEL] " &amp; G10 &amp; " | " &amp;
"[COUNT] " &amp; D10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strictly on basic class definitions, the 'init' method, and simple object instantiation. DO NOT use flat linear scripts or procedural code outside of classes.", IF(G10="Intermediate", "STRICT REQUIREMENT: Integrate custom class definitions ('class'), 'init' constructor methods, and instance methods in EVERY example.", "Advanced OOP: Inheritance, method overriding, custom dunder methods ('str', 'repr', 'len'), property decorators (@property), and class/static methods.")) &amp; " | " &amp;
_xlfn._LONGTEXT("[CODE_CONSTRAINTS_RULE]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 &amp;
"[I_O_PARADIGM] Basic primitive types (int, float, str, bool) or simple lists/dictionaries. - print() statements with comma-separated values to display outputs clearly. | " &amp;
"[INLINE_PACKAGE_MANAGER] Must include 'import customtkinter as ctk' on its own dedicated top-level line, separated by a newline from any class declaration.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OOP | [TOPIC] Evaluate runtime updates and idle processing using app.update(), app.update_idletasks(), and app.quit(). | [LEVEL] Beginner | [COUNT] 3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OOP - CustomTkinter | 📊 Level: Beginner | 🌐 Coding5s.com
**Concept:** Lifecycle Execution Management (Toolbox: app.update(), app.update_idletasks(), app.quit())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runtime updates and idle processing using app.update(), app.update_idletasks(), and app.quit().. Topic details: Lifecycle Execution Management (Toolbox: app.update(), app.update_idletasks(), app.quit())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OOP - CustomTkinter | 📊 Level: Beginner
**Topic:** Evaluate runtime updates and idle processing using app.update(), app.update_idletasks(), and app.quit().
---
 | [FOOTER RULE - STRICT] End your response with: '--- ⚡ *Coding5s Mentor System — Eliminating Epistemic Debt*' | </v>
      </c>
      <c r="M10" s="52">
        <v>0</v>
      </c>
      <c r="N10" s="102" t="str">
        <f t="shared" si="1"/>
        <v>[ROLE] Careless Python OOP Developer | [TASK] Generate debugging challenges in Python OOP | | [TOPIC] Evaluate runtime updates and idle processing using app.update(), app.update_idletasks(), and app.quit(). | | [LEVEL] Beginner |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OOP - CustomTkinter | 📊 Level: Beginner | 🌐 Coding5s.com
Concept: Lifecycle Execution Management (Toolbox: app.update(), app.update_idletasks(), app.quit())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runtime updates and idle processing using app.update(), app.update_idletasks(), and app.quit().. Topic details: Lifecycle Execution Management (Toolbox: app.update(), app.update_idletasks(), app.quit())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OOP - CustomTkinter | 📊 Level: Beginner
**Topic:** Evaluate runtime updates and idle processing using app.update(), app.update_idletasks(), and app.quit().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si="3"/>
        <v>[ROLE] Tech Lead | [TASK] Assign incomplete Python OOP script challenges | [TOPIC] Evaluate runtime updates and idle processing using app.update(), app.update_idletasks(), and app.quit(). | [LEVEL] Beginner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OOP - CustomTkinter | 📊 Level: Beginner | 🌐 Coding5s.com
**Concept:** Lifecycle Execution Management (Toolbox: app.update(), app.update_idletasks(), app.quit())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runtime updates and idle processing using app.update(), app.update_idletasks(), and app.quit()..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runtime updates and idle processing using app.update(), app.update_idletasks(), and app.quit().. Topic details: Lifecycle Execution Management (Toolbox: app.update(), app.update_idletasks(), app.quit())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OOP - CustomTkinter | 📊 Level: Beginner
**Topic:** Evaluate runtime updates and idle processing using app.update(), app.update_idletasks(), and app.quit().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si="5"/>
        <v>[ROLE] Tech Lead | [TASK] Provide intentionally messy but functional code for learning debugging and improvement | [TOPIC] Evaluate runtime updates and idle processing using app.update(), app.update_idletasks(), and app.quit(). | [LEVEL] Beginner | [COUNT] 3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OOP - CustomTkinter | 📊 Level: Beginner | 🌐 Coding5s.com
**Concept:** Lifecycle Execution Management (Toolbox: app.update(), app.update_idletasks(), app.quit())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Evaluate runtime updates and idle processing using app.update(), app.update_idletasks(), and app.quit().. Topic details: Lifecycle Execution Management (Toolbox: app.update(), app.update_idletasks(), app.quit())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OOP - CustomTkinter | 📊 Level: Beginner
**Topic:** Evaluate runtime updates and idle processing using app.update(), app.update_idletasks(), and app.quit().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si="7"/>
        <v>[ROLE] Tech Product Manager assigning a Python OOP Jira Ticket | [TASK] Provide a guided implementation exercise with full solution for learning purposes | [TOPIC] Evaluate runtime updates and idle processing using app.update(), app.update_idletasks(), and app.quit().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OOP - CustomTkinter | 📊 Level: Beginner | 🌐 Coding5s.com
**Concept:** Lifecycle Execution Management (Toolbox: app.update(), app.update_idletasks(), app.quit())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runtime updates and idle processing using app.update(), app.update_idletasks(), and app.quit().. Goal: Lifecycle Execution Management (Toolbox: app.update(), app.update_idletasks(), app.quit())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OOP - CustomTkinter | 📊 Level: Beginner
**Topic:** Evaluate runtime updates and idle processing using app.update(), app.update_idletasks(), and app.quit().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si="9"/>
        <v/>
      </c>
      <c r="AA10" s="56" t="str">
        <f t="shared" si="10"/>
        <v/>
      </c>
      <c r="AB10" s="56" t="str">
        <f t="shared" si="11"/>
        <v/>
      </c>
      <c r="AC10" s="56" t="str">
        <f t="shared" si="12"/>
        <v/>
      </c>
      <c r="AD10" s="56" t="str">
        <f t="shared" si="13"/>
        <v/>
      </c>
      <c r="AE10" s="55" t="s">
        <v>55</v>
      </c>
      <c r="AF10" s="55" t="s">
        <v>56</v>
      </c>
      <c r="AG10" s="55" t="s">
        <v>57</v>
      </c>
      <c r="AH10" s="56" t="str">
        <f t="shared" si="14"/>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5"/>
        <v>1</v>
      </c>
      <c r="C11" s="95">
        <v>10</v>
      </c>
      <c r="D11" s="46">
        <v>3</v>
      </c>
      <c r="E11" s="58" t="s">
        <v>46</v>
      </c>
      <c r="F11" s="48">
        <v>3</v>
      </c>
      <c r="G11" s="49" t="s">
        <v>47</v>
      </c>
      <c r="H11" s="49" t="s">
        <v>48</v>
      </c>
      <c r="I11" s="50" t="s">
        <v>777</v>
      </c>
      <c r="J11" s="51" t="s">
        <v>778</v>
      </c>
      <c r="K11" s="129" t="str">
        <f t="shared" si="16"/>
        <v xml:space="preserve">[ROLE] Friendly tutor specializing in Python OOP | [TOPIC] Assign window properties and constraints using app.title(), app.geometry(), app.resizable(), and app.iconbitmap(). | [LEVEL] Beginner | [COUNT] 3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OOP - CustomTkinter | 📊 Level: Beginner | 🌐 Coding5s.com
**Concept:** Primary Window Geometry &amp; Attributes (Toolbox: app.title(), app.geometry(), app.resizable(), app.iconbitmap())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window properties and constraints using app.title(), app.geometry(), app.resizable(), and app.iconbitmap().. Topic details: Primary Window Geometry &amp; Attributes (Toolbox: app.title(), app.geometry(), app.resizable(), app.iconbitmap())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OOP - CustomTkinter | 📊 Level: Beginner
**Topic:** Assign window properties and constraints using app.title(), app.geometry(), app.resizable(), and app.iconbitmap().
---
 | [FOOTER RULE - STRICT] End your response with: '--- ⚡ *Coding5s Mentor System — Eliminating Epistemic Debt*' | </v>
      </c>
      <c r="M11" s="52">
        <v>0</v>
      </c>
      <c r="N11" s="102" t="str">
        <f t="shared" si="1"/>
        <v>[ROLE] Careless Python OOP Developer | [TASK] Generate debugging challenges in Python OOP | | [TOPIC] Assign window properties and constraints using app.title(), app.geometry(), app.resizable(), and app.iconbitmap(). | | [LEVEL] Beginner |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OOP - CustomTkinter | 📊 Level: Beginner | 🌐 Coding5s.com
Concept: Primary Window Geometry &amp; Attributes (Toolbox: app.title(), app.geometry(), app.resizable(), app.iconbitmap())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window properties and constraints using app.title(), app.geometry(), app.resizable(), and app.iconbitmap().. Topic details: Primary Window Geometry &amp; Attributes (Toolbox: app.title(), app.geometry(), app.resizable(), app.iconbitmap())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OOP - CustomTkinter | 📊 Level: Beginner
**Topic:** Assign window properties and constraints using app.title(), app.geometry(), app.resizable(), and app.iconbitmap().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3"/>
        <v>[ROLE] Tech Lead | [TASK] Assign incomplete Python OOP script challenges | [TOPIC] Assign window properties and constraints using app.title(), app.geometry(), app.resizable(), and app.iconbitmap(). | [LEVEL] Beginner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OOP - CustomTkinter | 📊 Level: Beginner | 🌐 Coding5s.com
**Concept:** Primary Window Geometry &amp; Attributes (Toolbox: app.title(), app.geometry(), app.resizable(), app.iconbitmap())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window properties and constraints using app.title(), app.geometry(), app.resizable(), and app.iconbitmap()..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window properties and constraints using app.title(), app.geometry(), app.resizable(), and app.iconbitmap().. Topic details: Primary Window Geometry &amp; Attributes (Toolbox: app.title(), app.geometry(), app.resizable(), app.iconbitmap())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OOP - CustomTkinter | 📊 Level: Beginner
**Topic:** Assign window properties and constraints using app.title(), app.geometry(), app.resizable(), and app.iconbitmap().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5"/>
        <v>[ROLE] Tech Lead | [TASK] Provide intentionally messy but functional code for learning debugging and improvement | [TOPIC] Assign window properties and constraints using app.title(), app.geometry(), app.resizable(), and app.iconbitmap(). | [LEVEL] Beginner | [COUNT] 3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OOP - CustomTkinter | 📊 Level: Beginner | 🌐 Coding5s.com
**Concept:** Primary Window Geometry &amp; Attributes (Toolbox: app.title(), app.geometry(), app.resizable(), app.iconbitmap())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Assign window properties and constraints using app.title(), app.geometry(), app.resizable(), and app.iconbitmap().. Topic details: Primary Window Geometry &amp; Attributes (Toolbox: app.title(), app.geometry(), app.resizable(), app.iconbitmap())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OOP - CustomTkinter | 📊 Level: Beginner
**Topic:** Assign window properties and constraints using app.title(), app.geometry(), app.resizable(), and app.iconbitmap().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7"/>
        <v>[ROLE] Tech Product Manager assigning a Python OOP Jira Ticket | [TASK] Provide a guided implementation exercise with full solution for learning purposes | [TOPIC] Assign window properties and constraints using app.title(), app.geometry(), app.resizable(), and app.iconbitmap().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OOP - CustomTkinter | 📊 Level: Beginner | 🌐 Coding5s.com
**Concept:** Primary Window Geometry &amp; Attributes (Toolbox: app.title(), app.geometry(), app.resizable(), app.iconbitmap())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window properties and constraints using app.title(), app.geometry(), app.resizable(), and app.iconbitmap().. Goal: Primary Window Geometry &amp; Attributes (Toolbox: app.title(), app.geometry(), app.resizable(), app.iconbitmap())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OOP - CustomTkinter | 📊 Level: Beginner
**Topic:** Assign window properties and constraints using app.title(), app.geometry(), app.resizable(), and app.iconbitmap().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9"/>
        <v/>
      </c>
      <c r="AA11" s="56" t="str">
        <f t="shared" si="10"/>
        <v/>
      </c>
      <c r="AB11" s="56" t="str">
        <f t="shared" si="11"/>
        <v/>
      </c>
      <c r="AC11" s="56" t="str">
        <f t="shared" si="12"/>
        <v/>
      </c>
      <c r="AD11" s="56" t="str">
        <f t="shared" si="13"/>
        <v/>
      </c>
      <c r="AE11" s="55" t="s">
        <v>60</v>
      </c>
      <c r="AF11" s="55" t="s">
        <v>61</v>
      </c>
      <c r="AG11" s="55" t="s">
        <v>62</v>
      </c>
      <c r="AH11" s="56" t="str">
        <f t="shared" si="14"/>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5"/>
        <v>1</v>
      </c>
      <c r="C12" s="95">
        <v>10</v>
      </c>
      <c r="D12" s="57">
        <v>3</v>
      </c>
      <c r="E12" s="58" t="s">
        <v>46</v>
      </c>
      <c r="F12" s="59">
        <v>4</v>
      </c>
      <c r="G12" s="60" t="s">
        <v>47</v>
      </c>
      <c r="H12" s="60" t="s">
        <v>48</v>
      </c>
      <c r="I12" s="61" t="s">
        <v>779</v>
      </c>
      <c r="J12" s="62" t="s">
        <v>780</v>
      </c>
      <c r="K12" s="129" t="str">
        <f t="shared" si="16"/>
        <v xml:space="preserve">[ROLE] Friendly tutor specializing in Python OOP | [TOPIC] Configure global application styles using ctk.set_appearance_mode(), ctk.get_appearance_mode(), and ctk.set_default_color_theme(). | [LEVEL] Beginner | [COUNT] 3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OOP - CustomTkinter | 📊 Level: Beginner | 🌐 Coding5s.com
**Concept:** Appearance Modes &amp; System Styling (Toolbox: ctk.set_appearance_mode(), ctk.get_appearance_mode(), ctk.set_default_color_theme())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global application styles using ctk.set_appearance_mode(), ctk.get_appearance_mode(), and ctk.set_default_color_theme().. Topic details: Appearance Modes &amp; System Styling (Toolbox: ctk.set_appearance_mode(), ctk.get_appearance_mode(), ctk.set_default_color_theme())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OOP - CustomTkinter | 📊 Level: Beginner
**Topic:** Configure global application styles using ctk.set_appearance_mode(), ctk.get_appearance_mode(), and ctk.set_default_color_theme().
---
 | [FOOTER RULE - STRICT] End your response with: '--- ⚡ *Coding5s Mentor System — Eliminating Epistemic Debt*' | </v>
      </c>
      <c r="M12" s="52">
        <v>0</v>
      </c>
      <c r="N12" s="102" t="str">
        <f t="shared" si="1"/>
        <v>[ROLE] Careless Python OOP Developer | [TASK] Generate debugging challenges in Python OOP | | [TOPIC] Configure global application styles using ctk.set_appearance_mode(), ctk.get_appearance_mode(), and ctk.set_default_color_theme(). | | [LEVEL] Beginner |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OOP - CustomTkinter | 📊 Level: Beginner | 🌐 Coding5s.com
Concept: Appearance Modes &amp; System Styling (Toolbox: ctk.set_appearance_mode(), ctk.get_appearance_mode(), ctk.set_default_color_theme())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global application styles using ctk.set_appearance_mode(), ctk.get_appearance_mode(), and ctk.set_default_color_theme().. Topic details: Appearance Modes &amp; System Styling (Toolbox: ctk.set_appearance_mode(), ctk.get_appearance_mode(), ctk.set_default_color_theme())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OOP - CustomTkinter | 📊 Level: Beginner
**Topic:** Configure global application styles using ctk.set_appearance_mode(), ctk.get_appearance_mode(), and ctk.set_default_color_theme().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3"/>
        <v>[ROLE] Tech Lead | [TASK] Assign incomplete Python OOP script challenges | [TOPIC] Configure global application styles using ctk.set_appearance_mode(), ctk.get_appearance_mode(), and ctk.set_default_color_theme(). | [LEVEL] Beginner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OOP - CustomTkinter | 📊 Level: Beginner | 🌐 Coding5s.com
**Concept:** Appearance Modes &amp; System Styling (Toolbox: ctk.set_appearance_mode(), ctk.get_appearance_mode(), ctk.set_default_color_theme())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global application styles using ctk.set_appearance_mode(), ctk.get_appearance_mode(), and ctk.set_default_color_theme()..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global application styles using ctk.set_appearance_mode(), ctk.get_appearance_mode(), and ctk.set_default_color_theme().. Topic details: Appearance Modes &amp; System Styling (Toolbox: ctk.set_appearance_mode(), ctk.get_appearance_mode(), ctk.set_default_color_theme())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OOP - CustomTkinter | 📊 Level: Beginner
**Topic:** Configure global application styles using ctk.set_appearance_mode(), ctk.get_appearance_mode(), and ctk.set_default_color_theme().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5"/>
        <v>[ROLE] Tech Lead | [TASK] Provide intentionally messy but functional code for learning debugging and improvement | [TOPIC] Configure global application styles using ctk.set_appearance_mode(), ctk.get_appearance_mode(), and ctk.set_default_color_theme(). | [LEVEL] Beginner | [COUNT] 3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OOP - CustomTkinter | 📊 Level: Beginner | 🌐 Coding5s.com
**Concept:** Appearance Modes &amp; System Styling (Toolbox: ctk.set_appearance_mode(), ctk.get_appearance_mode(), ctk.set_default_color_theme())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Configure global application styles using ctk.set_appearance_mode(), ctk.get_appearance_mode(), and ctk.set_default_color_theme().. Topic details: Appearance Modes &amp; System Styling (Toolbox: ctk.set_appearance_mode(), ctk.get_appearance_mode(), ctk.set_default_color_theme())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OOP - CustomTkinter | 📊 Level: Beginner
**Topic:** Configure global application styles using ctk.set_appearance_mode(), ctk.get_appearance_mode(), and ctk.set_default_color_theme().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7"/>
        <v>[ROLE] Tech Product Manager assigning a Python OOP Jira Ticket | [TASK] Provide a guided implementation exercise with full solution for learning purposes | [TOPIC] Configure global application styles using ctk.set_appearance_mode(), ctk.get_appearance_mode(), and ctk.set_default_color_theme().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OOP - CustomTkinter | 📊 Level: Beginner | 🌐 Coding5s.com
**Concept:** Appearance Modes &amp; System Styling (Toolbox: ctk.set_appearance_mode(), ctk.get_appearance_mode(), ctk.set_default_color_theme())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global application styles using ctk.set_appearance_mode(), ctk.get_appearance_mode(), and ctk.set_default_color_theme().. Goal: Appearance Modes &amp; System Styling (Toolbox: ctk.set_appearance_mode(), ctk.get_appearance_mode(), ctk.set_default_color_theme())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OOP - CustomTkinter | 📊 Level: Beginner
**Topic:** Configure global application styles using ctk.set_appearance_mode(), ctk.get_appearance_mode(), and ctk.set_default_color_theme().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9"/>
        <v/>
      </c>
      <c r="AA12" s="56" t="str">
        <f t="shared" si="10"/>
        <v/>
      </c>
      <c r="AB12" s="56" t="str">
        <f t="shared" si="11"/>
        <v/>
      </c>
      <c r="AC12" s="56" t="str">
        <f t="shared" si="12"/>
        <v/>
      </c>
      <c r="AD12" s="56" t="str">
        <f t="shared" si="13"/>
        <v/>
      </c>
      <c r="AE12" s="55" t="s">
        <v>66</v>
      </c>
      <c r="AF12" s="55" t="s">
        <v>67</v>
      </c>
      <c r="AG12" s="55" t="s">
        <v>68</v>
      </c>
      <c r="AH12" s="56" t="str">
        <f t="shared" si="14"/>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5"/>
        <v>1</v>
      </c>
      <c r="C13" s="95">
        <v>18</v>
      </c>
      <c r="D13" s="46">
        <v>4</v>
      </c>
      <c r="E13" s="58" t="s">
        <v>46</v>
      </c>
      <c r="F13" s="48">
        <v>5</v>
      </c>
      <c r="G13" s="49" t="s">
        <v>158</v>
      </c>
      <c r="H13" s="49" t="s">
        <v>48</v>
      </c>
      <c r="I13" s="50" t="s">
        <v>781</v>
      </c>
      <c r="J13" s="51" t="s">
        <v>782</v>
      </c>
      <c r="K13" s="129" t="str">
        <f t="shared" si="16"/>
        <v xml:space="preserve">[ROLE] Friendly tutor specializing in Python OOP | [TOPIC] Create an object-oriented window structure using class App(ctk.CTk):, super().init(), and self.mainloop().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OOP - CustomTkinter | 📊 Level: Intermediate | 🌐 Coding5s.com
**Concept:** Class-Based Application Shell (Toolbox: class App(ctk.CTk):, super().init(), self.mainloop())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 object-oriented window structure using class App(ctk.CTk):, super().init(), and self.mainloop().. Topic details: Class-Based Application Shell (Toolbox: class App(ctk.CTk):, super().init(), self.mainloop())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OOP - CustomTkinter | 📊 Level: Intermediate
**Topic:** Create an object-oriented window structure using class App(ctk.CTk):, super().init(), and self.mainloop().
---
 | [FOOTER RULE - STRICT] End your response with: '--- ⚡ *Coding5s Mentor System — Eliminating Epistemic Debt*' | </v>
      </c>
      <c r="M13" s="52">
        <v>0</v>
      </c>
      <c r="N13" s="102" t="str">
        <f t="shared" si="1"/>
        <v>[ROLE] Careless Python OOP Developer | [TASK] Generate debugging challenges in Python OOP | | [TOPIC] Create an object-oriented window structure using class App(ctk.CTk):, super().init(), and self.mainloop().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OOP - CustomTkinter | 📊 Level: Intermediate | 🌐 Coding5s.com
Concept: Class-Based Application Shell (Toolbox: class App(ctk.CTk):, super().init(), self.mainloop())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 object-oriented window structure using class App(ctk.CTk):, super().init(), and self.mainloop().. Topic details: Class-Based Application Shell (Toolbox: class App(ctk.CTk):, super().init(), self.mainloop())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OOP - CustomTkinter | 📊 Level: Intermediate
**Topic:** Create an object-oriented window structure using class App(ctk.CTk):, super().init(), and self.mainloop().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3"/>
        <v>[ROLE] Tech Lead | [TASK] Assign incomplete Python OOP script challenges | [TOPIC] Create an object-oriented window structure using class App(ctk.CTk):, super().init(), and self.mainloop().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OOP - CustomTkinter | 📊 Level: Intermediate | 🌐 Coding5s.com
**Concept:** Class-Based Application Shell (Toolbox: class App(ctk.CTk):, super().init(), self.mainloop())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 object-oriented window structure using class App(ctk.CTk):, super().init(), and self.mainloop()..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 object-oriented window structure using class App(ctk.CTk):, super().init(), and self.mainloop().. Topic details: Class-Based Application Shell (Toolbox: class App(ctk.CTk):, super().init(), self.mainloop())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OOP - CustomTkinter | 📊 Level: Intermediate
**Topic:** Create an object-oriented window structure using class App(ctk.CTk):, super().init(), and self.mainloop().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5"/>
        <v>[ROLE] Tech Lead | [TASK] Provide intentionally messy but functional code for learning debugging and improvement | [TOPIC] Create an object-oriented window structure using class App(ctk.CTk):, super().init(), and self.mainloop().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OOP - CustomTkinter | 📊 Level: Intermediate | 🌐 Coding5s.com
**Concept:** Class-Based Application Shell (Toolbox: class App(ctk.CTk):, super().init(), self.mainloop())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an object-oriented window structure using class App(ctk.CTk):, super().init(), and self.mainloop().. Topic details: Class-Based Application Shell (Toolbox: class App(ctk.CTk):, super().init(), self.mainloop())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OOP - CustomTkinter | 📊 Level: Intermediate
**Topic:** Create an object-oriented window structure using class App(ctk.CTk):, super().init(), and self.mainloop().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7"/>
        <v>[ROLE] Tech Product Manager assigning a Python OOP Jira Ticket | [TASK] Provide a guided implementation exercise with full solution for learning purposes | [TOPIC] Create an object-oriented window structure using class App(ctk.CTk):, super().init(), and self.mainloop().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OOP - CustomTkinter | 📊 Level: Intermediate | 🌐 Coding5s.com
**Concept:** Class-Based Application Shell (Toolbox: class App(ctk.CTk):, super().init(), self.mainloop())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 object-oriented window structure using class App(ctk.CTk):, super().init(), and self.mainloop().. Goal: Class-Based Application Shell (Toolbox: class App(ctk.CTk):, super().init(), self.mainloop())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OOP - CustomTkinter | 📊 Level: Intermediate
**Topic:** Create an object-oriented window structure using class App(ctk.CTk):, super().init(), and self.mainloop().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9"/>
        <v/>
      </c>
      <c r="AA13" s="56" t="str">
        <f t="shared" si="10"/>
        <v/>
      </c>
      <c r="AB13" s="56" t="str">
        <f t="shared" si="11"/>
        <v/>
      </c>
      <c r="AC13" s="56" t="str">
        <f t="shared" si="12"/>
        <v/>
      </c>
      <c r="AD13" s="56" t="str">
        <f t="shared" si="13"/>
        <v/>
      </c>
      <c r="AE13" s="40" t="s">
        <v>72</v>
      </c>
      <c r="AF13" s="40" t="s">
        <v>73</v>
      </c>
      <c r="AG13" s="40" t="s">
        <v>74</v>
      </c>
      <c r="AH13" s="56" t="str">
        <f t="shared" si="14"/>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5"/>
        <v>1</v>
      </c>
      <c r="C14" s="95">
        <v>18</v>
      </c>
      <c r="D14" s="57">
        <v>4</v>
      </c>
      <c r="E14" s="58" t="s">
        <v>46</v>
      </c>
      <c r="F14" s="59">
        <v>6</v>
      </c>
      <c r="G14" s="60" t="s">
        <v>158</v>
      </c>
      <c r="H14" s="60" t="s">
        <v>48</v>
      </c>
      <c r="I14" s="61" t="s">
        <v>783</v>
      </c>
      <c r="J14" s="62" t="s">
        <v>784</v>
      </c>
      <c r="K14" s="129" t="str">
        <f t="shared" si="16"/>
        <v xml:space="preserve">[ROLE] Friendly tutor specializing in Python OOP | [TOPIC] Construct modular view containers using class View(ctk.CTkFrame):, super().init(master), and self.grid().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OOP - CustomTkinter | 📊 Level: Intermediate | 🌐 Coding5s.com
**Concept:** Modular Container Frame Architecture (Toolbox: class View(ctk.CTkFrame):, super().init(master), self.grid())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modular view containers using class View(ctk.CTkFrame):, super().init(master), and self.grid().. Topic details: Modular Container Frame Architecture (Toolbox: class View(ctk.CTkFrame):, super().init(master), self.grid())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OOP - CustomTkinter | 📊 Level: Intermediate
**Topic:** Construct modular view containers using class View(ctk.CTkFrame):, super().init(master), and self.grid().
---
 | [FOOTER RULE - STRICT] End your response with: '--- ⚡ *Coding5s Mentor System — Eliminating Epistemic Debt*' | </v>
      </c>
      <c r="M14" s="52">
        <v>0</v>
      </c>
      <c r="N14" s="102" t="str">
        <f t="shared" si="1"/>
        <v>[ROLE] Careless Python OOP Developer | [TASK] Generate debugging challenges in Python OOP | | [TOPIC] Construct modular view containers using class View(ctk.CTkFrame):, super().init(master), and self.grid().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OOP - CustomTkinter | 📊 Level: Intermediate | 🌐 Coding5s.com
Concept: Modular Container Frame Architecture (Toolbox: class View(ctk.CTkFrame):, super().init(master), self.grid())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modular view containers using class View(ctk.CTkFrame):, super().init(master), and self.grid().. Topic details: Modular Container Frame Architecture (Toolbox: class View(ctk.CTkFrame):, super().init(master), self.grid())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OOP - CustomTkinter | 📊 Level: Intermediate
**Topic:** Construct modular view containers using class View(ctk.CTkFrame):, super().init(master), and self.grid().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3"/>
        <v>[ROLE] Tech Lead | [TASK] Assign incomplete Python OOP script challenges | [TOPIC] Construct modular view containers using class View(ctk.CTkFrame):, super().init(master), and self.grid().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OOP - CustomTkinter | 📊 Level: Intermediate | 🌐 Coding5s.com
**Concept:** Modular Container Frame Architecture (Toolbox: class View(ctk.CTkFrame):, super().init(master), self.grid())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modular view containers using class View(ctk.CTkFrame):, super().init(master), and self.grid()..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modular view containers using class View(ctk.CTkFrame):, super().init(master), and self.grid().. Topic details: Modular Container Frame Architecture (Toolbox: class View(ctk.CTkFrame):, super().init(master), self.grid())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OOP - CustomTkinter | 📊 Level: Intermediate
**Topic:** Construct modular view containers using class View(ctk.CTkFrame):, super().init(master), and self.grid().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5"/>
        <v>[ROLE] Tech Lead | [TASK] Provide intentionally messy but functional code for learning debugging and improvement | [TOPIC] Construct modular view containers using class View(ctk.CTkFrame):, super().init(master), and self.grid().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OOP - CustomTkinter | 📊 Level: Intermediate | 🌐 Coding5s.com
**Concept:** Modular Container Frame Architecture (Toolbox: class View(ctk.CTkFrame):, super().init(master), self.grid())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modular view containers using class View(ctk.CTkFrame):, super().init(master), and self.grid().. Topic details: Modular Container Frame Architecture (Toolbox: class View(ctk.CTkFrame):, super().init(master), self.grid())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OOP - CustomTkinter | 📊 Level: Intermediate
**Topic:** Construct modular view containers using class View(ctk.CTkFrame):, super().init(master), and self.grid().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7"/>
        <v>[ROLE] Tech Product Manager assigning a Python OOP Jira Ticket | [TASK] Provide a guided implementation exercise with full solution for learning purposes | [TOPIC] Construct modular view containers using class View(ctk.CTkFrame):, super().init(master), and self.grid().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OOP - CustomTkinter | 📊 Level: Intermediate | 🌐 Coding5s.com
**Concept:** Modular Container Frame Architecture (Toolbox: class View(ctk.CTkFrame):, super().init(master), self.grid())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modular view containers using class View(ctk.CTkFrame):, super().init(master), and self.grid().. Goal: Modular Container Frame Architecture (Toolbox: class View(ctk.CTkFrame):, super().init(master), self.grid())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OOP - CustomTkinter | 📊 Level: Intermediate
**Topic:** Construct modular view containers using class View(ctk.CTkFrame):, super().init(master), and self.grid().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9"/>
        <v/>
      </c>
      <c r="AA14" s="56" t="str">
        <f t="shared" si="10"/>
        <v/>
      </c>
      <c r="AB14" s="56" t="str">
        <f t="shared" si="11"/>
        <v/>
      </c>
      <c r="AC14" s="56" t="str">
        <f t="shared" si="12"/>
        <v/>
      </c>
      <c r="AD14" s="56" t="str">
        <f t="shared" si="13"/>
        <v/>
      </c>
      <c r="AE14" s="40" t="s">
        <v>78</v>
      </c>
      <c r="AF14" s="40" t="s">
        <v>79</v>
      </c>
      <c r="AG14" s="40" t="s">
        <v>80</v>
      </c>
      <c r="AH14" s="56" t="str">
        <f t="shared" si="14"/>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5"/>
        <v>1</v>
      </c>
      <c r="C15" s="95">
        <v>10</v>
      </c>
      <c r="D15" s="46">
        <v>3</v>
      </c>
      <c r="E15" s="58" t="s">
        <v>46</v>
      </c>
      <c r="F15" s="48">
        <v>7</v>
      </c>
      <c r="G15" s="49" t="s">
        <v>47</v>
      </c>
      <c r="H15" s="49" t="s">
        <v>48</v>
      </c>
      <c r="I15" s="50" t="s">
        <v>785</v>
      </c>
      <c r="J15" s="51" t="s">
        <v>786</v>
      </c>
      <c r="K15" s="129" t="str">
        <f t="shared" si="16"/>
        <v xml:space="preserve">[ROLE] Friendly tutor specializing in Python OOP | [TOPIC] Instantiate reactive GUI variables using ctk.StringVar(), ctk.IntVar(), ctk.DoubleVar(), and ctk.BooleanVar(). | [LEVEL] Beginner | [COUNT] 3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OOP - CustomTkinter | 📊 Level: Beginner | 🌐 Coding5s.com
**Concept:** Control Variable Instantiation (Toolbox: ctk.StringVar(), ctk.IntVar(), ctk.DoubleVar(), ctk.BooleanVar())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Instantiate reactive GUI variables using ctk.StringVar(), ctk.IntVar(), ctk.DoubleVar(), and ctk.BooleanVar().. Topic details: Control Variable Instantiation (Toolbox: ctk.StringVar(), ctk.IntVar(), ctk.DoubleVar(), ctk.BooleanVar())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OOP - CustomTkinter | 📊 Level: Beginner
**Topic:** Instantiate reactive GUI variables using ctk.StringVar(), ctk.IntVar(), ctk.DoubleVar(), and ctk.BooleanVar().
---
 | [FOOTER RULE - STRICT] End your response with: '--- ⚡ *Coding5s Mentor System — Eliminating Epistemic Debt*' | </v>
      </c>
      <c r="M15" s="52">
        <v>0</v>
      </c>
      <c r="N15" s="102" t="str">
        <f t="shared" si="1"/>
        <v>[ROLE] Careless Python OOP Developer | [TASK] Generate debugging challenges in Python OOP | | [TOPIC] Instantiate reactive GUI variables using ctk.StringVar(), ctk.IntVar(), ctk.DoubleVar(), and ctk.BooleanVar(). | | [LEVEL] Beginner |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2 🐛 Debug | Python OOP - CustomTkinter | 📊 Level: Beginner | 🌐 Coding5s.com
Concept: Control Variable Instantiation (Toolbox: ctk.StringVar(), ctk.IntVar(), ctk.DoubleVar(), ctk.BooleanVar())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Instantiate reactive GUI variables using ctk.StringVar(), ctk.IntVar(), ctk.DoubleVar(), and ctk.BooleanVar().. Topic details: Control Variable Instantiation (Toolbox: ctk.StringVar(), ctk.IntVar(), ctk.DoubleVar(), ctk.BooleanVar())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OOP - CustomTkinter | 📊 Level: Beginner
**Topic:** Instantiate reactive GUI variables using ctk.StringVar(), ctk.IntVar(), ctk.DoubleVar(), and ctk.BooleanVar().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3"/>
        <v>[ROLE] Tech Lead | [TASK] Assign incomplete Python OOP script challenges | [TOPIC] Instantiate reactive GUI variables using ctk.StringVar(), ctk.IntVar(), ctk.DoubleVar(), and ctk.BooleanVar(). | [LEVEL] Beginner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3 🧩 Complete | Python OOP - CustomTkinter | 📊 Level: Beginner | 🌐 Coding5s.com
**Concept:** Control Variable Instantiation (Toolbox: ctk.StringVar(), ctk.IntVar(), ctk.DoubleVar(), ctk.BooleanVar())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Instantiate reactive GUI variables using ctk.StringVar(), ctk.IntVar(), ctk.DoubleVar(), and ctk.BooleanVar()..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Instantiate reactive GUI variables using ctk.StringVar(), ctk.IntVar(), ctk.DoubleVar(), and ctk.BooleanVar().. Topic details: Control Variable Instantiation (Toolbox: ctk.StringVar(), ctk.IntVar(), ctk.DoubleVar(), ctk.BooleanVar())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OOP - CustomTkinter | 📊 Level: Beginner
**Topic:** Instantiate reactive GUI variables using ctk.StringVar(), ctk.IntVar(), ctk.DoubleVar(), and ctk.BooleanVar().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5"/>
        <v>[ROLE] Tech Lead | [TASK] Provide intentionally messy but functional code for learning debugging and improvement | [TOPIC] Instantiate reactive GUI variables using ctk.StringVar(), ctk.IntVar(), ctk.DoubleVar(), and ctk.BooleanVar(). | [LEVEL] Beginner | [COUNT] 3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OOP - CustomTkinter | 📊 Level: Beginner | 🌐 Coding5s.com
**Concept:** Control Variable Instantiation (Toolbox: ctk.StringVar(), ctk.IntVar(), ctk.DoubleVar(), ctk.BooleanVar())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Instantiate reactive GUI variables using ctk.StringVar(), ctk.IntVar(), ctk.DoubleVar(), and ctk.BooleanVar().. Topic details: Control Variable Instantiation (Toolbox: ctk.StringVar(), ctk.IntVar(), ctk.DoubleVar(), ctk.BooleanVar())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OOP - CustomTkinter | 📊 Level: Beginner
**Topic:** Instantiate reactive GUI variables using ctk.StringVar(), ctk.IntVar(), ctk.DoubleVar(), and ctk.BooleanVar().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7"/>
        <v>[ROLE] Tech Product Manager assigning a Python OOP Jira Ticket | [TASK] Provide a guided implementation exercise with full solution for learning purposes | [TOPIC] Instantiate reactive GUI variables using ctk.StringVar(), ctk.IntVar(), ctk.DoubleVar(), and ctk.BooleanVar().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OOP - CustomTkinter | 📊 Level: Beginner | 🌐 Coding5s.com
**Concept:** Control Variable Instantiation (Toolbox: ctk.StringVar(), ctk.IntVar(), ctk.DoubleVar(), ctk.BooleanVar())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Instantiate reactive GUI variables using ctk.StringVar(), ctk.IntVar(), ctk.DoubleVar(), and ctk.BooleanVar().. Goal: Control Variable Instantiation (Toolbox: ctk.StringVar(), ctk.IntVar(), ctk.DoubleVar(), ctk.BooleanVar())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OOP - CustomTkinter | 📊 Level: Beginner
**Topic:** Instantiate reactive GUI variables using ctk.StringVar(), ctk.IntVar(), ctk.DoubleVar(), and ctk.BooleanVar().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9"/>
        <v/>
      </c>
      <c r="AA15" s="56" t="str">
        <f t="shared" si="10"/>
        <v/>
      </c>
      <c r="AB15" s="56" t="str">
        <f t="shared" si="11"/>
        <v/>
      </c>
      <c r="AC15" s="56" t="str">
        <f t="shared" si="12"/>
        <v/>
      </c>
      <c r="AD15" s="56" t="str">
        <f t="shared" si="13"/>
        <v/>
      </c>
      <c r="AE15" s="40" t="s">
        <v>83</v>
      </c>
      <c r="AF15" s="40" t="s">
        <v>84</v>
      </c>
      <c r="AG15" s="40" t="s">
        <v>85</v>
      </c>
      <c r="AH15" s="56" t="str">
        <f t="shared" si="14"/>
        <v/>
      </c>
      <c r="AI15" s="54"/>
      <c r="AJ15" s="54"/>
      <c r="AK15" s="54">
        <v>7</v>
      </c>
      <c r="AL15" s="54" t="s">
        <v>86</v>
      </c>
      <c r="AM15" s="54" t="s">
        <v>87</v>
      </c>
    </row>
    <row r="16" spans="1:39">
      <c r="A16" s="45" t="str" cm="1">
        <f t="array" ref="A16">IF(H16="PROJECT", CHAR(10) &amp; "- " &amp; _xlfn.TEXTJOIN(CHAR(10) &amp; "- ", TRUE, _xlfn._xlws.FILTER($I$9:$I$1000, ($B$9:$B$1000=B16) * ($H$9:$H$1000="Topic"))), "")</f>
        <v xml:space="preserve">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v>
      </c>
      <c r="B16" s="45">
        <f t="shared" si="15"/>
        <v>1</v>
      </c>
      <c r="C16" s="95">
        <v>30</v>
      </c>
      <c r="D16" s="57">
        <v>0</v>
      </c>
      <c r="E16" s="58" t="s">
        <v>46</v>
      </c>
      <c r="F16" s="59">
        <v>8</v>
      </c>
      <c r="G16" s="60" t="s">
        <v>47</v>
      </c>
      <c r="H16" s="60" t="s">
        <v>77</v>
      </c>
      <c r="I16" s="61" t="s">
        <v>787</v>
      </c>
      <c r="J16" s="62" t="s">
        <v>788</v>
      </c>
      <c r="K16" s="129" t="str">
        <f t="shared" si="16"/>
        <v>[TASK] Teach through a practical Python OOP - CustomTkinter project following the micro-learning methodology, acting as a supportive tutor, creating a project about  Develop a GUI configuration initializer consolidating window setup, theme settings, OOP shells, and basic reactive variables. | [TOPICS USED]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 [LEVEL] Beginner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Must include 'import customtkinter as ctk' on a separate top-level line before any class declaration.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Python OOP - CustomTkinter | 📊 Level: Beginner | 🌐 Coding5s.com
**Project:** Basic Application Shell and Theme Manager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GUI configuration initializer consolidating window setup, theme settings, OOP shells, and basic reactive variables.. Topics applied in this project: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Project objective: Basic Application Shell and Theme Manager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Python OOP - CustomTkinter | 📊 Level: Beginner
**Project:** Develop a GUI configuration initializer consolidating window setup, theme settings, OOP shells, and basic reactive variables.
---
 | [FOOTER RULE - STRICT] End your response with: '--- ⚡ *Coding5s Mentor System — Eliminating Epistemic Debt*' | </v>
      </c>
      <c r="M16" s="52">
        <v>0</v>
      </c>
      <c r="N16" s="102" t="str">
        <f t="shared" si="1"/>
        <v>[ROLE] Careless Python OOP Developer | [TASK] Generate debugging project in Python OOP | [PROJECT] Develop a GUI configuration initializer consolidating window setup, theme settings, OOP shells, and basic reactive variables. | [TOPICS USED]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 [LEVEL] Beginner | [OUTPUT] Only header, dataset summary or statement (if any), email intro, objective, expected output, broken code, and footer | [HEADER RULE - STRICT] You MUST start your entire response EXACTLY with this markdown block (do not print anything before it):
### 🚀 Project #8 | Stage 2 | Python OOP - CustomTkinter | 📊 Level: Beginner | 🌐 Coding5s.com
Project: Basic Application Shell and Theme Manager
---
 | [LIBRARY BEING LEARNED] CustomTkinter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GUI configuration initializer consolidating window setup, theme settings, OOP shells, and basic reactive variables.. Topics involved: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Project objective: Basic Application Shell and Theme Manager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Python OOP - CustomTkinter | 📊 Level: Beginner
**Project:** Develop a GUI configuration initializer consolidating window setup, theme settings, OOP shells, and basic reactive variables.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3"/>
        <v>[ROLE] Tech Lead | [TASK] Assign incomplete project script | [PROJECT] Develop a GUI configuration initializer consolidating window setup, theme settings, OOP shells, and basic reactive variables. | [TOPICS USED]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 [LEVEL] Beginner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Python OOP - CustomTkinter | 📊 Level: Beginner | 🌐 Coding5s.com
**Project:** Basic Application Shell and Theme Manager
---
 | [EXTERNAL_PACKAGE_PROTOCOL] Require standard pip tooling and requirements.txt file for external dependencies when applicable. | [CHALLENGE_CONSTRAINTS_POLICY] MUST be between 25–40 lines of EXECUTABLE base Python code (STRICT: Do NOT count comments or # TODO blocks). 25–40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GUI configuration initializer consolidating window setup, theme settings, OOP shells, and basic reactive variables.. Topics involved: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Project objective: Basic Application Shell and Theme Manager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Python OOP - CustomTkinter | 📊 Level: Beginner
**Project:** Develop a GUI configuration initializer consolidating window setup, theme settings, OOP shells, and basic reactive variables.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5"/>
        <v>[ROLE] Tech Lead | [TASK] Provide a messy but functional project for refactoring | [PROJECT] Develop a GUI configuration initializer consolidating window setup, theme settings, OOP shells, and basic reactive variables. | [TOPICS USED]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 [LEVEL] Beginner | [PERSONA RULE] Act as a Tech Lead. A junior wrote this working but messy code. Tone: professional but exhausted | [HEADER RULE - STRICT] You MUST start your entire response EXACTLY with this markdown block (do not print anything before it):
### 🚀 Project #8 | Stage 4 | Python OOP - CustomTkinter | 📊 Level: Beginner | 🌐 Coding5s.com
**Project:** Basic Application Shell and Theme Manager
---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GUI configuration initializer consolidating window setup, theme settings, OOP shells, and basic reactive variables.. Topics involved: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Project objective: Basic Application Shell and Theme 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Python OOP - CustomTkinter | 📊 Level: Beginner
**Project:** Develop a GUI configuration initializer consolidating window setup, theme settings, OOP shells, and basic reactive variables.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7"/>
        <v>[ROLE] Tech Product Manager assigning a Python OOP Jira Ticket | [TASK] Provide a guided project implementation with full solution | [PROJECT] Develop a GUI configuration initializer consolidating window setup, theme settings, OOP shells, and basic reactive variables. | [TOPICS USED]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 [LEVEL] Beginner | [PERSONA RULE] Act as a professional Tech Product Manager defining a project ticket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#8 | Stage 5 | Python OOP - CustomTkinter | 📊 Level: Beginner | 🌐 Coding5s.com
**Project:** Basic Application Shell and Theme Manager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GUI configuration initializer consolidating window setup, theme settings, OOP shells, and basic reactive variables.. Topics integrated: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Business Goal: Basic Application Shell and Theme Manager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Python OOP - CustomTkinter | 📊 Level: Beginner
**Project:** Develop a GUI configuration initializer consolidating window setup, theme settings, OOP shells, and basic reactive variables.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9"/>
        <v>[TASK] Teach through a practical Python OOP - CustomTkinter project following the micro-learning methodology, acting as a supportive tutor, creating a project about  Develop a GUI configuration initializer consolidating window setup, theme settings, OOP shells, and basic reactive variables. | [TOPICS USED]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 [LEVEL] Beginner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Must include 'import customtkinter as ctk' on a separate top-level line before any class declaration.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Python OOP - CustomTkinter | 📊 Level: Beginner | 🌐 Coding5s.com
**Project:** Basic Application Shell and Theme Manager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0"/>
        <v>[ROLE] Careless Python OOP Developer | [TASK] Generate debugging project in Python OOP | [PROJECT] Develop a GUI configuration initializer consolidating window setup, theme settings, OOP shells, and basic reactive variables. | [TOPICS USED]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 [LEVEL] Beginner | [OUTPUT] Only header, dataset summary or statement (if any), email intro, objective, expected output, broken code, and footer | [HEADER RULE - STRICT] You MUST start your entire response EXACTLY with this markdown block (do not print anything before it):
### 🚀 Project #8 | Stage 2 | Python OOP - CustomTkinter | 📊 Level: Beginner | 🌐 Coding5s.com
Project: Basic Application Shell and Theme Manager
---
 | [LIBRARY BEING LEARNED] CustomTkinter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1"/>
        <v>[ROLE] Tech Lead | [TASK] Assign incomplete project script | [PROJECT] Develop a GUI configuration initializer consolidating window setup, theme settings, OOP shells, and basic reactive variables. | [TOPICS USED]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 [LEVEL] Beginner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Python OOP - CustomTkinter | 📊 Level: Beginner | 🌐 Coding5s.com
**Project:** Basic Application Shell and Theme Manager
---
 | [EXTERNAL_PACKAGE_PROTOCOL] Require standard pip tooling and requirements.txt file for external dependencies when applicable. | [CHALLENGE_CONSTRAINTS_POLICY] MUST be between 25–40 lines of EXECUTABLE base Python code (STRICT: Do NOT count comments or # TODO blocks). 25–40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2"/>
        <v>[ROLE] Tech Lead | [TASK] Provide a messy but functional project for refactoring | [PROJECT] Develop a GUI configuration initializer consolidating window setup, theme settings, OOP shells, and basic reactive variables. | [TOPICS USED]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 [LEVEL] Beginner | [PERSONA RULE] Act as a Tech Lead. A junior wrote this working but messy code. Tone: professional but exhausted | [HEADER RULE - STRICT] You MUST start your entire response EXACTLY with this markdown block (do not print anything before it):
### 🚀 Project #8 | Stage 4 | Python OOP - CustomTkinter | 📊 Level: Beginner | 🌐 Coding5s.com
**Project:** Basic Application Shell and Theme Manager
---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3"/>
        <v>[ROLE] Tech Product Manager assigning a Python OOP Jira Ticket | [TASK] Provide a guided project implementation with full solution | [PROJECT] Develop a GUI configuration initializer consolidating window setup, theme settings, OOP shells, and basic reactive variables. | [TOPICS USED]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 [LEVEL] Beginner | [PERSONA RULE] Act as a professional Tech Product Manager defining a project ticket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#8 | Stage 5 | Python OOP - CustomTkinter | 📊 Level: Beginner | 🌐 Coding5s.com
**Project:** Basic Application Shell and Theme Manager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88</v>
      </c>
      <c r="AF16" s="40" t="s">
        <v>89</v>
      </c>
      <c r="AG16" s="40" t="s">
        <v>90</v>
      </c>
      <c r="AH16" s="56" t="str">
        <f t="shared" si="14"/>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5"/>
        <v>2</v>
      </c>
      <c r="C17" s="95">
        <v>12</v>
      </c>
      <c r="D17" s="46">
        <v>4</v>
      </c>
      <c r="E17" s="58" t="s">
        <v>46</v>
      </c>
      <c r="F17" s="48">
        <v>9</v>
      </c>
      <c r="G17" s="49" t="s">
        <v>158</v>
      </c>
      <c r="H17" s="49" t="s">
        <v>48</v>
      </c>
      <c r="I17" s="50" t="s">
        <v>789</v>
      </c>
      <c r="J17" s="51" t="s">
        <v>790</v>
      </c>
      <c r="K17" s="129" t="str">
        <f t="shared" si="16"/>
        <v xml:space="preserve">[ROLE] Friendly tutor specializing in Python OOP | [TOPIC] Evaluate variable modification and tracing using var.get(), var.set(), var.trace_add(), and var.trace_remove().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OOP - CustomTkinter | 📊 Level: Intermediate | 🌐 Coding5s.com
**Concept:** Variable Mutation &amp; Event Observers (Toolbox: var.get(), var.set(), var.trace_add(), var.trace_remove())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variable modification and tracing using var.get(), var.set(), var.trace_add(), and var.trace_remove().. Topic details: Variable Mutation &amp; Event Observers (Toolbox: var.get(), var.set(), var.trace_add(), var.trace_remove())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OOP - CustomTkinter | 📊 Level: Intermediate
**Topic:** Evaluate variable modification and tracing using var.get(), var.set(), var.trace_add(), and var.trace_remove().
---
 | [FOOTER RULE - STRICT] End your response with: '--- ⚡ *Coding5s Mentor System — Eliminating Epistemic Debt*' | </v>
      </c>
      <c r="M17" s="53">
        <v>0</v>
      </c>
      <c r="N17" s="102" t="str">
        <f t="shared" si="1"/>
        <v>[ROLE] Careless Python OOP Developer | [TASK] Generate debugging challenges in Python OOP | | [TOPIC] Evaluate variable modification and tracing using var.get(), var.set(), var.trace_add(), and var.trace_remove().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OOP - CustomTkinter | 📊 Level: Intermediate | 🌐 Coding5s.com
Concept: Variable Mutation &amp; Event Observers (Toolbox: var.get(), var.set(), var.trace_add(), var.trace_remove())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variable modification and tracing using var.get(), var.set(), var.trace_add(), and var.trace_remove().. Topic details: Variable Mutation &amp; Event Observers (Toolbox: var.get(), var.set(), var.trace_add(), var.trace_remove())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OOP - CustomTkinter | 📊 Level: Intermediate
**Topic:** Evaluate variable modification and tracing using var.get(), var.set(), var.trace_add(), and var.trace_remove().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3"/>
        <v>[ROLE] Tech Lead | [TASK] Assign incomplete Python OOP script challenges | [TOPIC] Evaluate variable modification and tracing using var.get(), var.set(), var.trace_add(), and var.trace_remove().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OOP - CustomTkinter | 📊 Level: Intermediate | 🌐 Coding5s.com
**Concept:** Variable Mutation &amp; Event Observers (Toolbox: var.get(), var.set(), var.trace_add(), var.trace_remove())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variable modification and tracing using var.get(), var.set(), var.trace_add(), and var.trace_remove()..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variable modification and tracing using var.get(), var.set(), var.trace_add(), and var.trace_remove().. Topic details: Variable Mutation &amp; Event Observers (Toolbox: var.get(), var.set(), var.trace_add(), var.trace_remove())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OOP - CustomTkinter | 📊 Level: Intermediate
**Topic:** Evaluate variable modification and tracing using var.get(), var.set(), var.trace_add(), and var.trace_remove().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5"/>
        <v>[ROLE] Tech Lead | [TASK] Provide intentionally messy but functional code for learning debugging and improvement | [TOPIC] Evaluate variable modification and tracing using var.get(), var.set(), var.trace_add(), and var.trace_remove().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OOP - CustomTkinter | 📊 Level: Intermediate | 🌐 Coding5s.com
**Concept:** Variable Mutation &amp; Event Observers (Toolbox: var.get(), var.set(), var.trace_add(), var.trace_remove())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Evaluate variable modification and tracing using var.get(), var.set(), var.trace_add(), and var.trace_remove().. Topic details: Variable Mutation &amp; Event Observers (Toolbox: var.get(), var.set(), var.trace_add(), var.trace_remove())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OOP - CustomTkinter | 📊 Level: Intermediate
**Topic:** Evaluate variable modification and tracing using var.get(), var.set(), var.trace_add(), and var.trace_remove().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7"/>
        <v>[ROLE] Tech Product Manager assigning a Python OOP Jira Ticket | [TASK] Provide a guided implementation exercise with full solution for learning purposes | [TOPIC] Evaluate variable modification and tracing using var.get(), var.set(), var.trace_add(), and var.trace_remove().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OOP - CustomTkinter | 📊 Level: Intermediate | 🌐 Coding5s.com
**Concept:** Variable Mutation &amp; Event Observers (Toolbox: var.get(), var.set(), var.trace_add(), var.trace_remove())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variable modification and tracing using var.get(), var.set(), var.trace_add(), and var.trace_remove().. Goal: Variable Mutation &amp; Event Observers (Toolbox: var.get(), var.set(), var.trace_add(), var.trace_remove())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OOP - CustomTkinter | 📊 Level: Intermediate
**Topic:** Evaluate variable modification and tracing using var.get(), var.set(), var.trace_add(), and var.trace_remove().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9"/>
        <v/>
      </c>
      <c r="AA17" s="56" t="str">
        <f t="shared" si="10"/>
        <v/>
      </c>
      <c r="AB17" s="56" t="str">
        <f t="shared" si="11"/>
        <v/>
      </c>
      <c r="AC17" s="56" t="str">
        <f t="shared" si="12"/>
        <v/>
      </c>
      <c r="AD17" s="56" t="str">
        <f t="shared" si="13"/>
        <v/>
      </c>
      <c r="AE17" s="40" t="s">
        <v>93</v>
      </c>
      <c r="AF17" s="40" t="s">
        <v>94</v>
      </c>
      <c r="AG17" s="40" t="s">
        <v>95</v>
      </c>
      <c r="AH17" s="56" t="str">
        <f t="shared" si="14"/>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5"/>
        <v>2</v>
      </c>
      <c r="C18" s="95">
        <v>12</v>
      </c>
      <c r="D18" s="57">
        <v>4</v>
      </c>
      <c r="E18" s="58" t="s">
        <v>46</v>
      </c>
      <c r="F18" s="59">
        <v>10</v>
      </c>
      <c r="G18" s="60" t="s">
        <v>47</v>
      </c>
      <c r="H18" s="60" t="s">
        <v>48</v>
      </c>
      <c r="I18" s="61" t="s">
        <v>791</v>
      </c>
      <c r="J18" s="62" t="s">
        <v>792</v>
      </c>
      <c r="K18" s="129" t="str">
        <f t="shared" si="16"/>
        <v xml:space="preserve">[ROLE] Friendly tutor specializing in Python OOP | [TOPIC] Create basic user interaction components using ctk.CTkLabel(), ctk.CTkButton(), and button.configure(). | [LEVEL] Beginner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OOP - CustomTkinter | 📊 Level: Beginner | 🌐 Coding5s.com
**Concept:** Interactive Labels &amp; Action Buttons (Toolbox: ctk.CTkLabel(), ctk.CTkButton(), button.configure())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basic user interaction components using ctk.CTkLabel(), ctk.CTkButton(), and button.configure().. Topic details: Interactive Labels &amp; Action Buttons (Toolbox: ctk.CTkLabel(), ctk.CTkButton(), button.configure())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OOP - CustomTkinter | 📊 Level: Beginner
**Topic:** Create basic user interaction components using ctk.CTkLabel(), ctk.CTkButton(), and button.configure().
---
 | [FOOTER RULE - STRICT] End your response with: '--- ⚡ *Coding5s Mentor System — Eliminating Epistemic Debt*' | </v>
      </c>
      <c r="M18" s="52">
        <v>0</v>
      </c>
      <c r="N18" s="102" t="str">
        <f t="shared" si="1"/>
        <v>[ROLE] Careless Python OOP Developer | [TASK] Generate debugging challenges in Python OOP | | [TOPIC] Create basic user interaction components using ctk.CTkLabel(), ctk.CTkButton(), and button.configure(). | | [LEVEL] Beginner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OOP - CustomTkinter | 📊 Level: Beginner | 🌐 Coding5s.com
Concept: Interactive Labels &amp; Action Buttons (Toolbox: ctk.CTkLabel(), ctk.CTkButton(), button.configure())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basic user interaction components using ctk.CTkLabel(), ctk.CTkButton(), and button.configure().. Topic details: Interactive Labels &amp; Action Buttons (Toolbox: ctk.CTkLabel(), ctk.CTkButton(), button.configure())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OOP - CustomTkinter | 📊 Level: Beginner
**Topic:** Create basic user interaction components using ctk.CTkLabel(), ctk.CTkButton(), and button.configure().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3"/>
        <v>[ROLE] Tech Lead | [TASK] Assign incomplete Python OOP script challenges | [TOPIC] Create basic user interaction components using ctk.CTkLabel(), ctk.CTkButton(), and button.configure(). | [LEVEL] Beginner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OOP - CustomTkinter | 📊 Level: Beginner | 🌐 Coding5s.com
**Concept:** Interactive Labels &amp; Action Buttons (Toolbox: ctk.CTkLabel(), ctk.CTkButton(), button.configure())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basic user interaction components using ctk.CTkLabel(), ctk.CTkButton(), and button.configure()..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basic user interaction components using ctk.CTkLabel(), ctk.CTkButton(), and button.configure().. Topic details: Interactive Labels &amp; Action Buttons (Toolbox: ctk.CTkLabel(), ctk.CTkButton(), button.configure())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OOP - CustomTkinter | 📊 Level: Beginner
**Topic:** Create basic user interaction components using ctk.CTkLabel(), ctk.CTkButton(), and button.configure().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5"/>
        <v>[ROLE] Tech Lead | [TASK] Provide intentionally messy but functional code for learning debugging and improvement | [TOPIC] Create basic user interaction components using ctk.CTkLabel(), ctk.CTkButton(), and button.configure(). | [LEVEL] Beginner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OOP - CustomTkinter | 📊 Level: Beginner | 🌐 Coding5s.com
**Concept:** Interactive Labels &amp; Action Buttons (Toolbox: ctk.CTkLabel(), ctk.CTkButton(), button.configure())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basic user interaction components using ctk.CTkLabel(), ctk.CTkButton(), and button.configure().. Topic details: Interactive Labels &amp; Action Buttons (Toolbox: ctk.CTkLabel(), ctk.CTkButton(), button.configure())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OOP - CustomTkinter | 📊 Level: Beginner
**Topic:** Create basic user interaction components using ctk.CTkLabel(), ctk.CTkButton(), and button.configure().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7"/>
        <v>[ROLE] Tech Product Manager assigning a Python OOP Jira Ticket | [TASK] Provide a guided implementation exercise with full solution for learning purposes | [TOPIC] Create basic user interaction components using ctk.CTkLabel(), ctk.CTkButton(), and button.configure().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OOP - CustomTkinter | 📊 Level: Beginner | 🌐 Coding5s.com
**Concept:** Interactive Labels &amp; Action Buttons (Toolbox: ctk.CTkLabel(), ctk.CTkButton(), button.configure())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basic user interaction components using ctk.CTkLabel(), ctk.CTkButton(), and button.configure().. Goal: Interactive Labels &amp; Action Buttons (Toolbox: ctk.CTkLabel(), ctk.CTkButton(), button.configure())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OOP - CustomTkinter | 📊 Level: Beginner
**Topic:** Create basic user interaction components using ctk.CTkLabel(), ctk.CTkButton(), and button.configure().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9"/>
        <v/>
      </c>
      <c r="AA18" s="56" t="str">
        <f t="shared" si="10"/>
        <v/>
      </c>
      <c r="AB18" s="56" t="str">
        <f t="shared" si="11"/>
        <v/>
      </c>
      <c r="AC18" s="56" t="str">
        <f t="shared" si="12"/>
        <v/>
      </c>
      <c r="AD18" s="56" t="str">
        <f t="shared" si="13"/>
        <v/>
      </c>
      <c r="AE18" s="40" t="s">
        <v>98</v>
      </c>
      <c r="AF18" s="40" t="s">
        <v>99</v>
      </c>
      <c r="AG18" s="40" t="s">
        <v>100</v>
      </c>
      <c r="AH18" s="56" t="str">
        <f t="shared" si="14"/>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5"/>
        <v>2</v>
      </c>
      <c r="C19" s="95">
        <v>12</v>
      </c>
      <c r="D19" s="46">
        <v>4</v>
      </c>
      <c r="E19" s="58" t="s">
        <v>46</v>
      </c>
      <c r="F19" s="48">
        <v>11</v>
      </c>
      <c r="G19" s="49" t="s">
        <v>47</v>
      </c>
      <c r="H19" s="49" t="s">
        <v>48</v>
      </c>
      <c r="I19" s="50" t="s">
        <v>793</v>
      </c>
      <c r="J19" s="51" t="s">
        <v>794</v>
      </c>
      <c r="K19" s="129" t="str">
        <f t="shared" si="16"/>
        <v xml:space="preserve">[ROLE] Friendly tutor specializing in Python OOP | [TOPIC] Create text entry fields with validation logic using ctk.CTkEntry(), entry.get(), entry.delete(), and entry.insert(). | [LEVEL] Beginner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OOP - CustomTkinter | 📊 Level: Beginner | 🌐 Coding5s.com
**Concept:** Text Entry &amp; Dynamic Input Validation (Toolbox: ctk.CTkEntry(), entry.get(), entry.delete(), entry.insert())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text entry fields with validation logic using ctk.CTkEntry(), entry.get(), entry.delete(), and entry.insert().. Topic details: Text Entry &amp; Dynamic Input Validation (Toolbox: ctk.CTkEntry(), entry.get(), entry.delete(), entry.insert())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OOP - CustomTkinter | 📊 Level: Beginner
**Topic:** Create text entry fields with validation logic using ctk.CTkEntry(), entry.get(), entry.delete(), and entry.insert().
---
 | [FOOTER RULE - STRICT] End your response with: '--- ⚡ *Coding5s Mentor System — Eliminating Epistemic Debt*' | </v>
      </c>
      <c r="M19" s="53">
        <v>0</v>
      </c>
      <c r="N19" s="102" t="str">
        <f t="shared" si="1"/>
        <v>[ROLE] Careless Python OOP Developer | [TASK] Generate debugging challenges in Python OOP | | [TOPIC] Create text entry fields with validation logic using ctk.CTkEntry(), entry.get(), entry.delete(), and entry.insert(). | | [LEVEL] Beginner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OOP - CustomTkinter | 📊 Level: Beginner | 🌐 Coding5s.com
Concept: Text Entry &amp; Dynamic Input Validation (Toolbox: ctk.CTkEntry(), entry.get(), entry.delete(), entry.insert())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text entry fields with validation logic using ctk.CTkEntry(), entry.get(), entry.delete(), and entry.insert().. Topic details: Text Entry &amp; Dynamic Input Validation (Toolbox: ctk.CTkEntry(), entry.get(), entry.delete(), entry.insert())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OOP - CustomTkinter | 📊 Level: Beginner
**Topic:** Create text entry fields with validation logic using ctk.CTkEntry(), entry.get(), entry.delete(), and entry.insert().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3"/>
        <v>[ROLE] Tech Lead | [TASK] Assign incomplete Python OOP script challenges | [TOPIC] Create text entry fields with validation logic using ctk.CTkEntry(), entry.get(), entry.delete(), and entry.insert(). | [LEVEL] Beginner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OOP - CustomTkinter | 📊 Level: Beginner | 🌐 Coding5s.com
**Concept:** Text Entry &amp; Dynamic Input Validation (Toolbox: ctk.CTkEntry(), entry.get(), entry.delete(), entry.insert())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text entry fields with validation logic using ctk.CTkEntry(), entry.get(), entry.delete(), and entry.insert()..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text entry fields with validation logic using ctk.CTkEntry(), entry.get(), entry.delete(), and entry.insert().. Topic details: Text Entry &amp; Dynamic Input Validation (Toolbox: ctk.CTkEntry(), entry.get(), entry.delete(), entry.insert())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OOP - CustomTkinter | 📊 Level: Beginner
**Topic:** Create text entry fields with validation logic using ctk.CTkEntry(), entry.get(), entry.delete(), and entry.insert().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5"/>
        <v>[ROLE] Tech Lead | [TASK] Provide intentionally messy but functional code for learning debugging and improvement | [TOPIC] Create text entry fields with validation logic using ctk.CTkEntry(), entry.get(), entry.delete(), and entry.insert(). | [LEVEL] Beginner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OOP - CustomTkinter | 📊 Level: Beginner | 🌐 Coding5s.com
**Concept:** Text Entry &amp; Dynamic Input Validation (Toolbox: ctk.CTkEntry(), entry.get(), entry.delete(), entry.insert())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text entry fields with validation logic using ctk.CTkEntry(), entry.get(), entry.delete(), and entry.insert().. Topic details: Text Entry &amp; Dynamic Input Validation (Toolbox: ctk.CTkEntry(), entry.get(), entry.delete(), entry.insert())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OOP - CustomTkinter | 📊 Level: Beginner
**Topic:** Create text entry fields with validation logic using ctk.CTkEntry(), entry.get(), entry.delete(), and entry.insert().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7"/>
        <v>[ROLE] Tech Product Manager assigning a Python OOP Jira Ticket | [TASK] Provide a guided implementation exercise with full solution for learning purposes | [TOPIC] Create text entry fields with validation logic using ctk.CTkEntry(), entry.get(), entry.delete(), and entry.insert().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OOP - CustomTkinter | 📊 Level: Beginner | 🌐 Coding5s.com
**Concept:** Text Entry &amp; Dynamic Input Validation (Toolbox: ctk.CTkEntry(), entry.get(), entry.delete(), entry.insert())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text entry fields with validation logic using ctk.CTkEntry(), entry.get(), entry.delete(), and entry.insert().. Goal: Text Entry &amp; Dynamic Input Validation (Toolbox: ctk.CTkEntry(), entry.get(), entry.delete(), entry.insert())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OOP - CustomTkinter | 📊 Level: Beginner
**Topic:** Create text entry fields with validation logic using ctk.CTkEntry(), entry.get(), entry.delete(), and entry.insert().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9"/>
        <v/>
      </c>
      <c r="AA19" s="56" t="str">
        <f t="shared" si="10"/>
        <v/>
      </c>
      <c r="AB19" s="56" t="str">
        <f t="shared" si="11"/>
        <v/>
      </c>
      <c r="AC19" s="56" t="str">
        <f t="shared" si="12"/>
        <v/>
      </c>
      <c r="AD19" s="56" t="str">
        <f t="shared" si="13"/>
        <v/>
      </c>
      <c r="AE19" s="40" t="s">
        <v>103</v>
      </c>
      <c r="AF19" s="40" t="s">
        <v>104</v>
      </c>
      <c r="AG19" s="40" t="s">
        <v>105</v>
      </c>
      <c r="AH19" s="56" t="str">
        <f t="shared" si="14"/>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5"/>
        <v>2</v>
      </c>
      <c r="C20" s="95">
        <v>12</v>
      </c>
      <c r="D20" s="57">
        <v>4</v>
      </c>
      <c r="E20" s="58" t="s">
        <v>46</v>
      </c>
      <c r="F20" s="59">
        <v>12</v>
      </c>
      <c r="G20" s="60" t="s">
        <v>47</v>
      </c>
      <c r="H20" s="60" t="s">
        <v>48</v>
      </c>
      <c r="I20" s="61" t="s">
        <v>795</v>
      </c>
      <c r="J20" s="62" t="s">
        <v>796</v>
      </c>
      <c r="K20" s="129" t="str">
        <f t="shared" si="16"/>
        <v xml:space="preserve">[ROLE] Friendly tutor specializing in Python OOP | [TOPIC] Assign binary choices and state toggles using ctk.CTkCheckBox(), ctk.CTkRadioButton(), and ctk.CTkSwitch(). | [LEVEL] Beginner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OOP - CustomTkinter | 📊 Level: Beginner | 🌐 Coding5s.com
**Concept:** Toggle &amp; Binary Controls (Toolbox: ctk.CTkCheckBox(), ctk.CTkRadioButton(), ctk.CTkSwitch())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binary choices and state toggles using ctk.CTkCheckBox(), ctk.CTkRadioButton(), and ctk.CTkSwitch().. Topic details: Toggle &amp; Binary Controls (Toolbox: ctk.CTkCheckBox(), ctk.CTkRadioButton(), ctk.CTkSwitch())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OOP - CustomTkinter | 📊 Level: Beginner
**Topic:** Assign binary choices and state toggles using ctk.CTkCheckBox(), ctk.CTkRadioButton(), and ctk.CTkSwitch().
---
 | [FOOTER RULE - STRICT] End your response with: '--- ⚡ *Coding5s Mentor System — Eliminating Epistemic Debt*' | </v>
      </c>
      <c r="M20" s="52">
        <v>0</v>
      </c>
      <c r="N20" s="102" t="str">
        <f t="shared" si="1"/>
        <v>[ROLE] Careless Python OOP Developer | [TASK] Generate debugging challenges in Python OOP | | [TOPIC] Assign binary choices and state toggles using ctk.CTkCheckBox(), ctk.CTkRadioButton(), and ctk.CTkSwitch(). | | [LEVEL] Beginner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OOP - CustomTkinter | 📊 Level: Beginner | 🌐 Coding5s.com
Concept: Toggle &amp; Binary Controls (Toolbox: ctk.CTkCheckBox(), ctk.CTkRadioButton(), ctk.CTkSwitch())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binary choices and state toggles using ctk.CTkCheckBox(), ctk.CTkRadioButton(), and ctk.CTkSwitch().. Topic details: Toggle &amp; Binary Controls (Toolbox: ctk.CTkCheckBox(), ctk.CTkRadioButton(), ctk.CTkSwitch())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OOP - CustomTkinter | 📊 Level: Beginner
**Topic:** Assign binary choices and state toggles using ctk.CTkCheckBox(), ctk.CTkRadioButton(), and ctk.CTkSwitch().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3"/>
        <v>[ROLE] Tech Lead | [TASK] Assign incomplete Python OOP script challenges | [TOPIC] Assign binary choices and state toggles using ctk.CTkCheckBox(), ctk.CTkRadioButton(), and ctk.CTkSwitch(). | [LEVEL] Beginner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OOP - CustomTkinter | 📊 Level: Beginner | 🌐 Coding5s.com
**Concept:** Toggle &amp; Binary Controls (Toolbox: ctk.CTkCheckBox(), ctk.CTkRadioButton(), ctk.CTkSwitch())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binary choices and state toggles using ctk.CTkCheckBox(), ctk.CTkRadioButton(), and ctk.CTkSwitch()..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binary choices and state toggles using ctk.CTkCheckBox(), ctk.CTkRadioButton(), and ctk.CTkSwitch().. Topic details: Toggle &amp; Binary Controls (Toolbox: ctk.CTkCheckBox(), ctk.CTkRadioButton(), ctk.CTkSwitch())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OOP - CustomTkinter | 📊 Level: Beginner
**Topic:** Assign binary choices and state toggles using ctk.CTkCheckBox(), ctk.CTkRadioButton(), and ctk.CTkSwitch().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5"/>
        <v>[ROLE] Tech Lead | [TASK] Provide intentionally messy but functional code for learning debugging and improvement | [TOPIC] Assign binary choices and state toggles using ctk.CTkCheckBox(), ctk.CTkRadioButton(), and ctk.CTkSwitch(). | [LEVEL] Beginner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OOP - CustomTkinter | 📊 Level: Beginner | 🌐 Coding5s.com
**Concept:** Toggle &amp; Binary Controls (Toolbox: ctk.CTkCheckBox(), ctk.CTkRadioButton(), ctk.CTkSwitch())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Assign binary choices and state toggles using ctk.CTkCheckBox(), ctk.CTkRadioButton(), and ctk.CTkSwitch().. Topic details: Toggle &amp; Binary Controls (Toolbox: ctk.CTkCheckBox(), ctk.CTkRadioButton(), ctk.CTkSwitch())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OOP - CustomTkinter | 📊 Level: Beginner
**Topic:** Assign binary choices and state toggles using ctk.CTkCheckBox(), ctk.CTkRadioButton(), and ctk.CTkSwitch().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7"/>
        <v>[ROLE] Tech Product Manager assigning a Python OOP Jira Ticket | [TASK] Provide a guided implementation exercise with full solution for learning purposes | [TOPIC] Assign binary choices and state toggles using ctk.CTkCheckBox(), ctk.CTkRadioButton(), and ctk.CTkSwitch().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OOP - CustomTkinter | 📊 Level: Beginner | 🌐 Coding5s.com
**Concept:** Toggle &amp; Binary Controls (Toolbox: ctk.CTkCheckBox(), ctk.CTkRadioButton(), ctk.CTkSwitch())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binary choices and state toggles using ctk.CTkCheckBox(), ctk.CTkRadioButton(), and ctk.CTkSwitch().. Goal: Toggle &amp; Binary Controls (Toolbox: ctk.CTkCheckBox(), ctk.CTkRadioButton(), ctk.CTkSwitch())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OOP - CustomTkinter | 📊 Level: Beginner
**Topic:** Assign binary choices and state toggles using ctk.CTkCheckBox(), ctk.CTkRadioButton(), and ctk.CTkSwitch().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9"/>
        <v/>
      </c>
      <c r="AA20" s="56" t="str">
        <f t="shared" si="10"/>
        <v/>
      </c>
      <c r="AB20" s="56" t="str">
        <f t="shared" si="11"/>
        <v/>
      </c>
      <c r="AC20" s="56" t="str">
        <f t="shared" si="12"/>
        <v/>
      </c>
      <c r="AD20" s="56" t="str">
        <f t="shared" si="13"/>
        <v/>
      </c>
      <c r="AE20" s="40" t="s">
        <v>108</v>
      </c>
      <c r="AF20" s="40" t="s">
        <v>109</v>
      </c>
      <c r="AG20" s="40" t="s">
        <v>110</v>
      </c>
      <c r="AH20" s="56" t="str">
        <f t="shared" si="14"/>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5"/>
        <v>2</v>
      </c>
      <c r="C21" s="95">
        <v>12</v>
      </c>
      <c r="D21" s="46">
        <v>4</v>
      </c>
      <c r="E21" s="58" t="s">
        <v>46</v>
      </c>
      <c r="F21" s="48">
        <v>13</v>
      </c>
      <c r="G21" s="49" t="s">
        <v>47</v>
      </c>
      <c r="H21" s="49" t="s">
        <v>48</v>
      </c>
      <c r="I21" s="50" t="s">
        <v>797</v>
      </c>
      <c r="J21" s="51" t="s">
        <v>798</v>
      </c>
      <c r="K21" s="129" t="str">
        <f t="shared" si="16"/>
        <v xml:space="preserve">[ROLE] Friendly tutor specializing in Python OOP | [TOPIC] Evaluate continuous range values using ctk.CTkSlider(), ctk.CTkSegmentedButton(), and slider.get(). | [LEVEL] Beginner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OOP - CustomTkinter | 📊 Level: Beginner | 🌐 Coding5s.com
**Concept:** Continuous Range &amp; Segmented Selection (Toolbox: ctk.CTkSlider(), ctk.CTkSegmentedButton(), slider.get())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continuous range values using ctk.CTkSlider(), ctk.CTkSegmentedButton(), and slider.get().. Topic details: Continuous Range &amp; Segmented Selection (Toolbox: ctk.CTkSlider(), ctk.CTkSegmentedButton(), slider.get())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OOP - CustomTkinter | 📊 Level: Beginner
**Topic:** Evaluate continuous range values using ctk.CTkSlider(), ctk.CTkSegmentedButton(), and slider.get().
---
 | [FOOTER RULE - STRICT] End your response with: '--- ⚡ *Coding5s Mentor System — Eliminating Epistemic Debt*' | </v>
      </c>
      <c r="M21" s="53">
        <v>0</v>
      </c>
      <c r="N21" s="102" t="str">
        <f t="shared" si="1"/>
        <v>[ROLE] Careless Python OOP Developer | [TASK] Generate debugging challenges in Python OOP | | [TOPIC] Evaluate continuous range values using ctk.CTkSlider(), ctk.CTkSegmentedButton(), and slider.get(). | | [LEVEL] Beginner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OOP - CustomTkinter | 📊 Level: Beginner | 🌐 Coding5s.com
Concept: Continuous Range &amp; Segmented Selection (Toolbox: ctk.CTkSlider(), ctk.CTkSegmentedButton(), slider.get())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continuous range values using ctk.CTkSlider(), ctk.CTkSegmentedButton(), and slider.get().. Topic details: Continuous Range &amp; Segmented Selection (Toolbox: ctk.CTkSlider(), ctk.CTkSegmentedButton(), slider.get())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OOP - CustomTkinter | 📊 Level: Beginner
**Topic:** Evaluate continuous range values using ctk.CTkSlider(), ctk.CTkSegmentedButton(), and slider.get().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3"/>
        <v>[ROLE] Tech Lead | [TASK] Assign incomplete Python OOP script challenges | [TOPIC] Evaluate continuous range values using ctk.CTkSlider(), ctk.CTkSegmentedButton(), and slider.get(). | [LEVEL] Beginner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OOP - CustomTkinter | 📊 Level: Beginner | 🌐 Coding5s.com
**Concept:** Continuous Range &amp; Segmented Selection (Toolbox: ctk.CTkSlider(), ctk.CTkSegmentedButton(), slider.get())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continuous range values using ctk.CTkSlider(), ctk.CTkSegmentedButton(), and slider.get()..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continuous range values using ctk.CTkSlider(), ctk.CTkSegmentedButton(), and slider.get().. Topic details: Continuous Range &amp; Segmented Selection (Toolbox: ctk.CTkSlider(), ctk.CTkSegmentedButton(), slider.get())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OOP - CustomTkinter | 📊 Level: Beginner
**Topic:** Evaluate continuous range values using ctk.CTkSlider(), ctk.CTkSegmentedButton(), and slider.get().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5"/>
        <v>[ROLE] Tech Lead | [TASK] Provide intentionally messy but functional code for learning debugging and improvement | [TOPIC] Evaluate continuous range values using ctk.CTkSlider(), ctk.CTkSegmentedButton(), and slider.get(). | [LEVEL] Beginner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OOP - CustomTkinter | 📊 Level: Beginner | 🌐 Coding5s.com
**Concept:** Continuous Range &amp; Segmented Selection (Toolbox: ctk.CTkSlider(), ctk.CTkSegmentedButton(), slider.get())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Evaluate continuous range values using ctk.CTkSlider(), ctk.CTkSegmentedButton(), and slider.get().. Topic details: Continuous Range &amp; Segmented Selection (Toolbox: ctk.CTkSlider(), ctk.CTkSegmentedButton(), slider.get())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OOP - CustomTkinter | 📊 Level: Beginner
**Topic:** Evaluate continuous range values using ctk.CTkSlider(), ctk.CTkSegmentedButton(), and slider.get().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7"/>
        <v>[ROLE] Tech Product Manager assigning a Python OOP Jira Ticket | [TASK] Provide a guided implementation exercise with full solution for learning purposes | [TOPIC] Evaluate continuous range values using ctk.CTkSlider(), ctk.CTkSegmentedButton(), and slider.get().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OOP - CustomTkinter | 📊 Level: Beginner | 🌐 Coding5s.com
**Concept:** Continuous Range &amp; Segmented Selection (Toolbox: ctk.CTkSlider(), ctk.CTkSegmentedButton(), slider.get())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continuous range values using ctk.CTkSlider(), ctk.CTkSegmentedButton(), and slider.get().. Goal: Continuous Range &amp; Segmented Selection (Toolbox: ctk.CTkSlider(), ctk.CTkSegmentedButton(), slider.get())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OOP - CustomTkinter | 📊 Level: Beginner
**Topic:** Evaluate continuous range values using ctk.CTkSlider(), ctk.CTkSegmentedButton(), and slider.get().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9"/>
        <v/>
      </c>
      <c r="AA21" s="56" t="str">
        <f t="shared" si="10"/>
        <v/>
      </c>
      <c r="AB21" s="56" t="str">
        <f t="shared" si="11"/>
        <v/>
      </c>
      <c r="AC21" s="56" t="str">
        <f t="shared" si="12"/>
        <v/>
      </c>
      <c r="AD21" s="56" t="str">
        <f t="shared" si="13"/>
        <v/>
      </c>
      <c r="AE21" s="40" t="s">
        <v>113</v>
      </c>
      <c r="AF21" s="40" t="s">
        <v>114</v>
      </c>
      <c r="AG21" s="40" t="s">
        <v>115</v>
      </c>
      <c r="AH21" s="56" t="str">
        <f t="shared" si="14"/>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5"/>
        <v>2</v>
      </c>
      <c r="C22" s="95">
        <v>12</v>
      </c>
      <c r="D22" s="57">
        <v>4</v>
      </c>
      <c r="E22" s="58" t="s">
        <v>46</v>
      </c>
      <c r="F22" s="59">
        <v>14</v>
      </c>
      <c r="G22" s="60" t="s">
        <v>47</v>
      </c>
      <c r="H22" s="60" t="s">
        <v>48</v>
      </c>
      <c r="I22" s="61" t="s">
        <v>799</v>
      </c>
      <c r="J22" s="62" t="s">
        <v>800</v>
      </c>
      <c r="K22" s="129" t="str">
        <f t="shared" si="16"/>
        <v xml:space="preserve">[ROLE] Friendly tutor specializing in Python OOP | [TOPIC] Create dropdown selection interfaces using ctk.CTkOptionMenu(), ctk.CTkComboBox(), menu.set(), and menu.get(). | [LEVEL] Beginner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OOP - CustomTkinter | 📊 Level: Beginner | 🌐 Coding5s.com
**Concept:** Dropdown Menu Controls (Toolbox: ctk.CTkOptionMenu(), ctk.CTkComboBox(), menu.set(), menu.get())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dropdown selection interfaces using ctk.CTkOptionMenu(), ctk.CTkComboBox(), menu.set(), and menu.get().. Topic details: Dropdown Menu Controls (Toolbox: ctk.CTkOptionMenu(), ctk.CTkComboBox(), menu.set(), menu.get())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OOP - CustomTkinter | 📊 Level: Beginner
**Topic:** Create dropdown selection interfaces using ctk.CTkOptionMenu(), ctk.CTkComboBox(), menu.set(), and menu.get().
---
 | [FOOTER RULE - STRICT] End your response with: '--- ⚡ *Coding5s Mentor System — Eliminating Epistemic Debt*' | </v>
      </c>
      <c r="M22" s="52">
        <v>0</v>
      </c>
      <c r="N22" s="102" t="str">
        <f t="shared" si="1"/>
        <v>[ROLE] Careless Python OOP Developer | [TASK] Generate debugging challenges in Python OOP | | [TOPIC] Create dropdown selection interfaces using ctk.CTkOptionMenu(), ctk.CTkComboBox(), menu.set(), and menu.get(). | | [LEVEL] Beginner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OOP - CustomTkinter | 📊 Level: Beginner | 🌐 Coding5s.com
Concept: Dropdown Menu Controls (Toolbox: ctk.CTkOptionMenu(), ctk.CTkComboBox(), menu.set(), menu.get())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dropdown selection interfaces using ctk.CTkOptionMenu(), ctk.CTkComboBox(), menu.set(), and menu.get().. Topic details: Dropdown Menu Controls (Toolbox: ctk.CTkOptionMenu(), ctk.CTkComboBox(), menu.set(), menu.get())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OOP - CustomTkinter | 📊 Level: Beginner
**Topic:** Create dropdown selection interfaces using ctk.CTkOptionMenu(), ctk.CTkComboBox(), menu.set(), and menu.get().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3"/>
        <v>[ROLE] Tech Lead | [TASK] Assign incomplete Python OOP script challenges | [TOPIC] Create dropdown selection interfaces using ctk.CTkOptionMenu(), ctk.CTkComboBox(), menu.set(), and menu.get(). | [LEVEL] Beginner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OOP - CustomTkinter | 📊 Level: Beginner | 🌐 Coding5s.com
**Concept:** Dropdown Menu Controls (Toolbox: ctk.CTkOptionMenu(), ctk.CTkComboBox(), menu.set(), menu.get())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dropdown selection interfaces using ctk.CTkOptionMenu(), ctk.CTkComboBox(), menu.set(), and menu.get()..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dropdown selection interfaces using ctk.CTkOptionMenu(), ctk.CTkComboBox(), menu.set(), and menu.get().. Topic details: Dropdown Menu Controls (Toolbox: ctk.CTkOptionMenu(), ctk.CTkComboBox(), menu.set(), menu.get())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OOP - CustomTkinter | 📊 Level: Beginner
**Topic:** Create dropdown selection interfaces using ctk.CTkOptionMenu(), ctk.CTkComboBox(), menu.set(), and menu.get().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5"/>
        <v>[ROLE] Tech Lead | [TASK] Provide intentionally messy but functional code for learning debugging and improvement | [TOPIC] Create dropdown selection interfaces using ctk.CTkOptionMenu(), ctk.CTkComboBox(), menu.set(), and menu.get(). | [LEVEL] Beginner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OOP - CustomTkinter | 📊 Level: Beginner | 🌐 Coding5s.com
**Concept:** Dropdown Menu Controls (Toolbox: ctk.CTkOptionMenu(), ctk.CTkComboBox(), menu.set(), menu.get())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dropdown selection interfaces using ctk.CTkOptionMenu(), ctk.CTkComboBox(), menu.set(), and menu.get().. Topic details: Dropdown Menu Controls (Toolbox: ctk.CTkOptionMenu(), ctk.CTkComboBox(), menu.set(), menu.get())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OOP - CustomTkinter | 📊 Level: Beginner
**Topic:** Create dropdown selection interfaces using ctk.CTkOptionMenu(), ctk.CTkComboBox(), menu.set(), and menu.get().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7"/>
        <v>[ROLE] Tech Product Manager assigning a Python OOP Jira Ticket | [TASK] Provide a guided implementation exercise with full solution for learning purposes | [TOPIC] Create dropdown selection interfaces using ctk.CTkOptionMenu(), ctk.CTkComboBox(), menu.set(), and menu.get().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OOP - CustomTkinter | 📊 Level: Beginner | 🌐 Coding5s.com
**Concept:** Dropdown Menu Controls (Toolbox: ctk.CTkOptionMenu(), ctk.CTkComboBox(), menu.set(), menu.get())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dropdown selection interfaces using ctk.CTkOptionMenu(), ctk.CTkComboBox(), menu.set(), and menu.get().. Goal: Dropdown Menu Controls (Toolbox: ctk.CTkOptionMenu(), ctk.CTkComboBox(), menu.set(), menu.get())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OOP - CustomTkinter | 📊 Level: Beginner
**Topic:** Create dropdown selection interfaces using ctk.CTkOptionMenu(), ctk.CTkComboBox(), menu.set(), and menu.get().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9"/>
        <v/>
      </c>
      <c r="AA22" s="56" t="str">
        <f t="shared" si="10"/>
        <v/>
      </c>
      <c r="AB22" s="56" t="str">
        <f t="shared" si="11"/>
        <v/>
      </c>
      <c r="AC22" s="56" t="str">
        <f t="shared" si="12"/>
        <v/>
      </c>
      <c r="AD22" s="56" t="str">
        <f t="shared" si="13"/>
        <v/>
      </c>
      <c r="AE22" s="40" t="s">
        <v>118</v>
      </c>
      <c r="AF22" s="40" t="s">
        <v>119</v>
      </c>
      <c r="AG22" s="40" t="s">
        <v>120</v>
      </c>
      <c r="AH22" s="56" t="str">
        <f t="shared" si="14"/>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5"/>
        <v>2</v>
      </c>
      <c r="C23" s="95">
        <v>15</v>
      </c>
      <c r="D23" s="46">
        <v>4</v>
      </c>
      <c r="E23" s="58" t="s">
        <v>46</v>
      </c>
      <c r="F23" s="48">
        <v>15</v>
      </c>
      <c r="G23" s="49" t="s">
        <v>158</v>
      </c>
      <c r="H23" s="49" t="s">
        <v>48</v>
      </c>
      <c r="I23" s="50" t="s">
        <v>801</v>
      </c>
      <c r="J23" s="51" t="s">
        <v>802</v>
      </c>
      <c r="K23" s="129" t="str">
        <f t="shared" si="16"/>
        <v xml:space="preserve">[ROLE] Friendly tutor specializing in Python OOP | [TOPIC] Prompt modal user input using ctk.CTkInputDialog(), dialog.get_input(), and dialog.configure().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OOP - CustomTkinter | 📊 Level: Intermediate | 🌐 Coding5s.com
**Concept:** Native Modal Input Dialogs (Toolbox: ctk.CTkInputDialog(), dialog.get_input(), dialog.configure())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Prompt modal user input using ctk.CTkInputDialog(), dialog.get_input(), and dialog.configure().. Topic details: Native Modal Input Dialogs (Toolbox: ctk.CTkInputDialog(), dialog.get_input(), dialog.configure())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OOP - CustomTkinter | 📊 Level: Intermediate
**Topic:** Prompt modal user input using ctk.CTkInputDialog(), dialog.get_input(), and dialog.configure().
---
 | [FOOTER RULE - STRICT] End your response with: '--- ⚡ *Coding5s Mentor System — Eliminating Epistemic Debt*' | </v>
      </c>
      <c r="M23" s="53">
        <v>0</v>
      </c>
      <c r="N23" s="102" t="str">
        <f t="shared" si="1"/>
        <v>[ROLE] Careless Python OOP Developer | [TASK] Generate debugging challenges in Python OOP | | [TOPIC] Prompt modal user input using ctk.CTkInputDialog(), dialog.get_input(), and dialog.configure().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OOP - CustomTkinter | 📊 Level: Intermediate | 🌐 Coding5s.com
Concept: Native Modal Input Dialogs (Toolbox: ctk.CTkInputDialog(), dialog.get_input(), dialog.configure())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Prompt modal user input using ctk.CTkInputDialog(), dialog.get_input(), and dialog.configure().. Topic details: Native Modal Input Dialogs (Toolbox: ctk.CTkInputDialog(), dialog.get_input(), dialog.configure())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OOP - CustomTkinter | 📊 Level: Intermediate
**Topic:** Prompt modal user input using ctk.CTkInputDialog(), dialog.get_input(), and dialog.configure().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3"/>
        <v>[ROLE] Tech Lead | [TASK] Assign incomplete Python OOP script challenges | [TOPIC] Prompt modal user input using ctk.CTkInputDialog(), dialog.get_input(), and dialog.configure().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OOP - CustomTkinter | 📊 Level: Intermediate | 🌐 Coding5s.com
**Concept:** Native Modal Input Dialogs (Toolbox: ctk.CTkInputDialog(), dialog.get_input(), dialog.configure())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Prompt modal user input using ctk.CTkInputDialog(), dialog.get_input(), and dialog.configure()..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Prompt modal user input using ctk.CTkInputDialog(), dialog.get_input(), and dialog.configure().. Topic details: Native Modal Input Dialogs (Toolbox: ctk.CTkInputDialog(), dialog.get_input(), dialog.configure())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OOP - CustomTkinter | 📊 Level: Intermediate
**Topic:** Prompt modal user input using ctk.CTkInputDialog(), dialog.get_input(), and dialog.configure().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5"/>
        <v>[ROLE] Tech Lead | [TASK] Provide intentionally messy but functional code for learning debugging and improvement | [TOPIC] Prompt modal user input using ctk.CTkInputDialog(), dialog.get_input(), and dialog.configure().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OOP - CustomTkinter | 📊 Level: Intermediate | 🌐 Coding5s.com
**Concept:** Native Modal Input Dialogs (Toolbox: ctk.CTkInputDialog(), dialog.get_input(), dialog.configure())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Prompt modal user input using ctk.CTkInputDialog(), dialog.get_input(), and dialog.configure().. Topic details: Native Modal Input Dialogs (Toolbox: ctk.CTkInputDialog(), dialog.get_input(), dialog.configure())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OOP - CustomTkinter | 📊 Level: Intermediate
**Topic:** Prompt modal user input using ctk.CTkInputDialog(), dialog.get_input(), and dialog.configure().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7"/>
        <v>[ROLE] Tech Product Manager assigning a Python OOP Jira Ticket | [TASK] Provide a guided implementation exercise with full solution for learning purposes | [TOPIC] Prompt modal user input using ctk.CTkInputDialog(), dialog.get_input(), and dialog.configure().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OOP - CustomTkinter | 📊 Level: Intermediate | 🌐 Coding5s.com
**Concept:** Native Modal Input Dialogs (Toolbox: ctk.CTkInputDialog(), dialog.get_input(), dialog.configure())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Prompt modal user input using ctk.CTkInputDialog(), dialog.get_input(), and dialog.configure().. Goal: Native Modal Input Dialogs (Toolbox: ctk.CTkInputDialog(), dialog.get_input(), dialog.configure())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OOP - CustomTkinter | 📊 Level: Intermediate
**Topic:** Prompt modal user input using ctk.CTkInputDialog(), dialog.get_input(), and dialog.configure().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9"/>
        <v/>
      </c>
      <c r="AA23" s="56" t="str">
        <f t="shared" si="10"/>
        <v/>
      </c>
      <c r="AB23" s="56" t="str">
        <f t="shared" si="11"/>
        <v/>
      </c>
      <c r="AC23" s="56" t="str">
        <f t="shared" si="12"/>
        <v/>
      </c>
      <c r="AD23" s="56" t="str">
        <f t="shared" si="13"/>
        <v/>
      </c>
      <c r="AE23" s="40" t="s">
        <v>123</v>
      </c>
      <c r="AF23" s="40" t="s">
        <v>124</v>
      </c>
      <c r="AG23" s="40" t="s">
        <v>125</v>
      </c>
      <c r="AH23" s="56" t="str">
        <f t="shared" si="14"/>
        <v/>
      </c>
      <c r="AI23" s="54"/>
      <c r="AJ23" s="54"/>
      <c r="AK23" s="54">
        <v>15</v>
      </c>
      <c r="AL23" s="54" t="s">
        <v>126</v>
      </c>
      <c r="AM23" s="54" t="s">
        <v>127</v>
      </c>
    </row>
    <row r="24" spans="1:39">
      <c r="A24" s="45" t="str" cm="1">
        <f t="array" ref="A24">IF(H24="PROJECT", CHAR(10) &amp; "- " &amp; _xlfn.TEXTJOIN(CHAR(10) &amp; "- ", TRUE, _xlfn._xlws.FILTER($I$9:$I$1000, ($B$9:$B$1000=B24) * ($H$9:$H$1000="Topic"))), "")</f>
        <v xml:space="preserve">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v>
      </c>
      <c r="B24" s="45">
        <f t="shared" si="15"/>
        <v>2</v>
      </c>
      <c r="C24" s="95">
        <v>32</v>
      </c>
      <c r="D24" s="57">
        <v>0</v>
      </c>
      <c r="E24" s="58" t="s">
        <v>46</v>
      </c>
      <c r="F24" s="59">
        <v>16</v>
      </c>
      <c r="G24" s="60" t="s">
        <v>158</v>
      </c>
      <c r="H24" s="60" t="s">
        <v>77</v>
      </c>
      <c r="I24" s="61" t="s">
        <v>803</v>
      </c>
      <c r="J24" s="62" t="s">
        <v>804</v>
      </c>
      <c r="K24" s="129" t="str">
        <f t="shared" si="16"/>
        <v>[TASK] Teach through a practical Python OOP - CustomTkinter project following the micro-learning methodology, acting as a supportive tutor, creating a project about  Develop a interactive user survey form consolidating selection controls, entry fields, dropdowns, modal inputs, and variable tracing. | [TOPICS USED]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 [LEVEL] Intermediate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Must include 'import customtkinter as ctk' on a separate top-level line before any class declaration.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Python OOP - CustomTkinter | 📊 Level: Intermediate | 🌐 Coding5s.com
**Project:** User Registration and Preferences Survey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4"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interactive user survey form consolidating selection controls, entry fields, dropdowns, modal inputs, and variable tracing.. Topics applied in this project: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Project objective: User Registration and Preferences Survey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Python OOP - CustomTkinter | 📊 Level: Intermediate
**Project:** Develop a interactive user survey form consolidating selection controls, entry fields, dropdowns, modal inputs, and variable tracing.
---
 | [FOOTER RULE - STRICT] End your response with: '--- ⚡ *Coding5s Mentor System — Eliminating Epistemic Debt*' | </v>
      </c>
      <c r="M24" s="52">
        <v>0</v>
      </c>
      <c r="N24" s="102" t="str">
        <f t="shared" si="1"/>
        <v>[ROLE] Careless Python OOP Developer | [TASK] Generate debugging project in Python OOP | [PROJECT] Develop a interactive user survey form consolidating selection controls, entry fields, dropdowns, modal inputs, and variable tracing. | [TOPICS USED]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 [LEVEL] Intermediate | [OUTPUT] Only header, dataset summary or statement (if any), email intro, objective, expected output, broken code, and footer | [HEADER RULE - STRICT] You MUST start your entire response EXACTLY with this markdown block (do not print anything before it):
### 🚀 Project #16 | Stage 2 | Python OOP - CustomTkinter | 📊 Level: Intermediate | 🌐 Coding5s.com
Project: User Registration and Preferences Survey
---
 | [LIBRARY BEING LEARNED] CustomTkinter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4"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interactive user survey form consolidating selection controls, entry fields, dropdowns, modal inputs, and variable tracing.. Topics involved: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Project objective: User Registration and Preferences Survey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Python OOP - CustomTkinter | 📊 Level: Intermediate
**Project:** Develop a interactive user survey form consolidating selection controls, entry fields, dropdowns, modal inputs, and variable tracing.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3"/>
        <v>[ROLE] Tech Lead | [TASK] Assign incomplete project script | [PROJECT] Develop a interactive user survey form consolidating selection controls, entry fields, dropdowns, modal inputs, and variable tracing. | [TOPICS USED]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 [LEVEL] Intermediate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Python OOP - CustomTkinter | 📊 Level: Intermediate | 🌐 Coding5s.com
**Project:** User Registration and Preferences Survey
---
 | [EXTERNAL_PACKAGE_PROTOCOL] Require standard pip tooling and requirements.txt file for external dependencies when applicable. | [CHALLENGE_CONSTRAINTS_POLICY] MUST be between 25–40 lines of EXECUTABLE base Python code (STRICT: Do NOT count comments or # TODO blocks). 30–60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4"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interactive user survey form consolidating selection controls, entry fields, dropdowns, modal inputs, and variable tracing.. Topics involved: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Project objective: User Registration and Preferences Survey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Python OOP - CustomTkinter | 📊 Level: Intermediate
**Project:** Develop a interactive user survey form consolidating selection controls, entry fields, dropdowns, modal inputs, and variable tracing.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5"/>
        <v>[ROLE] Tech Lead | [TASK] Provide a messy but functional project for refactoring | [PROJECT] Develop a interactive user survey form consolidating selection controls, entry fields, dropdowns, modal inputs, and variable tracing. | [TOPICS USED]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 [LEVEL] Intermediate | [PERSONA RULE] Act as a Tech Lead. A junior wrote this working but messy code. Tone: professional but exhausted | [HEADER RULE - STRICT] You MUST start your entire response EXACTLY with this markdown block (do not print anything before it):
### 🚀 Project #16 | Stage 4 | Python OOP - CustomTkinter | 📊 Level: Intermediate | 🌐 Coding5s.com
**Project:** User Registration and Preferences Survey
---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4"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interactive user survey form consolidating selection controls, entry fields, dropdowns, modal inputs, and variable tracing.. Topics involved: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Project objective: User Registration and Preferences Survey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Python OOP - CustomTkinter | 📊 Level: Intermediate
**Project:** Develop a interactive user survey form consolidating selection controls, entry fields, dropdowns, modal inputs, and variable tracing.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7"/>
        <v>[ROLE] Tech Product Manager assigning a Python OOP Jira Ticket | [TASK] Provide a guided project implementation with full solution | [PROJECT] Develop a interactive user survey form consolidating selection controls, entry fields, dropdowns, modal inputs, and variable tracing. | [TOPICS USED]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 [LEVEL] Intermediate | [PERSONA RULE] Act as a professional Tech Product Manager defining a project ticket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#16 | Stage 5 | Python OOP - CustomTkinter | 📊 Level: Intermediate | 🌐 Coding5s.com
**Project:** User Registration and Preferences Survey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4"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interactive user survey form consolidating selection controls, entry fields, dropdowns, modal inputs, and variable tracing.. Topics integrated: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Business Goal: User Registration and Preferences Survey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Python OOP - CustomTkinter | 📊 Level: Intermediate
**Project:** Develop a interactive user survey form consolidating selection controls, entry fields, dropdowns, modal inputs, and variable tracing.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9"/>
        <v>[TASK] Teach through a practical Python OOP - CustomTkinter project following the micro-learning methodology, acting as a supportive tutor, creating a project about  Develop a interactive user survey form consolidating selection controls, entry fields, dropdowns, modal inputs, and variable tracing. | [TOPICS USED]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 [LEVEL] Intermediate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Must include 'import customtkinter as ctk' on a separate top-level line before any class declaration.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Python OOP - CustomTkinter | 📊 Level: Intermediate | 🌐 Coding5s.com
**Project:** User Registration and Preferences Survey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4" s="56" t="str">
        <f t="shared" si="10"/>
        <v>[ROLE] Careless Python OOP Developer | [TASK] Generate debugging project in Python OOP | [PROJECT] Develop a interactive user survey form consolidating selection controls, entry fields, dropdowns, modal inputs, and variable tracing. | [TOPICS USED]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 [LEVEL] Intermediate | [OUTPUT] Only header, dataset summary or statement (if any), email intro, objective, expected output, broken code, and footer | [HEADER RULE - STRICT] You MUST start your entire response EXACTLY with this markdown block (do not print anything before it):
### 🚀 Project #16 | Stage 2 | Python OOP - CustomTkinter | 📊 Level: Intermediate | 🌐 Coding5s.com
Project: User Registration and Preferences Survey
---
 | [LIBRARY BEING LEARNED] CustomTkinter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4" s="56" t="str">
        <f t="shared" si="11"/>
        <v>[ROLE] Tech Lead | [TASK] Assign incomplete project script | [PROJECT] Develop a interactive user survey form consolidating selection controls, entry fields, dropdowns, modal inputs, and variable tracing. | [TOPICS USED]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 [LEVEL] Intermediate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Python OOP - CustomTkinter | 📊 Level: Intermediate | 🌐 Coding5s.com
**Project:** User Registration and Preferences Survey
---
 | [EXTERNAL_PACKAGE_PROTOCOL] Require standard pip tooling and requirements.txt file for external dependencies when applicable. | [CHALLENGE_CONSTRAINTS_POLICY] MUST be between 25–40 lines of EXECUTABLE base Python code (STRICT: Do NOT count comments or # TODO blocks). 30–60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4" s="56" t="str">
        <f t="shared" si="12"/>
        <v>[ROLE] Tech Lead | [TASK] Provide a messy but functional project for refactoring | [PROJECT] Develop a interactive user survey form consolidating selection controls, entry fields, dropdowns, modal inputs, and variable tracing. | [TOPICS USED]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 [LEVEL] Intermediate | [PERSONA RULE] Act as a Tech Lead. A junior wrote this working but messy code. Tone: professional but exhausted | [HEADER RULE - STRICT] You MUST start your entire response EXACTLY with this markdown block (do not print anything before it):
### 🚀 Project #16 | Stage 4 | Python OOP - CustomTkinter | 📊 Level: Intermediate | 🌐 Coding5s.com
**Project:** User Registration and Preferences Survey
---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4" s="56" t="str">
        <f t="shared" si="13"/>
        <v>[ROLE] Tech Product Manager assigning a Python OOP Jira Ticket | [TASK] Provide a guided project implementation with full solution | [PROJECT] Develop a interactive user survey form consolidating selection controls, entry fields, dropdowns, modal inputs, and variable tracing. | [TOPICS USED]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 [LEVEL] Intermediate | [PERSONA RULE] Act as a professional Tech Product Manager defining a project ticket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#16 | Stage 5 | Python OOP - CustomTkinter | 📊 Level: Intermediate | 🌐 Coding5s.com
**Project:** User Registration and Preferences Survey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4" s="40" t="s">
        <v>128</v>
      </c>
      <c r="AF24" s="40" t="s">
        <v>129</v>
      </c>
      <c r="AG24" s="40" t="s">
        <v>130</v>
      </c>
      <c r="AH24" s="56" t="str">
        <f t="shared" si="14"/>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5"/>
        <v>3</v>
      </c>
      <c r="C25" s="95">
        <v>10</v>
      </c>
      <c r="D25" s="46">
        <v>3</v>
      </c>
      <c r="E25" s="58" t="s">
        <v>46</v>
      </c>
      <c r="F25" s="48">
        <v>17</v>
      </c>
      <c r="G25" s="49" t="s">
        <v>47</v>
      </c>
      <c r="H25" s="49" t="s">
        <v>48</v>
      </c>
      <c r="I25" s="50" t="s">
        <v>805</v>
      </c>
      <c r="J25" s="51" t="s">
        <v>806</v>
      </c>
      <c r="K25" s="129" t="str">
        <f t="shared" si="16"/>
        <v xml:space="preserve">[ROLE] Friendly tutor specializing in Python OOP | [TOPIC] Place UI elements in a grid matrix using widget.grid(), row, column, rowspan, and columnspan. | [LEVEL] Beginner | [COUNT] 3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OOP - CustomTkinter | 📊 Level: Beginner | 🌐 Coding5s.com
**Concept:** Grid Positioning Mechanics (Toolbox: widget.grid(), row, column, rowspan, columnspan)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Place UI elements in a grid matrix using widget.grid(), row, column, rowspan, and columnspan.. Topic details: Grid Positioning Mechanics (Toolbox: widget.grid(), row, column, rowspan, columnspan)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OOP - CustomTkinter | 📊 Level: Beginner
**Topic:** Place UI elements in a grid matrix using widget.grid(), row, column, rowspan, and columnspan.
---
 | [FOOTER RULE - STRICT] End your response with: '--- ⚡ *Coding5s Mentor System — Eliminating Epistemic Debt*' | </v>
      </c>
      <c r="M25" s="53">
        <v>0</v>
      </c>
      <c r="N25" s="102" t="str">
        <f t="shared" si="1"/>
        <v>[ROLE] Careless Python OOP Developer | [TASK] Generate debugging challenges in Python OOP | | [TOPIC] Place UI elements in a grid matrix using widget.grid(), row, column, rowspan, and columnspan. | | [LEVEL] Beginner |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OOP - CustomTkinter | 📊 Level: Beginner | 🌐 Coding5s.com
Concept: Grid Positioning Mechanics (Toolbox: widget.grid(), row, column, rowspan, columnspan)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Place UI elements in a grid matrix using widget.grid(), row, column, rowspan, and columnspan.. Topic details: Grid Positioning Mechanics (Toolbox: widget.grid(), row, column, rowspan, columnspan)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OOP - CustomTkinter | 📊 Level: Beginner
**Topic:** Place UI elements in a grid matrix using widget.grid(), row, column, rowspan, and columnspan.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3"/>
        <v>[ROLE] Tech Lead | [TASK] Assign incomplete Python OOP script challenges | [TOPIC] Place UI elements in a grid matrix using widget.grid(), row, column, rowspan, and columnspan. | [LEVEL] Beginner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OOP - CustomTkinter | 📊 Level: Beginner | 🌐 Coding5s.com
**Concept:** Grid Positioning Mechanics (Toolbox: widget.grid(), row, column, rowspan, columnspan)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Place UI elements in a grid matrix using widget.grid(), row, column, rowspan, and columnspan..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Place UI elements in a grid matrix using widget.grid(), row, column, rowspan, and columnspan.. Topic details: Grid Positioning Mechanics (Toolbox: widget.grid(), row, column, rowspan, columnspan)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OOP - CustomTkinter | 📊 Level: Beginner
**Topic:** Place UI elements in a grid matrix using widget.grid(), row, column, rowspan, and columnspan.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5"/>
        <v>[ROLE] Tech Lead | [TASK] Provide intentionally messy but functional code for learning debugging and improvement | [TOPIC] Place UI elements in a grid matrix using widget.grid(), row, column, rowspan, and columnspan. | [LEVEL] Beginner | [COUNT] 3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OOP - CustomTkinter | 📊 Level: Beginner | 🌐 Coding5s.com
**Concept:** Grid Positioning Mechanics (Toolbox: widget.grid(), row, column, rowspan, columnspan)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Place UI elements in a grid matrix using widget.grid(), row, column, rowspan, and columnspan.. Topic details: Grid Positioning Mechanics (Toolbox: widget.grid(), row, column, rowspan, columnspan)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OOP - CustomTkinter | 📊 Level: Beginner
**Topic:** Place UI elements in a grid matrix using widget.grid(), row, column, rowspan, and columnspan.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7"/>
        <v>[ROLE] Tech Product Manager assigning a Python OOP Jira Ticket | [TASK] Provide a guided implementation exercise with full solution for learning purposes | [TOPIC] Place UI elements in a grid matrix using widget.grid(), row, column, rowspan, and columnspan.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OOP - CustomTkinter | 📊 Level: Beginner | 🌐 Coding5s.com
**Concept:** Grid Positioning Mechanics (Toolbox: widget.grid(), row, column, rowspan, columnspan)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Place UI elements in a grid matrix using widget.grid(), row, column, rowspan, and columnspan.. Goal: Grid Positioning Mechanics (Toolbox: widget.grid(), row, column, rowspan, columnspan)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OOP - CustomTkinter | 📊 Level: Beginner
**Topic:** Place UI elements in a grid matrix using widget.grid(), row, column, rowspan, and columnspan.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9"/>
        <v/>
      </c>
      <c r="AA25" s="56" t="str">
        <f t="shared" si="10"/>
        <v/>
      </c>
      <c r="AB25" s="56" t="str">
        <f t="shared" si="11"/>
        <v/>
      </c>
      <c r="AC25" s="56" t="str">
        <f t="shared" si="12"/>
        <v/>
      </c>
      <c r="AD25" s="56" t="str">
        <f t="shared" si="13"/>
        <v/>
      </c>
      <c r="AE25" s="40" t="s">
        <v>133</v>
      </c>
      <c r="AF25" s="40" t="s">
        <v>134</v>
      </c>
      <c r="AG25" s="40" t="s">
        <v>135</v>
      </c>
      <c r="AH25" s="56" t="str">
        <f t="shared" si="14"/>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5"/>
        <v>3</v>
      </c>
      <c r="C26" s="95">
        <v>10</v>
      </c>
      <c r="D26" s="57">
        <v>3</v>
      </c>
      <c r="E26" s="58" t="s">
        <v>46</v>
      </c>
      <c r="F26" s="59">
        <v>18</v>
      </c>
      <c r="G26" s="60" t="s">
        <v>47</v>
      </c>
      <c r="H26" s="60" t="s">
        <v>48</v>
      </c>
      <c r="I26" s="61" t="s">
        <v>807</v>
      </c>
      <c r="J26" s="62" t="s">
        <v>808</v>
      </c>
      <c r="K26" s="129" t="str">
        <f t="shared" si="16"/>
        <v xml:space="preserve">[ROLE] Friendly tutor specializing in Python OOP | [TOPIC] Assign layout margins and alignment using padx, pady, ipadx, ipady, and sticky. | [LEVEL] Beginner | [COUNT] 3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OOP - CustomTkinter | 📊 Level: Beginner | 🌐 Coding5s.com
**Concept:** Layout Spacing &amp; Sticky Alignment (Toolbox: padx, pady, ipadx, ipady, sticky)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layout margins and alignment using padx, pady, ipadx, ipady, and sticky.. Topic details: Layout Spacing &amp; Sticky Alignment (Toolbox: padx, pady, ipadx, ipady, sticky)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OOP - CustomTkinter | 📊 Level: Beginner
**Topic:** Assign layout margins and alignment using padx, pady, ipadx, ipady, and sticky.
---
 | [FOOTER RULE - STRICT] End your response with: '--- ⚡ *Coding5s Mentor System — Eliminating Epistemic Debt*' | </v>
      </c>
      <c r="M26" s="52">
        <v>0</v>
      </c>
      <c r="N26" s="102" t="str">
        <f t="shared" si="1"/>
        <v>[ROLE] Careless Python OOP Developer | [TASK] Generate debugging challenges in Python OOP | | [TOPIC] Assign layout margins and alignment using padx, pady, ipadx, ipady, and sticky. | | [LEVEL] Beginner |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OOP - CustomTkinter | 📊 Level: Beginner | 🌐 Coding5s.com
Concept: Layout Spacing &amp; Sticky Alignment (Toolbox: padx, pady, ipadx, ipady, sticky)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layout margins and alignment using padx, pady, ipadx, ipady, and sticky.. Topic details: Layout Spacing &amp; Sticky Alignment (Toolbox: padx, pady, ipadx, ipady, sticky)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OOP - CustomTkinter | 📊 Level: Beginner
**Topic:** Assign layout margins and alignment using padx, pady, ipadx, ipady, and sticky.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3"/>
        <v>[ROLE] Tech Lead | [TASK] Assign incomplete Python OOP script challenges | [TOPIC] Assign layout margins and alignment using padx, pady, ipadx, ipady, and sticky. | [LEVEL] Beginner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OOP - CustomTkinter | 📊 Level: Beginner | 🌐 Coding5s.com
**Concept:** Layout Spacing &amp; Sticky Alignment (Toolbox: padx, pady, ipadx, ipady, sticky)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layout margins and alignment using padx, pady, ipadx, ipady, and sticky..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layout margins and alignment using padx, pady, ipadx, ipady, and sticky.. Topic details: Layout Spacing &amp; Sticky Alignment (Toolbox: padx, pady, ipadx, ipady, sticky)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OOP - CustomTkinter | 📊 Level: Beginner
**Topic:** Assign layout margins and alignment using padx, pady, ipadx, ipady, and sticky.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5"/>
        <v>[ROLE] Tech Lead | [TASK] Provide intentionally messy but functional code for learning debugging and improvement | [TOPIC] Assign layout margins and alignment using padx, pady, ipadx, ipady, and sticky. | [LEVEL] Beginner | [COUNT] 3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OOP - CustomTkinter | 📊 Level: Beginner | 🌐 Coding5s.com
**Concept:** Layout Spacing &amp; Sticky Alignment (Toolbox: padx, pady, ipadx, ipady, sticky)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Assign layout margins and alignment using padx, pady, ipadx, ipady, and sticky.. Topic details: Layout Spacing &amp; Sticky Alignment (Toolbox: padx, pady, ipadx, ipady, sticky)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OOP - CustomTkinter | 📊 Level: Beginner
**Topic:** Assign layout margins and alignment using padx, pady, ipadx, ipady, and sticky.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7"/>
        <v>[ROLE] Tech Product Manager assigning a Python OOP Jira Ticket | [TASK] Provide a guided implementation exercise with full solution for learning purposes | [TOPIC] Assign layout margins and alignment using padx, pady, ipadx, ipady, and sticky.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OOP - CustomTkinter | 📊 Level: Beginner | 🌐 Coding5s.com
**Concept:** Layout Spacing &amp; Sticky Alignment (Toolbox: padx, pady, ipadx, ipady, sticky)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layout margins and alignment using padx, pady, ipadx, ipady, and sticky.. Goal: Layout Spacing &amp; Sticky Alignment (Toolbox: padx, pady, ipadx, ipady, sticky)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OOP - CustomTkinter | 📊 Level: Beginner
**Topic:** Assign layout margins and alignment using padx, pady, ipadx, ipady, and sticky.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9"/>
        <v/>
      </c>
      <c r="AA26" s="56" t="str">
        <f t="shared" si="10"/>
        <v/>
      </c>
      <c r="AB26" s="56" t="str">
        <f t="shared" si="11"/>
        <v/>
      </c>
      <c r="AC26" s="56" t="str">
        <f t="shared" si="12"/>
        <v/>
      </c>
      <c r="AD26" s="56" t="str">
        <f t="shared" si="13"/>
        <v/>
      </c>
      <c r="AE26" s="40" t="s">
        <v>138</v>
      </c>
      <c r="AF26" s="40" t="s">
        <v>139</v>
      </c>
      <c r="AG26" s="40" t="s">
        <v>140</v>
      </c>
      <c r="AH26" s="56" t="str">
        <f t="shared" si="14"/>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5"/>
        <v>3</v>
      </c>
      <c r="C27" s="95">
        <v>12</v>
      </c>
      <c r="D27" s="46">
        <v>4</v>
      </c>
      <c r="E27" s="58" t="s">
        <v>46</v>
      </c>
      <c r="F27" s="48">
        <v>19</v>
      </c>
      <c r="G27" s="49" t="s">
        <v>158</v>
      </c>
      <c r="H27" s="49" t="s">
        <v>48</v>
      </c>
      <c r="I27" s="50" t="s">
        <v>809</v>
      </c>
      <c r="J27" s="51" t="s">
        <v>810</v>
      </c>
      <c r="K27" s="129" t="str">
        <f t="shared" si="16"/>
        <v xml:space="preserve">[ROLE] Friendly tutor specializing in Python OOP | [TOPIC] Configure responsive grid behaviors using grid_columnconfigure(), grid_rowconfigure(), weight, and minsize.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OOP - CustomTkinter | 📊 Level: Intermediate | 🌐 Coding5s.com
**Concept:** Responsive Grid Weighting (Toolbox: grid_columnconfigure(), grid_rowconfigure(), weight, minsize)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responsive grid behaviors using grid_columnconfigure(), grid_rowconfigure(), weight, and minsize.. Topic details: Responsive Grid Weighting (Toolbox: grid_columnconfigure(), grid_rowconfigure(), weight, minsize)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OOP - CustomTkinter | 📊 Level: Intermediate
**Topic:** Configure responsive grid behaviors using grid_columnconfigure(), grid_rowconfigure(), weight, and minsize.
---
 | [FOOTER RULE - STRICT] End your response with: '--- ⚡ *Coding5s Mentor System — Eliminating Epistemic Debt*' | </v>
      </c>
      <c r="M27" s="53">
        <v>0</v>
      </c>
      <c r="N27" s="102" t="str">
        <f t="shared" si="1"/>
        <v>[ROLE] Careless Python OOP Developer | [TASK] Generate debugging challenges in Python OOP | | [TOPIC] Configure responsive grid behaviors using grid_columnconfigure(), grid_rowconfigure(), weight, and minsize.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OOP - CustomTkinter | 📊 Level: Intermediate | 🌐 Coding5s.com
Concept: Responsive Grid Weighting (Toolbox: grid_columnconfigure(), grid_rowconfigure(), weight, minsize)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responsive grid behaviors using grid_columnconfigure(), grid_rowconfigure(), weight, and minsize.. Topic details: Responsive Grid Weighting (Toolbox: grid_columnconfigure(), grid_rowconfigure(), weight, minsize)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OOP - CustomTkinter | 📊 Level: Intermediate
**Topic:** Configure responsive grid behaviors using grid_columnconfigure(), grid_rowconfigure(), weight, and minsize.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3"/>
        <v>[ROLE] Tech Lead | [TASK] Assign incomplete Python OOP script challenges | [TOPIC] Configure responsive grid behaviors using grid_columnconfigure(), grid_rowconfigure(), weight, and minsize.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OOP - CustomTkinter | 📊 Level: Intermediate | 🌐 Coding5s.com
**Concept:** Responsive Grid Weighting (Toolbox: grid_columnconfigure(), grid_rowconfigure(), weight, minsize)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responsive grid behaviors using grid_columnconfigure(), grid_rowconfigure(), weight, and minsize..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responsive grid behaviors using grid_columnconfigure(), grid_rowconfigure(), weight, and minsize.. Topic details: Responsive Grid Weighting (Toolbox: grid_columnconfigure(), grid_rowconfigure(), weight, minsize)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OOP - CustomTkinter | 📊 Level: Intermediate
**Topic:** Configure responsive grid behaviors using grid_columnconfigure(), grid_rowconfigure(), weight, and minsize.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5"/>
        <v>[ROLE] Tech Lead | [TASK] Provide intentionally messy but functional code for learning debugging and improvement | [TOPIC] Configure responsive grid behaviors using grid_columnconfigure(), grid_rowconfigure(), weight, and minsize.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OOP - CustomTkinter | 📊 Level: Intermediate | 🌐 Coding5s.com
**Concept:** Responsive Grid Weighting (Toolbox: grid_columnconfigure(), grid_rowconfigure(), weight, minsize)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Configure responsive grid behaviors using grid_columnconfigure(), grid_rowconfigure(), weight, and minsize.. Topic details: Responsive Grid Weighting (Toolbox: grid_columnconfigure(), grid_rowconfigure(), weight, minsize)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OOP - CustomTkinter | 📊 Level: Intermediate
**Topic:** Configure responsive grid behaviors using grid_columnconfigure(), grid_rowconfigure(), weight, and minsize.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7"/>
        <v>[ROLE] Tech Product Manager assigning a Python OOP Jira Ticket | [TASK] Provide a guided implementation exercise with full solution for learning purposes | [TOPIC] Configure responsive grid behaviors using grid_columnconfigure(), grid_rowconfigure(), weight, and minsize.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OOP - CustomTkinter | 📊 Level: Intermediate | 🌐 Coding5s.com
**Concept:** Responsive Grid Weighting (Toolbox: grid_columnconfigure(), grid_rowconfigure(), weight, minsize)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responsive grid behaviors using grid_columnconfigure(), grid_rowconfigure(), weight, and minsize.. Goal: Responsive Grid Weighting (Toolbox: grid_columnconfigure(), grid_rowconfigure(), weight, minsize)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OOP - CustomTkinter | 📊 Level: Intermediate
**Topic:** Configure responsive grid behaviors using grid_columnconfigure(), grid_rowconfigure(), weight, and minsize.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9"/>
        <v/>
      </c>
      <c r="AA27" s="56" t="str">
        <f t="shared" si="10"/>
        <v/>
      </c>
      <c r="AB27" s="56" t="str">
        <f t="shared" si="11"/>
        <v/>
      </c>
      <c r="AC27" s="56" t="str">
        <f t="shared" si="12"/>
        <v/>
      </c>
      <c r="AD27" s="56" t="str">
        <f t="shared" si="13"/>
        <v/>
      </c>
      <c r="AE27" s="40" t="s">
        <v>143</v>
      </c>
      <c r="AF27" s="40" t="s">
        <v>144</v>
      </c>
      <c r="AG27" s="40" t="s">
        <v>145</v>
      </c>
      <c r="AH27" s="56" t="str">
        <f t="shared" si="14"/>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5"/>
        <v>3</v>
      </c>
      <c r="C28" s="95">
        <v>15</v>
      </c>
      <c r="D28" s="57">
        <v>4</v>
      </c>
      <c r="E28" s="58" t="s">
        <v>46</v>
      </c>
      <c r="F28" s="59">
        <v>20</v>
      </c>
      <c r="G28" s="60" t="s">
        <v>158</v>
      </c>
      <c r="H28" s="60" t="s">
        <v>48</v>
      </c>
      <c r="I28" s="61" t="s">
        <v>811</v>
      </c>
      <c r="J28" s="62" t="s">
        <v>812</v>
      </c>
      <c r="K28" s="129" t="str">
        <f t="shared" si="16"/>
        <v xml:space="preserve">[ROLE] Friendly tutor specializing in Python OOP | [TOPIC] Evaluate dynamic view switching using frame.grid_forget(), frame.grid_remove(), and frame.tkraise().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OOP - CustomTkinter | 📊 Level: Intermediate | 🌐 Coding5s.com
**Concept:** Dynamic Frame Detachment &amp; Stacking (Toolbox: frame.grid_forget(), frame.grid_remove(), frame.tkraise())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dynamic view switching using frame.grid_forget(), frame.grid_remove(), and frame.tkraise().. Topic details: Dynamic Frame Detachment &amp; Stacking (Toolbox: frame.grid_forget(), frame.grid_remove(), frame.tkraise())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OOP - CustomTkinter | 📊 Level: Intermediate
**Topic:** Evaluate dynamic view switching using frame.grid_forget(), frame.grid_remove(), and frame.tkraise().
---
 | [FOOTER RULE - STRICT] End your response with: '--- ⚡ *Coding5s Mentor System — Eliminating Epistemic Debt*' | </v>
      </c>
      <c r="M28" s="52">
        <v>0</v>
      </c>
      <c r="N28" s="102" t="str">
        <f t="shared" si="1"/>
        <v>[ROLE] Careless Python OOP Developer | [TASK] Generate debugging challenges in Python OOP | | [TOPIC] Evaluate dynamic view switching using frame.grid_forget(), frame.grid_remove(), and frame.tkraise().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OOP - CustomTkinter | 📊 Level: Intermediate | 🌐 Coding5s.com
Concept: Dynamic Frame Detachment &amp; Stacking (Toolbox: frame.grid_forget(), frame.grid_remove(), frame.tkraise())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dynamic view switching using frame.grid_forget(), frame.grid_remove(), and frame.tkraise().. Topic details: Dynamic Frame Detachment &amp; Stacking (Toolbox: frame.grid_forget(), frame.grid_remove(), frame.tkraise())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OOP - CustomTkinter | 📊 Level: Intermediate
**Topic:** Evaluate dynamic view switching using frame.grid_forget(), frame.grid_remove(), and frame.tkraise().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3"/>
        <v>[ROLE] Tech Lead | [TASK] Assign incomplete Python OOP script challenges | [TOPIC] Evaluate dynamic view switching using frame.grid_forget(), frame.grid_remove(), and frame.tkraise().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OOP - CustomTkinter | 📊 Level: Intermediate | 🌐 Coding5s.com
**Concept:** Dynamic Frame Detachment &amp; Stacking (Toolbox: frame.grid_forget(), frame.grid_remove(), frame.tkraise())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dynamic view switching using frame.grid_forget(), frame.grid_remove(), and frame.tkraise()..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dynamic view switching using frame.grid_forget(), frame.grid_remove(), and frame.tkraise().. Topic details: Dynamic Frame Detachment &amp; Stacking (Toolbox: frame.grid_forget(), frame.grid_remove(), frame.tkraise())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OOP - CustomTkinter | 📊 Level: Intermediate
**Topic:** Evaluate dynamic view switching using frame.grid_forget(), frame.grid_remove(), and frame.tkraise().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5"/>
        <v>[ROLE] Tech Lead | [TASK] Provide intentionally messy but functional code for learning debugging and improvement | [TOPIC] Evaluate dynamic view switching using frame.grid_forget(), frame.grid_remove(), and frame.tkraise().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OOP - CustomTkinter | 📊 Level: Intermediate | 🌐 Coding5s.com
**Concept:** Dynamic Frame Detachment &amp; Stacking (Toolbox: frame.grid_forget(), frame.grid_remove(), frame.tkraise())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Evaluate dynamic view switching using frame.grid_forget(), frame.grid_remove(), and frame.tkraise().. Topic details: Dynamic Frame Detachment &amp; Stacking (Toolbox: frame.grid_forget(), frame.grid_remove(), frame.tkraise())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OOP - CustomTkinter | 📊 Level: Intermediate
**Topic:** Evaluate dynamic view switching using frame.grid_forget(), frame.grid_remove(), and frame.tkraise().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7"/>
        <v>[ROLE] Tech Product Manager assigning a Python OOP Jira Ticket | [TASK] Provide a guided implementation exercise with full solution for learning purposes | [TOPIC] Evaluate dynamic view switching using frame.grid_forget(), frame.grid_remove(), and frame.tkraise().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OOP - CustomTkinter | 📊 Level: Intermediate | 🌐 Coding5s.com
**Concept:** Dynamic Frame Detachment &amp; Stacking (Toolbox: frame.grid_forget(), frame.grid_remove(), frame.tkraise())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dynamic view switching using frame.grid_forget(), frame.grid_remove(), and frame.tkraise().. Goal: Dynamic Frame Detachment &amp; Stacking (Toolbox: frame.grid_forget(), frame.grid_remove(), frame.tkraise())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OOP - CustomTkinter | 📊 Level: Intermediate
**Topic:** Evaluate dynamic view switching using frame.grid_forget(), frame.grid_remove(), and frame.tkraise().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9"/>
        <v/>
      </c>
      <c r="AA28" s="56" t="str">
        <f t="shared" si="10"/>
        <v/>
      </c>
      <c r="AB28" s="56" t="str">
        <f t="shared" si="11"/>
        <v/>
      </c>
      <c r="AC28" s="56" t="str">
        <f t="shared" si="12"/>
        <v/>
      </c>
      <c r="AD28" s="56" t="str">
        <f t="shared" si="13"/>
        <v/>
      </c>
      <c r="AE28" s="40" t="s">
        <v>146</v>
      </c>
      <c r="AF28" s="40" t="s">
        <v>147</v>
      </c>
      <c r="AG28" s="40" t="s">
        <v>148</v>
      </c>
      <c r="AH28" s="56" t="str">
        <f t="shared" si="14"/>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5"/>
        <v>3</v>
      </c>
      <c r="C29" s="95">
        <v>12</v>
      </c>
      <c r="D29" s="46">
        <v>4</v>
      </c>
      <c r="E29" s="58" t="s">
        <v>46</v>
      </c>
      <c r="F29" s="48">
        <v>21</v>
      </c>
      <c r="G29" s="49" t="s">
        <v>158</v>
      </c>
      <c r="H29" s="49" t="s">
        <v>48</v>
      </c>
      <c r="I29" s="50" t="s">
        <v>813</v>
      </c>
      <c r="J29" s="51" t="s">
        <v>814</v>
      </c>
      <c r="K29" s="129" t="str">
        <f t="shared" si="16"/>
        <v xml:space="preserve">[ROLE] Friendly tutor specializing in Python OOP | [TOPIC] Construct grouped containers using ctk.CTkFrame(), ctk.CTkScrollableFrame(), and frame.configure().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OOP - CustomTkinter | 📊 Level: Intermediate | 🌐 Coding5s.com
**Concept:** Structural Frame Containers (Toolbox: ctk.CTkFrame(), ctk.CTkScrollableFrame(), frame.configure())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grouped containers using ctk.CTkFrame(), ctk.CTkScrollableFrame(), and frame.configure().. Topic details: Structural Frame Containers (Toolbox: ctk.CTkFrame(), ctk.CTkScrollableFrame(), frame.configure())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OOP - CustomTkinter | 📊 Level: Intermediate
**Topic:** Construct grouped containers using ctk.CTkFrame(), ctk.CTkScrollableFrame(), and frame.configure().
---
 | [FOOTER RULE - STRICT] End your response with: '--- ⚡ *Coding5s Mentor System — Eliminating Epistemic Debt*' | </v>
      </c>
      <c r="M29" s="53">
        <v>0</v>
      </c>
      <c r="N29" s="102" t="str">
        <f t="shared" si="1"/>
        <v>[ROLE] Careless Python OOP Developer | [TASK] Generate debugging challenges in Python OOP | | [TOPIC] Construct grouped containers using ctk.CTkFrame(), ctk.CTkScrollableFrame(), and frame.configure().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OOP - CustomTkinter | 📊 Level: Intermediate | 🌐 Coding5s.com
Concept: Structural Frame Containers (Toolbox: ctk.CTkFrame(), ctk.CTkScrollableFrame(), frame.configure())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grouped containers using ctk.CTkFrame(), ctk.CTkScrollableFrame(), and frame.configure().. Topic details: Structural Frame Containers (Toolbox: ctk.CTkFrame(), ctk.CTkScrollableFrame(), frame.configure())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OOP - CustomTkinter | 📊 Level: Intermediate
**Topic:** Construct grouped containers using ctk.CTkFrame(), ctk.CTkScrollableFrame(), and frame.configure().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3"/>
        <v>[ROLE] Tech Lead | [TASK] Assign incomplete Python OOP script challenges | [TOPIC] Construct grouped containers using ctk.CTkFrame(), ctk.CTkScrollableFrame(), and frame.configure().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OOP - CustomTkinter | 📊 Level: Intermediate | 🌐 Coding5s.com
**Concept:** Structural Frame Containers (Toolbox: ctk.CTkFrame(), ctk.CTkScrollableFrame(), frame.configure())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grouped containers using ctk.CTkFrame(), ctk.CTkScrollableFrame(), and frame.configure()..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grouped containers using ctk.CTkFrame(), ctk.CTkScrollableFrame(), and frame.configure().. Topic details: Structural Frame Containers (Toolbox: ctk.CTkFrame(), ctk.CTkScrollableFrame(), frame.configure())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OOP - CustomTkinter | 📊 Level: Intermediate
**Topic:** Construct grouped containers using ctk.CTkFrame(), ctk.CTkScrollableFrame(), and frame.configure().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5"/>
        <v>[ROLE] Tech Lead | [TASK] Provide intentionally messy but functional code for learning debugging and improvement | [TOPIC] Construct grouped containers using ctk.CTkFrame(), ctk.CTkScrollableFrame(), and frame.configure().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OOP - CustomTkinter | 📊 Level: Intermediate | 🌐 Coding5s.com
**Concept:** Structural Frame Containers (Toolbox: ctk.CTkFrame(), ctk.CTkScrollableFrame(), frame.configure())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grouped containers using ctk.CTkFrame(), ctk.CTkScrollableFrame(), and frame.configure().. Topic details: Structural Frame Containers (Toolbox: ctk.CTkFrame(), ctk.CTkScrollableFrame(), frame.configure())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OOP - CustomTkinter | 📊 Level: Intermediate
**Topic:** Construct grouped containers using ctk.CTkFrame(), ctk.CTkScrollableFrame(), and frame.configure().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7"/>
        <v>[ROLE] Tech Product Manager assigning a Python OOP Jira Ticket | [TASK] Provide a guided implementation exercise with full solution for learning purposes | [TOPIC] Construct grouped containers using ctk.CTkFrame(), ctk.CTkScrollableFrame(), and frame.configure().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OOP - CustomTkinter | 📊 Level: Intermediate | 🌐 Coding5s.com
**Concept:** Structural Frame Containers (Toolbox: ctk.CTkFrame(), ctk.CTkScrollableFrame(), frame.configure())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grouped containers using ctk.CTkFrame(), ctk.CTkScrollableFrame(), and frame.configure().. Goal: Structural Frame Containers (Toolbox: ctk.CTkFrame(), ctk.CTkScrollableFrame(), frame.configure())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OOP - CustomTkinter | 📊 Level: Intermediate
**Topic:** Construct grouped containers using ctk.CTkFrame(), ctk.CTkScrollableFrame(), and frame.configure().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9"/>
        <v/>
      </c>
      <c r="AA29" s="56" t="str">
        <f t="shared" si="10"/>
        <v/>
      </c>
      <c r="AB29" s="56" t="str">
        <f t="shared" si="11"/>
        <v/>
      </c>
      <c r="AC29" s="56" t="str">
        <f t="shared" si="12"/>
        <v/>
      </c>
      <c r="AD29" s="56" t="str">
        <f t="shared" si="13"/>
        <v/>
      </c>
      <c r="AE29" s="40" t="s">
        <v>149</v>
      </c>
      <c r="AF29" s="40" t="s">
        <v>150</v>
      </c>
      <c r="AG29" s="40" t="s">
        <v>151</v>
      </c>
      <c r="AH29" s="56" t="str">
        <f t="shared" si="14"/>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5"/>
        <v>3</v>
      </c>
      <c r="C30" s="95">
        <v>15</v>
      </c>
      <c r="D30" s="57">
        <v>4</v>
      </c>
      <c r="E30" s="58" t="s">
        <v>46</v>
      </c>
      <c r="F30" s="59">
        <v>22</v>
      </c>
      <c r="G30" s="60" t="s">
        <v>158</v>
      </c>
      <c r="H30" s="60" t="s">
        <v>48</v>
      </c>
      <c r="I30" s="61" t="s">
        <v>815</v>
      </c>
      <c r="J30" s="62" t="s">
        <v>816</v>
      </c>
      <c r="K30" s="129" t="str">
        <f t="shared" si="16"/>
        <v xml:space="preserve">[ROLE] Friendly tutor specializing in Python OOP | [TOPIC] Create multi-tab views using ctk.CTkTabview(), tabview.add(), tabview.tab(), and tabview.set().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OOP - CustomTkinter | 📊 Level: Intermediate | 🌐 Coding5s.com
**Concept:** Multi-Tab Container Views (Toolbox: ctk.CTkTabview(), tabview.add(), tabview.tab(), tabview.set())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multi-tab views using ctk.CTkTabview(), tabview.add(), tabview.tab(), and tabview.set().. Topic details: Multi-Tab Container Views (Toolbox: ctk.CTkTabview(), tabview.add(), tabview.tab(), tabview.set())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OOP - CustomTkinter | 📊 Level: Intermediate
**Topic:** Create multi-tab views using ctk.CTkTabview(), tabview.add(), tabview.tab(), and tabview.set().
---
 | [FOOTER RULE - STRICT] End your response with: '--- ⚡ *Coding5s Mentor System — Eliminating Epistemic Debt*' | </v>
      </c>
      <c r="M30" s="52">
        <v>0</v>
      </c>
      <c r="N30" s="102" t="str">
        <f t="shared" si="1"/>
        <v>[ROLE] Careless Python OOP Developer | [TASK] Generate debugging challenges in Python OOP | | [TOPIC] Create multi-tab views using ctk.CTkTabview(), tabview.add(), tabview.tab(), and tabview.set().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OOP - CustomTkinter | 📊 Level: Intermediate | 🌐 Coding5s.com
Concept: Multi-Tab Container Views (Toolbox: ctk.CTkTabview(), tabview.add(), tabview.tab(), tabview.set())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multi-tab views using ctk.CTkTabview(), tabview.add(), tabview.tab(), and tabview.set().. Topic details: Multi-Tab Container Views (Toolbox: ctk.CTkTabview(), tabview.add(), tabview.tab(), tabview.set())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OOP - CustomTkinter | 📊 Level: Intermediate
**Topic:** Create multi-tab views using ctk.CTkTabview(), tabview.add(), tabview.tab(), and tabview.set().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3"/>
        <v>[ROLE] Tech Lead | [TASK] Assign incomplete Python OOP script challenges | [TOPIC] Create multi-tab views using ctk.CTkTabview(), tabview.add(), tabview.tab(), and tabview.set().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OOP - CustomTkinter | 📊 Level: Intermediate | 🌐 Coding5s.com
**Concept:** Multi-Tab Container Views (Toolbox: ctk.CTkTabview(), tabview.add(), tabview.tab(), tabview.set())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multi-tab views using ctk.CTkTabview(), tabview.add(), tabview.tab(), and tabview.set()..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multi-tab views using ctk.CTkTabview(), tabview.add(), tabview.tab(), and tabview.set().. Topic details: Multi-Tab Container Views (Toolbox: ctk.CTkTabview(), tabview.add(), tabview.tab(), tabview.set())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OOP - CustomTkinter | 📊 Level: Intermediate
**Topic:** Create multi-tab views using ctk.CTkTabview(), tabview.add(), tabview.tab(), and tabview.set().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5"/>
        <v>[ROLE] Tech Lead | [TASK] Provide intentionally messy but functional code for learning debugging and improvement | [TOPIC] Create multi-tab views using ctk.CTkTabview(), tabview.add(), tabview.tab(), and tabview.set().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OOP - CustomTkinter | 📊 Level: Intermediate | 🌐 Coding5s.com
**Concept:** Multi-Tab Container Views (Toolbox: ctk.CTkTabview(), tabview.add(), tabview.tab(), tabview.set())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multi-tab views using ctk.CTkTabview(), tabview.add(), tabview.tab(), and tabview.set().. Topic details: Multi-Tab Container Views (Toolbox: ctk.CTkTabview(), tabview.add(), tabview.tab(), tabview.set())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OOP - CustomTkinter | 📊 Level: Intermediate
**Topic:** Create multi-tab views using ctk.CTkTabview(), tabview.add(), tabview.tab(), and tabview.set().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7"/>
        <v>[ROLE] Tech Product Manager assigning a Python OOP Jira Ticket | [TASK] Provide a guided implementation exercise with full solution for learning purposes | [TOPIC] Create multi-tab views using ctk.CTkTabview(), tabview.add(), tabview.tab(), and tabview.set().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OOP - CustomTkinter | 📊 Level: Intermediate | 🌐 Coding5s.com
**Concept:** Multi-Tab Container Views (Toolbox: ctk.CTkTabview(), tabview.add(), tabview.tab(), tabview.set())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multi-tab views using ctk.CTkTabview(), tabview.add(), tabview.tab(), and tabview.set().. Goal: Multi-Tab Container Views (Toolbox: ctk.CTkTabview(), tabview.add(), tabview.tab(), tabview.set())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OOP - CustomTkinter | 📊 Level: Intermediate
**Topic:** Create multi-tab views using ctk.CTkTabview(), tabview.add(), tabview.tab(), and tabview.set().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9"/>
        <v/>
      </c>
      <c r="AA30" s="56" t="str">
        <f t="shared" si="10"/>
        <v/>
      </c>
      <c r="AB30" s="56" t="str">
        <f t="shared" si="11"/>
        <v/>
      </c>
      <c r="AC30" s="56" t="str">
        <f t="shared" si="12"/>
        <v/>
      </c>
      <c r="AD30" s="56" t="str">
        <f t="shared" si="13"/>
        <v/>
      </c>
      <c r="AE30" s="40" t="s">
        <v>152</v>
      </c>
      <c r="AF30" s="40" t="s">
        <v>153</v>
      </c>
      <c r="AG30" s="40" t="s">
        <v>154</v>
      </c>
      <c r="AH30" s="56" t="str">
        <f t="shared" si="14"/>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5"/>
        <v>3</v>
      </c>
      <c r="C31" s="95">
        <v>15</v>
      </c>
      <c r="D31" s="46">
        <v>4</v>
      </c>
      <c r="E31" s="58" t="s">
        <v>46</v>
      </c>
      <c r="F31" s="48">
        <v>23</v>
      </c>
      <c r="G31" s="49" t="s">
        <v>158</v>
      </c>
      <c r="H31" s="49" t="s">
        <v>48</v>
      </c>
      <c r="I31" s="50" t="s">
        <v>817</v>
      </c>
      <c r="J31" s="51" t="s">
        <v>818</v>
      </c>
      <c r="K31" s="129" t="str">
        <f t="shared" si="16"/>
        <v xml:space="preserve">[ROLE] Friendly tutor specializing in Python OOP | [TOPIC] Assign action callbacks using command=self.action, lambda: self.action(arg), and partial(self.action, arg).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OOP - CustomTkinter | 📊 Level: Intermediate | 🌐 Coding5s.com
**Concept:** Event Callback Integration (Toolbox: command=self.action, lambda: self.action(arg), partial(self.action, arg))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action callbacks using command=self.action, lambda: self.action(arg), and partial(self.action, arg).. Topic details: Event Callback Integration (Toolbox: command=self.action, lambda: self.action(arg), partial(self.action, arg))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OOP - CustomTkinter | 📊 Level: Intermediate
**Topic:** Assign action callbacks using command=self.action, lambda: self.action(arg), and partial(self.action, arg).
---
 | [FOOTER RULE - STRICT] End your response with: '--- ⚡ *Coding5s Mentor System — Eliminating Epistemic Debt*' | </v>
      </c>
      <c r="M31" s="53">
        <v>0</v>
      </c>
      <c r="N31" s="102" t="str">
        <f t="shared" si="1"/>
        <v>[ROLE] Careless Python OOP Developer | [TASK] Generate debugging challenges in Python OOP | | [TOPIC] Assign action callbacks using command=self.action, lambda: self.action(arg), and partial(self.action, arg).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OOP - CustomTkinter | 📊 Level: Intermediate | 🌐 Coding5s.com
Concept: Event Callback Integration (Toolbox: command=self.action, lambda: self.action(arg), partial(self.action, arg))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action callbacks using command=self.action, lambda: self.action(arg), and partial(self.action, arg).. Topic details: Event Callback Integration (Toolbox: command=self.action, lambda: self.action(arg), partial(self.action, arg))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OOP - CustomTkinter | 📊 Level: Intermediate
**Topic:** Assign action callbacks using command=self.action, lambda: self.action(arg), and partial(self.action, arg).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3"/>
        <v>[ROLE] Tech Lead | [TASK] Assign incomplete Python OOP script challenges | [TOPIC] Assign action callbacks using command=self.action, lambda: self.action(arg), and partial(self.action, arg).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OOP - CustomTkinter | 📊 Level: Intermediate | 🌐 Coding5s.com
**Concept:** Event Callback Integration (Toolbox: command=self.action, lambda: self.action(arg), partial(self.action, arg))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action callbacks using command=self.action, lambda: self.action(arg), and partial(self.action, arg)..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action callbacks using command=self.action, lambda: self.action(arg), and partial(self.action, arg).. Topic details: Event Callback Integration (Toolbox: command=self.action, lambda: self.action(arg), partial(self.action, arg))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OOP - CustomTkinter | 📊 Level: Intermediate
**Topic:** Assign action callbacks using command=self.action, lambda: self.action(arg), and partial(self.action, arg).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5"/>
        <v>[ROLE] Tech Lead | [TASK] Provide intentionally messy but functional code for learning debugging and improvement | [TOPIC] Assign action callbacks using command=self.action, lambda: self.action(arg), and partial(self.action, arg).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OOP - CustomTkinter | 📊 Level: Intermediate | 🌐 Coding5s.com
**Concept:** Event Callback Integration (Toolbox: command=self.action, lambda: self.action(arg), partial(self.action, arg))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Assign action callbacks using command=self.action, lambda: self.action(arg), and partial(self.action, arg).. Topic details: Event Callback Integration (Toolbox: command=self.action, lambda: self.action(arg), partial(self.action, arg))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OOP - CustomTkinter | 📊 Level: Intermediate
**Topic:** Assign action callbacks using command=self.action, lambda: self.action(arg), and partial(self.action, arg).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7"/>
        <v>[ROLE] Tech Product Manager assigning a Python OOP Jira Ticket | [TASK] Provide a guided implementation exercise with full solution for learning purposes | [TOPIC] Assign action callbacks using command=self.action, lambda: self.action(arg), and partial(self.action, arg).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OOP - CustomTkinter | 📊 Level: Intermediate | 🌐 Coding5s.com
**Concept:** Event Callback Integration (Toolbox: command=self.action, lambda: self.action(arg), partial(self.action, arg))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action callbacks using command=self.action, lambda: self.action(arg), and partial(self.action, arg).. Goal: Event Callback Integration (Toolbox: command=self.action, lambda: self.action(arg), partial(self.action, arg))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OOP - CustomTkinter | 📊 Level: Intermediate
**Topic:** Assign action callbacks using command=self.action, lambda: self.action(arg), and partial(self.action, arg).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9"/>
        <v/>
      </c>
      <c r="AA31" s="56" t="str">
        <f t="shared" si="10"/>
        <v/>
      </c>
      <c r="AB31" s="56" t="str">
        <f t="shared" si="11"/>
        <v/>
      </c>
      <c r="AC31" s="56" t="str">
        <f t="shared" si="12"/>
        <v/>
      </c>
      <c r="AD31" s="56" t="str">
        <f t="shared" si="13"/>
        <v/>
      </c>
      <c r="AE31" s="40" t="s">
        <v>155</v>
      </c>
      <c r="AF31" s="40" t="s">
        <v>156</v>
      </c>
      <c r="AG31" s="40" t="s">
        <v>157</v>
      </c>
      <c r="AH31" s="56" t="str">
        <f t="shared" si="14"/>
        <v/>
      </c>
      <c r="AI31" s="54"/>
      <c r="AJ31" s="54"/>
      <c r="AK31" s="54">
        <v>23</v>
      </c>
      <c r="AL31" s="54" t="s">
        <v>123</v>
      </c>
      <c r="AM31" s="54" t="s">
        <v>124</v>
      </c>
    </row>
    <row r="32" spans="1:39">
      <c r="A32" s="45" t="str" cm="1">
        <f t="array" ref="A32">IF(H32="PROJECT", CHAR(10) &amp; "- " &amp; _xlfn.TEXTJOIN(CHAR(10) &amp; "- ", TRUE, _xlfn._xlws.FILTER($I$9:$I$1000, ($B$9:$B$1000=B32) * ($H$9:$H$1000="Topic"))), "")</f>
        <v xml:space="preserve">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v>
      </c>
      <c r="B32" s="45">
        <f t="shared" si="15"/>
        <v>3</v>
      </c>
      <c r="C32" s="95">
        <v>30</v>
      </c>
      <c r="D32" s="57">
        <v>0</v>
      </c>
      <c r="E32" s="58" t="s">
        <v>46</v>
      </c>
      <c r="F32" s="59">
        <v>24</v>
      </c>
      <c r="G32" s="60" t="s">
        <v>158</v>
      </c>
      <c r="H32" s="60" t="s">
        <v>77</v>
      </c>
      <c r="I32" s="61" t="s">
        <v>819</v>
      </c>
      <c r="J32" s="62" t="s">
        <v>820</v>
      </c>
      <c r="K32" s="129" t="str">
        <f t="shared" si="16"/>
        <v>[TASK] Teach through a practical Python OOP - CustomTkinter project following the micro-learning methodology, acting as a supportive tutor, creating a project about  Develop a multi-tab dashboard interface consolidating responsive grid layouts, scrollable frames, frame switching, and event callbacks. | [TOPICS USED]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 [LEVEL] Intermediate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Must include 'import customtkinter as ctk' on a separate top-level line before any class declaration.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OOP - CustomTkinter | 📊 Level: Intermediate | 🌐 Coding5s.com
**Project:** Dynamic Dashboard Navigation Layout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2"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multi-tab dashboard interface consolidating responsive grid layouts, scrollable frames, frame switching, and event callbacks.. Topics applied in this project: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Project objective: Dynamic Dashboard Navigation Layout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Python OOP - CustomTkinter | 📊 Level: Intermediate
**Project:** Develop a multi-tab dashboard interface consolidating responsive grid layouts, scrollable frames, frame switching, and event callbacks.
---
 | [FOOTER RULE - STRICT] End your response with: '--- ⚡ *Coding5s Mentor System — Eliminating Epistemic Debt*' | </v>
      </c>
      <c r="M32" s="52">
        <v>0</v>
      </c>
      <c r="N32" s="102" t="str">
        <f t="shared" si="1"/>
        <v>[ROLE] Careless Python OOP Developer | [TASK] Generate debugging project in Python OOP | [PROJECT] Develop a multi-tab dashboard interface consolidating responsive grid layouts, scrollable frames, frame switching, and event callbacks. | [TOPICS USED]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OOP - CustomTkinter | 📊 Level: Intermediate | 🌐 Coding5s.com
Project: Dynamic Dashboard Navigation Layout
---
 | [LIBRARY BEING LEARNED] CustomTkinter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2"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multi-tab dashboard interface consolidating responsive grid layouts, scrollable frames, frame switching, and event callbacks.. Topics involved: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Project objective: Dynamic Dashboard Navigation Layout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Python OOP - CustomTkinter | 📊 Level: Intermediate
**Project:** Develop a multi-tab dashboard interface consolidating responsive grid layouts, scrollable frames, frame switching, and event callbacks.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3"/>
        <v>[ROLE] Tech Lead | [TASK] Assign incomplete project script | [PROJECT] Develop a multi-tab dashboard interface consolidating responsive grid layouts, scrollable frames, frame switching, and event callbacks. | [TOPICS USED]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 [LEVEL] Intermediate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OOP - CustomTkinter | 📊 Level: Intermediate | 🌐 Coding5s.com
**Project:** Dynamic Dashboard Navigation Layout
---
 | [EXTERNAL_PACKAGE_PROTOCOL] Require standard pip tooling and requirements.txt file for external dependencies when applicable. | [CHALLENGE_CONSTRAINTS_POLICY] MUST be between 25–40 lines of EXECUTABLE base Python code (STRICT: Do NOT count comments or # TODO blocks). 30–60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2"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multi-tab dashboard interface consolidating responsive grid layouts, scrollable frames, frame switching, and event callbacks.. Topics involved: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Project objective: Dynamic Dashboard Navigation Layout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Python OOP - CustomTkinter | 📊 Level: Intermediate
**Project:** Develop a multi-tab dashboard interface consolidating responsive grid layouts, scrollable frames, frame switching, and event callbacks.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5"/>
        <v>[ROLE] Tech Lead | [TASK] Provide a messy but functional project for refactoring | [PROJECT] Develop a multi-tab dashboard interface consolidating responsive grid layouts, scrollable frames, frame switching, and event callbacks. | [TOPICS USED]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OOP - CustomTkinter | 📊 Level: Intermediate | 🌐 Coding5s.com
**Project:** Dynamic Dashboard Navigation Layout
---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2"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multi-tab dashboard interface consolidating responsive grid layouts, scrollable frames, frame switching, and event callbacks.. Topics involved: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Project objective: Dynamic Dashboard Navigation Layout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Python OOP - CustomTkinter | 📊 Level: Intermediate
**Project:** Develop a multi-tab dashboard interface consolidating responsive grid layouts, scrollable frames, frame switching, and event callbacks.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7"/>
        <v>[ROLE] Tech Product Manager assigning a Python OOP Jira Ticket | [TASK] Provide a guided project implementation with full solution | [PROJECT] Develop a multi-tab dashboard interface consolidating responsive grid layouts, scrollable frames, frame switching, and event callbacks. | [TOPICS USED]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 [LEVEL] Intermediate | [PERSONA RULE] Act as a professional Tech Product Manager defining a project ticket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#24 | Stage 5 | Python OOP - CustomTkinter | 📊 Level: Intermediate | 🌐 Coding5s.com
**Project:** Dynamic Dashboard Navigation Layout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2"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multi-tab dashboard interface consolidating responsive grid layouts, scrollable frames, frame switching, and event callbacks.. Topics integrated: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Business Goal: Dynamic Dashboard Navigation Layout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Python OOP - CustomTkinter | 📊 Level: Intermediate
**Project:** Develop a multi-tab dashboard interface consolidating responsive grid layouts, scrollable frames, frame switching, and event callbacks.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9"/>
        <v>[TASK] Teach through a practical Python OOP - CustomTkinter project following the micro-learning methodology, acting as a supportive tutor, creating a project about  Develop a multi-tab dashboard interface consolidating responsive grid layouts, scrollable frames, frame switching, and event callbacks. | [TOPICS USED]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 [LEVEL] Intermediate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Must include 'import customtkinter as ctk' on a separate top-level line before any class declaration.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OOP - CustomTkinter | 📊 Level: Intermediate | 🌐 Coding5s.com
**Project:** Dynamic Dashboard Navigation Layout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2" s="56" t="str">
        <f t="shared" si="10"/>
        <v>[ROLE] Careless Python OOP Developer | [TASK] Generate debugging project in Python OOP | [PROJECT] Develop a multi-tab dashboard interface consolidating responsive grid layouts, scrollable frames, frame switching, and event callbacks. | [TOPICS USED]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OOP - CustomTkinter | 📊 Level: Intermediate | 🌐 Coding5s.com
Project: Dynamic Dashboard Navigation Layout
---
 | [LIBRARY BEING LEARNED] CustomTkinter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2" s="56" t="str">
        <f t="shared" si="11"/>
        <v>[ROLE] Tech Lead | [TASK] Assign incomplete project script | [PROJECT] Develop a multi-tab dashboard interface consolidating responsive grid layouts, scrollable frames, frame switching, and event callbacks. | [TOPICS USED]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 [LEVEL] Intermediate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OOP - CustomTkinter | 📊 Level: Intermediate | 🌐 Coding5s.com
**Project:** Dynamic Dashboard Navigation Layout
---
 | [EXTERNAL_PACKAGE_PROTOCOL] Require standard pip tooling and requirements.txt file for external dependencies when applicable. | [CHALLENGE_CONSTRAINTS_POLICY] MUST be between 25–40 lines of EXECUTABLE base Python code (STRICT: Do NOT count comments or # TODO blocks). 30–60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2" s="56" t="str">
        <f t="shared" si="12"/>
        <v>[ROLE] Tech Lead | [TASK] Provide a messy but functional project for refactoring | [PROJECT] Develop a multi-tab dashboard interface consolidating responsive grid layouts, scrollable frames, frame switching, and event callbacks. | [TOPICS USED]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OOP - CustomTkinter | 📊 Level: Intermediate | 🌐 Coding5s.com
**Project:** Dynamic Dashboard Navigation Layout
---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2" s="56" t="str">
        <f t="shared" si="13"/>
        <v>[ROLE] Tech Product Manager assigning a Python OOP Jira Ticket | [TASK] Provide a guided project implementation with full solution | [PROJECT] Develop a multi-tab dashboard interface consolidating responsive grid layouts, scrollable frames, frame switching, and event callbacks. | [TOPICS USED]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 [LEVEL] Intermediate | [PERSONA RULE] Act as a professional Tech Product Manager defining a project ticket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#24 | Stage 5 | Python OOP - CustomTkinter | 📊 Level: Intermediate | 🌐 Coding5s.com
**Project:** Dynamic Dashboard Navigation Layout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2" s="40"/>
      <c r="AF32" s="40"/>
      <c r="AG32" s="40"/>
      <c r="AH32" s="56" t="str">
        <f t="shared" si="14"/>
        <v/>
      </c>
      <c r="AI32" s="54"/>
      <c r="AJ32" s="54"/>
      <c r="AK32" s="54">
        <v>24</v>
      </c>
      <c r="AL32" s="54" t="s">
        <v>128</v>
      </c>
      <c r="AM32" s="54" t="s">
        <v>129</v>
      </c>
    </row>
    <row r="33" spans="1:39">
      <c r="A33" s="45" t="str" cm="1">
        <f t="array" ref="A33">IF(H33="PROJECT", CHAR(10) &amp; "- " &amp; _xlfn.TEXTJOIN(CHAR(10) &amp; "- ", TRUE, _xlfn._xlws.FILTER($I$9:$I$1000, ($B$9:$B$1000=B33) * ($H$9:$H$1000="Topic"))), "")</f>
        <v/>
      </c>
      <c r="B33" s="45">
        <f t="shared" si="15"/>
        <v>4</v>
      </c>
      <c r="C33" s="95">
        <v>18</v>
      </c>
      <c r="D33" s="46">
        <v>4</v>
      </c>
      <c r="E33" s="58" t="s">
        <v>46</v>
      </c>
      <c r="F33" s="48">
        <v>25</v>
      </c>
      <c r="G33" s="49" t="s">
        <v>158</v>
      </c>
      <c r="H33" s="49" t="s">
        <v>48</v>
      </c>
      <c r="I33" s="50" t="s">
        <v>821</v>
      </c>
      <c r="J33" s="51" t="s">
        <v>822</v>
      </c>
      <c r="K33" s="129" t="str">
        <f t="shared" si="16"/>
        <v xml:space="preserve">[ROLE] Friendly tutor specializing in Python OOP | [TOPIC] Bind system and native user inputs using widget.bind(), widget.unbind(), and app.protocol("WM_DELETE_WINDOW", func).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OOP - CustomTkinter | 📊 Level: Intermediate | 🌐 Coding5s.com
**Concept:** Native Event Binding &amp; Protocols (Toolbox: widget.bind(), widget.unbind(), app.protocol("WM_DELETE_WINDOW", func))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Bind system and native user inputs using widget.bind(), widget.unbind(), and app.protocol("WM_DELETE_WINDOW", func).. Topic details: Native Event Binding &amp; Protocols (Toolbox: widget.bind(), widget.unbind(), app.protocol("WM_DELETE_WINDOW", func))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OOP - CustomTkinter | 📊 Level: Intermediate
**Topic:** Bind system and native user inputs using widget.bind(), widget.unbind(), and app.protocol("WM_DELETE_WINDOW", func).
---
 | [FOOTER RULE - STRICT] End your response with: '--- ⚡ *Coding5s Mentor System — Eliminating Epistemic Debt*' | </v>
      </c>
      <c r="M33" s="53">
        <v>0</v>
      </c>
      <c r="N33" s="102" t="str">
        <f t="shared" si="1"/>
        <v>[ROLE] Careless Python OOP Developer | [TASK] Generate debugging challenges in Python OOP | | [TOPIC] Bind system and native user inputs using widget.bind(), widget.unbind(), and app.protocol("WM_DELETE_WINDOW", func).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2 🐛 Debug | Python OOP - CustomTkinter | 📊 Level: Intermediate | 🌐 Coding5s.com
Concept: Native Event Binding &amp; Protocols (Toolbox: widget.bind(), widget.unbind(), app.protocol("WM_DELETE_WINDOW", func))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Bind system and native user inputs using widget.bind(), widget.unbind(), and app.protocol("WM_DELETE_WINDOW", func).. Topic details: Native Event Binding &amp; Protocols (Toolbox: widget.bind(), widget.unbind(), app.protocol("WM_DELETE_WINDOW", func))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OOP - CustomTkinter | 📊 Level: Intermediate
**Topic:** Bind system and native user inputs using widget.bind(), widget.unbind(), and app.protocol("WM_DELETE_WINDOW", func).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3"/>
        <v>[ROLE] Tech Lead | [TASK] Assign incomplete Python OOP script challenges | [TOPIC] Bind system and native user inputs using widget.bind(), widget.unbind(), and app.protocol("WM_DELETE_WINDOW", func).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3 🧩 Complete | Python OOP - CustomTkinter | 📊 Level: Intermediate | 🌐 Coding5s.com
**Concept:** Native Event Binding &amp; Protocols (Toolbox: widget.bind(), widget.unbind(), app.protocol("WM_DELETE_WINDOW", func))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Bind system and native user inputs using widget.bind(), widget.unbind(), and app.protocol("WM_DELETE_WINDOW", func)..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Bind system and native user inputs using widget.bind(), widget.unbind(), and app.protocol("WM_DELETE_WINDOW", func).. Topic details: Native Event Binding &amp; Protocols (Toolbox: widget.bind(), widget.unbind(), app.protocol("WM_DELETE_WINDOW", func))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OOP - CustomTkinter | 📊 Level: Intermediate
**Topic:** Bind system and native user inputs using widget.bind(), widget.unbind(), and app.protocol("WM_DELETE_WINDOW", func).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5"/>
        <v>[ROLE] Tech Lead | [TASK] Provide intentionally messy but functional code for learning debugging and improvement | [TOPIC] Bind system and native user inputs using widget.bind(), widget.unbind(), and app.protocol("WM_DELETE_WINDOW", func).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OOP - CustomTkinter | 📊 Level: Intermediate | 🌐 Coding5s.com
**Concept:** Native Event Binding &amp; Protocols (Toolbox: widget.bind(), widget.unbind(), app.protocol("WM_DELETE_WINDOW", func))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Bind system and native user inputs using widget.bind(), widget.unbind(), and app.protocol("WM_DELETE_WINDOW", func).. Topic details: Native Event Binding &amp; Protocols (Toolbox: widget.bind(), widget.unbind(), app.protocol("WM_DELETE_WINDOW", func))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OOP - CustomTkinter | 📊 Level: Intermediate
**Topic:** Bind system and native user inputs using widget.bind(), widget.unbind(), and app.protocol("WM_DELETE_WINDOW", func).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7"/>
        <v>[ROLE] Tech Product Manager assigning a Python OOP Jira Ticket | [TASK] Provide a guided implementation exercise with full solution for learning purposes | [TOPIC] Bind system and native user inputs using widget.bind(), widget.unbind(), and app.protocol("WM_DELETE_WINDOW", func).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OOP - CustomTkinter | 📊 Level: Intermediate | 🌐 Coding5s.com
**Concept:** Native Event Binding &amp; Protocols (Toolbox: widget.bind(), widget.unbind(), app.protocol("WM_DELETE_WINDOW", func))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Bind system and native user inputs using widget.bind(), widget.unbind(), and app.protocol("WM_DELETE_WINDOW", func).. Goal: Native Event Binding &amp; Protocols (Toolbox: widget.bind(), widget.unbind(), app.protocol("WM_DELETE_WINDOW", func))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OOP - CustomTkinter | 📊 Level: Intermediate
**Topic:** Bind system and native user inputs using widget.bind(), widget.unbind(), and app.protocol("WM_DELETE_WINDOW", func).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9"/>
        <v/>
      </c>
      <c r="AA33" s="56" t="str">
        <f t="shared" si="10"/>
        <v/>
      </c>
      <c r="AB33" s="56" t="str">
        <f t="shared" si="11"/>
        <v/>
      </c>
      <c r="AC33" s="56" t="str">
        <f t="shared" si="12"/>
        <v/>
      </c>
      <c r="AD33" s="56" t="str">
        <f t="shared" si="13"/>
        <v/>
      </c>
      <c r="AE33" s="40"/>
      <c r="AF33" s="40"/>
      <c r="AG33" s="40"/>
      <c r="AH33" s="56" t="str">
        <f t="shared" si="14"/>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5"/>
        <v>4</v>
      </c>
      <c r="C34" s="95">
        <v>12</v>
      </c>
      <c r="D34" s="57">
        <v>4</v>
      </c>
      <c r="E34" s="58" t="s">
        <v>46</v>
      </c>
      <c r="F34" s="59">
        <v>26</v>
      </c>
      <c r="G34" s="60" t="s">
        <v>158</v>
      </c>
      <c r="H34" s="60" t="s">
        <v>48</v>
      </c>
      <c r="I34" s="61" t="s">
        <v>823</v>
      </c>
      <c r="J34" s="62" t="s">
        <v>824</v>
      </c>
      <c r="K34" s="129" t="str">
        <f t="shared" si="16"/>
        <v xml:space="preserve">[ROLE] Friendly tutor specializing in Python OOP | [TOPIC] Evaluate and modify element states at runtime using widget.cget(), widget.configure(), state="normal", and state="disabled".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OOP - CustomTkinter | 📊 Level: Intermediate | 🌐 Coding5s.com
**Concept:** Attribute Inspection &amp; Runtime Mutation (Toolbox: widget.cget(), widget.configure(), state="normal", state="disabled")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modify element states at runtime using widget.cget(), widget.configure(), state="normal", and state="disabled".. Topic details: Attribute Inspection &amp; Runtime Mutation (Toolbox: widget.cget(), widget.configure(), state="normal", state="disabled")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OOP - CustomTkinter | 📊 Level: Intermediate
**Topic:** Evaluate and modify element states at runtime using widget.cget(), widget.configure(), state="normal", and state="disabled".
---
 | [FOOTER RULE - STRICT] End your response with: '--- ⚡ *Coding5s Mentor System — Eliminating Epistemic Debt*' | </v>
      </c>
      <c r="M34" s="52">
        <v>0</v>
      </c>
      <c r="N34" s="102" t="str">
        <f t="shared" si="1"/>
        <v>[ROLE] Careless Python OOP Developer | [TASK] Generate debugging challenges in Python OOP | | [TOPIC] Evaluate and modify element states at runtime using widget.cget(), widget.configure(), state="normal", and state="disabled".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OOP - CustomTkinter | 📊 Level: Intermediate | 🌐 Coding5s.com
Concept: Attribute Inspection &amp; Runtime Mutation (Toolbox: widget.cget(), widget.configure(), state="normal", state="disabled")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modify element states at runtime using widget.cget(), widget.configure(), state="normal", and state="disabled".. Topic details: Attribute Inspection &amp; Runtime Mutation (Toolbox: widget.cget(), widget.configure(), state="normal", state="disabled")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OOP - CustomTkinter | 📊 Level: Intermediate
**Topic:** Evaluate and modify element states at runtime using widget.cget(), widget.configure(), state="normal", and state="disabled".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3"/>
        <v>[ROLE] Tech Lead | [TASK] Assign incomplete Python OOP script challenges | [TOPIC] Evaluate and modify element states at runtime using widget.cget(), widget.configure(), state="normal", and state="disabled".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OOP - CustomTkinter | 📊 Level: Intermediate | 🌐 Coding5s.com
**Concept:** Attribute Inspection &amp; Runtime Mutation (Toolbox: widget.cget(), widget.configure(), state="normal", state="disabled")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modify element states at runtime using widget.cget(), widget.configure(), state="normal", and state="disabled"..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modify element states at runtime using widget.cget(), widget.configure(), state="normal", and state="disabled".. Topic details: Attribute Inspection &amp; Runtime Mutation (Toolbox: widget.cget(), widget.configure(), state="normal", state="disabled")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OOP - CustomTkinter | 📊 Level: Intermediate
**Topic:** Evaluate and modify element states at runtime using widget.cget(), widget.configure(), state="normal", and state="disabled".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5"/>
        <v>[ROLE] Tech Lead | [TASK] Provide intentionally messy but functional code for learning debugging and improvement | [TOPIC] Evaluate and modify element states at runtime using widget.cget(), widget.configure(), state="normal", and state="disabled".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OOP - CustomTkinter | 📊 Level: Intermediate | 🌐 Coding5s.com
**Concept:** Attribute Inspection &amp; Runtime Mutation (Toolbox: widget.cget(), widget.configure(), state="normal", state="disabled")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Evaluate and modify element states at runtime using widget.cget(), widget.configure(), state="normal", and state="disabled".. Topic details: Attribute Inspection &amp; Runtime Mutation (Toolbox: widget.cget(), widget.configure(), state="normal", state="disabled")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OOP - CustomTkinter | 📊 Level: Intermediate
**Topic:** Evaluate and modify element states at runtime using widget.cget(), widget.configure(), state="normal", and state="disabled".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7"/>
        <v>[ROLE] Tech Product Manager assigning a Python OOP Jira Ticket | [TASK] Provide a guided implementation exercise with full solution for learning purposes | [TOPIC] Evaluate and modify element states at runtime using widget.cget(), widget.configure(), state="normal", and state="disabled".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OOP - CustomTkinter | 📊 Level: Intermediate | 🌐 Coding5s.com
**Concept:** Attribute Inspection &amp; Runtime Mutation (Toolbox: widget.cget(), widget.configure(), state="normal", state="disabled")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modify element states at runtime using widget.cget(), widget.configure(), state="normal", and state="disabled".. Goal: Attribute Inspection &amp; Runtime Mutation (Toolbox: widget.cget(), widget.configure(), state="normal", state="disabled")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OOP - CustomTkinter | 📊 Level: Intermediate
**Topic:** Evaluate and modify element states at runtime using widget.cget(), widget.configure(), state="normal", and state="disabled".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9"/>
        <v/>
      </c>
      <c r="AA34" s="56" t="str">
        <f t="shared" si="10"/>
        <v/>
      </c>
      <c r="AB34" s="56" t="str">
        <f t="shared" si="11"/>
        <v/>
      </c>
      <c r="AC34" s="56" t="str">
        <f t="shared" si="12"/>
        <v/>
      </c>
      <c r="AD34" s="56" t="str">
        <f t="shared" si="13"/>
        <v/>
      </c>
      <c r="AE34" s="40"/>
      <c r="AF34" s="40"/>
      <c r="AG34" s="40"/>
      <c r="AH34" s="56" t="str">
        <f t="shared" si="14"/>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5"/>
        <v>4</v>
      </c>
      <c r="C35" s="95">
        <v>18</v>
      </c>
      <c r="D35" s="46">
        <v>5</v>
      </c>
      <c r="E35" s="58" t="s">
        <v>46</v>
      </c>
      <c r="F35" s="48">
        <v>27</v>
      </c>
      <c r="G35" s="49" t="s">
        <v>159</v>
      </c>
      <c r="H35" s="49" t="s">
        <v>48</v>
      </c>
      <c r="I35" s="50" t="s">
        <v>825</v>
      </c>
      <c r="J35" s="51" t="s">
        <v>826</v>
      </c>
      <c r="K35" s="129" t="str">
        <f t="shared" si="16"/>
        <v xml:space="preserve">[ROLE] Friendly tutor specializing in Python OOP | [TOPIC] Update activity progression indicators using ctk.CTkProgressBar(), progress.set(), progress.start(), and progress.stop(). | [LEVEL] Advanced | [COUNT] 5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OOP - CustomTkinter | 📊 Level: Advanced | 🌐 Coding5s.com
**Concept:** Progress Tracking Mechanics (Toolbox: ctk.CTkProgressBar(), progress.set(), progress.start(), progress.stop())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Update activity progression indicators using ctk.CTkProgressBar(), progress.set(), progress.start(), and progress.stop().. Topic details: Progress Tracking Mechanics (Toolbox: ctk.CTkProgressBar(), progress.set(), progress.start(), progress.stop()) | [LIBRARY BEING LEARNED] CustomTkinter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OOP - CustomTkinter | 📊 Level: Advanced
**Topic:** Update activity progression indicators using ctk.CTkProgressBar(), progress.set(), progress.start(), and progress.stop().
---
 | [FOOTER RULE - STRICT] End your response with: '--- ⚡ *Coding5s Mentor System — Eliminating Epistemic Debt*' | </v>
      </c>
      <c r="M35" s="53">
        <v>0</v>
      </c>
      <c r="N35" s="102" t="str">
        <f t="shared" si="1"/>
        <v>[ROLE] Careless Python OOP Developer | [TASK] Generate debugging challenges in Python OOP | | [TOPIC] Update activity progression indicators using ctk.CTkProgressBar(), progress.set(), progress.start(), and progress.stop(). | | [LEVEL] Advanced |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OOP - CustomTkinter | 📊 Level: Advanced | 🌐 Coding5s.com
Concept: Progress Tracking Mechanics (Toolbox: ctk.CTkProgressBar(), progress.set(), progress.start(), progress.stop())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Update activity progression indicators using ctk.CTkProgressBar(), progress.set(), progress.start(), and progress.stop().. Topic details: Progress Tracking Mechanics (Toolbox: ctk.CTkProgressBar(), progress.set(), progress.start(), progress.stop())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OOP - CustomTkinter | 📊 Level: Advanced
**Topic:** Update activity progression indicators using ctk.CTkProgressBar(), progress.set(), progress.start(), and progress.stop().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3"/>
        <v>[ROLE] Tech Lead | [TASK] Assign incomplete Python OOP script challenges | [TOPIC] Update activity progression indicators using ctk.CTkProgressBar(), progress.set(), progress.start(), and progress.stop(). | [LEVEL] Advanced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OOP - CustomTkinter | 📊 Level: Advanced | 🌐 Coding5s.com
**Concept:** Progress Tracking Mechanics (Toolbox: ctk.CTkProgressBar(), progress.set(), progress.start(), progress.stop())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Update activity progression indicators using ctk.CTkProgressBar(), progress.set(), progress.start(), and progress.stop()..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Update activity progression indicators using ctk.CTkProgressBar(), progress.set(), progress.start(), and progress.stop().. Topic details: Progress Tracking Mechanics (Toolbox: ctk.CTkProgressBar(), progress.set(), progress.start(), progress.stop())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OOP - CustomTkinter | 📊 Level: Advanced
**Topic:** Update activity progression indicators using ctk.CTkProgressBar(), progress.set(), progress.start(), and progress.stop().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5"/>
        <v>[ROLE] Tech Lead | [TASK] Provide intentionally messy but functional code for learning debugging and improvement | [TOPIC] Update activity progression indicators using ctk.CTkProgressBar(), progress.set(), progress.start(), and progress.stop(). | [LEVEL] Advanced | [COUNT] 5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OOP - CustomTkinter | 📊 Level: Advanced | 🌐 Coding5s.com
**Concept:** Progress Tracking Mechanics (Toolbox: ctk.CTkProgressBar(), progress.set(), progress.start(), progress.stop())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Update activity progression indicators using ctk.CTkProgressBar(), progress.set(), progress.start(), and progress.stop().. Topic details: Progress Tracking Mechanics (Toolbox: ctk.CTkProgressBar(), progress.set(), progress.start(), progress.stop())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OOP - CustomTkinter | 📊 Level: Advanced
**Topic:** Update activity progression indicators using ctk.CTkProgressBar(), progress.set(), progress.start(), and progress.stop().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7"/>
        <v>[ROLE] Tech Product Manager assigning a Python OOP Jira Ticket | [TASK] Provide a guided implementation exercise with full solution for learning purposes | [TOPIC] Update activity progression indicators using ctk.CTkProgressBar(), progress.set(), progress.start(), and progress.stop(). | [LEVEL] Advanced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OOP - CustomTkinter | 📊 Level: Advanced | 🌐 Coding5s.com
**Concept:** Progress Tracking Mechanics (Toolbox: ctk.CTkProgressBar(), progress.set(), progress.start(), progress.stop())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Update activity progression indicators using ctk.CTkProgressBar(), progress.set(), progress.start(), and progress.stop().. Goal: Progress Tracking Mechanics (Toolbox: ctk.CTkProgressBar(), progress.set(), progress.start(), progress.stop())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OOP - CustomTkinter | 📊 Level: Advanced
**Topic:** Update activity progression indicators using ctk.CTkProgressBar(), progress.set(), progress.start(), and progress.stop().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9"/>
        <v/>
      </c>
      <c r="AA35" s="56" t="str">
        <f t="shared" si="10"/>
        <v/>
      </c>
      <c r="AB35" s="56" t="str">
        <f t="shared" si="11"/>
        <v/>
      </c>
      <c r="AC35" s="56" t="str">
        <f t="shared" si="12"/>
        <v/>
      </c>
      <c r="AD35" s="56" t="str">
        <f t="shared" si="13"/>
        <v/>
      </c>
      <c r="AE35" s="40"/>
      <c r="AF35" s="40"/>
      <c r="AG35" s="40"/>
      <c r="AH35" s="56" t="str">
        <f t="shared" si="14"/>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5"/>
        <v>4</v>
      </c>
      <c r="C36" s="95">
        <v>18</v>
      </c>
      <c r="D36" s="57">
        <v>5</v>
      </c>
      <c r="E36" s="58" t="s">
        <v>46</v>
      </c>
      <c r="F36" s="59">
        <v>28</v>
      </c>
      <c r="G36" s="60" t="s">
        <v>159</v>
      </c>
      <c r="H36" s="60" t="s">
        <v>48</v>
      </c>
      <c r="I36" s="61" t="s">
        <v>827</v>
      </c>
      <c r="J36" s="62" t="s">
        <v>828</v>
      </c>
      <c r="K36" s="129" t="str">
        <f t="shared" si="16"/>
        <v xml:space="preserve">[ROLE] Friendly tutor specializing in Python OOP | [TOPIC] Manipulate complex text interfaces using ctk.CTkTextbox(), text.insert(), text.delete(), and text.see(). | [LEVEL] Advanced | [COUNT] 5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OOP - CustomTkinter | 📊 Level: Advanced | 🌐 Coding5s.com
**Concept:** Multiline Text Display Operations (Toolbox: ctk.CTkTextbox(), text.insert(), text.delete(), text.see())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complex text interfaces using ctk.CTkTextbox(), text.insert(), text.delete(), and text.see().. Topic details: Multiline Text Display Operations (Toolbox: ctk.CTkTextbox(), text.insert(), text.delete(), text.see()) | [LIBRARY BEING LEARNED] CustomTkinter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OOP - CustomTkinter | 📊 Level: Advanced
**Topic:** Manipulate complex text interfaces using ctk.CTkTextbox(), text.insert(), text.delete(), and text.see().
---
 | [FOOTER RULE - STRICT] End your response with: '--- ⚡ *Coding5s Mentor System — Eliminating Epistemic Debt*' | </v>
      </c>
      <c r="M36" s="52">
        <v>0</v>
      </c>
      <c r="N36" s="102" t="str">
        <f t="shared" si="1"/>
        <v>[ROLE] Careless Python OOP Developer | [TASK] Generate debugging challenges in Python OOP | | [TOPIC] Manipulate complex text interfaces using ctk.CTkTextbox(), text.insert(), text.delete(), and text.see(). | | [LEVEL] Advanced |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OOP - CustomTkinter | 📊 Level: Advanced | 🌐 Coding5s.com
Concept: Multiline Text Display Operations (Toolbox: ctk.CTkTextbox(), text.insert(), text.delete(), text.see())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complex text interfaces using ctk.CTkTextbox(), text.insert(), text.delete(), and text.see().. Topic details: Multiline Text Display Operations (Toolbox: ctk.CTkTextbox(), text.insert(), text.delete(), text.see())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OOP - CustomTkinter | 📊 Level: Advanced
**Topic:** Manipulate complex text interfaces using ctk.CTkTextbox(), text.insert(), text.delete(), and text.see().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3"/>
        <v>[ROLE] Tech Lead | [TASK] Assign incomplete Python OOP script challenges | [TOPIC] Manipulate complex text interfaces using ctk.CTkTextbox(), text.insert(), text.delete(), and text.see(). | [LEVEL] Advanced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OOP - CustomTkinter | 📊 Level: Advanced | 🌐 Coding5s.com
**Concept:** Multiline Text Display Operations (Toolbox: ctk.CTkTextbox(), text.insert(), text.delete(), text.see())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complex text interfaces using ctk.CTkTextbox(), text.insert(), text.delete(), and text.see()..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complex text interfaces using ctk.CTkTextbox(), text.insert(), text.delete(), and text.see().. Topic details: Multiline Text Display Operations (Toolbox: ctk.CTkTextbox(), text.insert(), text.delete(), text.see())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OOP - CustomTkinter | 📊 Level: Advanced
**Topic:** Manipulate complex text interfaces using ctk.CTkTextbox(), text.insert(), text.delete(), and text.see().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5"/>
        <v>[ROLE] Tech Lead | [TASK] Provide intentionally messy but functional code for learning debugging and improvement | [TOPIC] Manipulate complex text interfaces using ctk.CTkTextbox(), text.insert(), text.delete(), and text.see(). | [LEVEL] Advanced | [COUNT] 5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OOP - CustomTkinter | 📊 Level: Advanced | 🌐 Coding5s.com
**Concept:** Multiline Text Display Operations (Toolbox: ctk.CTkTextbox(), text.insert(), text.delete(), text.see())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Manipulate complex text interfaces using ctk.CTkTextbox(), text.insert(), text.delete(), and text.see().. Topic details: Multiline Text Display Operations (Toolbox: ctk.CTkTextbox(), text.insert(), text.delete(), text.see())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OOP - CustomTkinter | 📊 Level: Advanced
**Topic:** Manipulate complex text interfaces using ctk.CTkTextbox(), text.insert(), text.delete(), and text.see().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7"/>
        <v>[ROLE] Tech Product Manager assigning a Python OOP Jira Ticket | [TASK] Provide a guided implementation exercise with full solution for learning purposes | [TOPIC] Manipulate complex text interfaces using ctk.CTkTextbox(), text.insert(), text.delete(), and text.see(). | [LEVEL] Advanced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OOP - CustomTkinter | 📊 Level: Advanced | 🌐 Coding5s.com
**Concept:** Multiline Text Display Operations (Toolbox: ctk.CTkTextbox(), text.insert(), text.delete(), text.see())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complex text interfaces using ctk.CTkTextbox(), text.insert(), text.delete(), and text.see().. Goal: Multiline Text Display Operations (Toolbox: ctk.CTkTextbox(), text.insert(), text.delete(), text.see())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OOP - CustomTkinter | 📊 Level: Advanced
**Topic:** Manipulate complex text interfaces using ctk.CTkTextbox(), text.insert(), text.delete(), and text.see().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9"/>
        <v/>
      </c>
      <c r="AA36" s="56" t="str">
        <f t="shared" si="10"/>
        <v/>
      </c>
      <c r="AB36" s="56" t="str">
        <f t="shared" si="11"/>
        <v/>
      </c>
      <c r="AC36" s="56" t="str">
        <f t="shared" si="12"/>
        <v/>
      </c>
      <c r="AD36" s="56" t="str">
        <f t="shared" si="13"/>
        <v/>
      </c>
      <c r="AE36" s="40"/>
      <c r="AF36" s="40"/>
      <c r="AG36" s="40"/>
      <c r="AH36" s="56" t="str">
        <f t="shared" si="14"/>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5"/>
        <v>4</v>
      </c>
      <c r="C37" s="95">
        <v>20</v>
      </c>
      <c r="D37" s="46">
        <v>5</v>
      </c>
      <c r="E37" s="58" t="s">
        <v>708</v>
      </c>
      <c r="F37" s="48">
        <v>29</v>
      </c>
      <c r="G37" s="49" t="s">
        <v>159</v>
      </c>
      <c r="H37" s="49" t="s">
        <v>48</v>
      </c>
      <c r="I37" s="50" t="s">
        <v>829</v>
      </c>
      <c r="J37" s="51" t="s">
        <v>830</v>
      </c>
      <c r="K37" s="129" t="str">
        <f t="shared" si="16"/>
        <v xml:space="preserve">[ROLE] Friendly tutor specializing in Python OOP | [TOPIC] Render scalable image media using ctk.CTkImage(), light_image, dark_image, and size. | [LEVEL] Advanced | [COUNT] 5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OOP - CustomTkinter | 📊 Level: Advanced | 🌐 Coding5s.com
**Concept:** High-DPI Image Rendering (Toolbox: ctk.CTkImage(), light_image, dark_image, size)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Render scalable image media using ctk.CTkImage(), light_image, dark_image, and size.. Topic details: High-DPI Image Rendering (Toolbox: ctk.CTkImage(), light_image, dark_image, size) | [LIBRARY BEING LEARNED] CustomTkinter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OOP - CustomTkinter | 📊 Level: Advanced
**Topic:** Render scalable image media using ctk.CTkImage(), light_image, dark_image, and size.
---
 | [FOOTER RULE - STRICT] End your response with: '--- ⚡ *Coding5s Mentor System — Eliminating Epistemic Debt*' | </v>
      </c>
      <c r="M37" s="53">
        <v>0</v>
      </c>
      <c r="N37" s="102" t="str">
        <f t="shared" si="1"/>
        <v>[ROLE] Careless Python OOP Developer | [TASK] Generate debugging challenges in Python OOP | | [TOPIC] Render scalable image media using ctk.CTkImage(), light_image, dark_image, and size. | | [LEVEL] Advanced |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OOP - CustomTkinter | 📊 Level: Advanced | 🌐 Coding5s.com
Concept: High-DPI Image Rendering (Toolbox: ctk.CTkImage(), light_image, dark_image, size)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Render scalable image media using ctk.CTkImage(), light_image, dark_image, and size.. Topic details: High-DPI Image Rendering (Toolbox: ctk.CTkImage(), light_image, dark_image, size)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OOP - CustomTkinter | 📊 Level: Advanced
**Topic:** Render scalable image media using ctk.CTkImage(), light_image, dark_image, and size.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3"/>
        <v>[ROLE] Tech Lead | [TASK] Assign incomplete Python OOP script challenges | [TOPIC] Render scalable image media using ctk.CTkImage(), light_image, dark_image, and size. | [LEVEL] Advanced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OOP - CustomTkinter | 📊 Level: Advanced | 🌐 Coding5s.com
**Concept:** High-DPI Image Rendering (Toolbox: ctk.CTkImage(), light_image, dark_image, size)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Render scalable image media using ctk.CTkImage(), light_image, dark_image, and size..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Render scalable image media using ctk.CTkImage(), light_image, dark_image, and size.. Topic details: High-DPI Image Rendering (Toolbox: ctk.CTkImage(), light_image, dark_image, size)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OOP - CustomTkinter | 📊 Level: Advanced
**Topic:** Render scalable image media using ctk.CTkImage(), light_image, dark_image, and size.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5"/>
        <v>[ROLE] Tech Lead | [TASK] Provide intentionally messy but functional code for learning debugging and improvement | [TOPIC] Render scalable image media using ctk.CTkImage(), light_image, dark_image, and size. | [LEVEL] Advanced | [COUNT] 5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OOP - CustomTkinter | 📊 Level: Advanced | 🌐 Coding5s.com
**Concept:** High-DPI Image Rendering (Toolbox: ctk.CTkImage(), light_image, dark_image, size)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Render scalable image media using ctk.CTkImage(), light_image, dark_image, and size.. Topic details: High-DPI Image Rendering (Toolbox: ctk.CTkImage(), light_image, dark_image, size)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OOP - CustomTkinter | 📊 Level: Advanced
**Topic:** Render scalable image media using ctk.CTkImage(), light_image, dark_image, and size.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7"/>
        <v>[ROLE] Tech Product Manager assigning a Python OOP Jira Ticket | [TASK] Provide a guided implementation exercise with full solution for learning purposes | [TOPIC] Render scalable image media using ctk.CTkImage(), light_image, dark_image, and size. | [LEVEL] Advanced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OOP - CustomTkinter | 📊 Level: Advanced | 🌐 Coding5s.com
**Concept:** High-DPI Image Rendering (Toolbox: ctk.CTkImage(), light_image, dark_image, size)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Render scalable image media using ctk.CTkImage(), light_image, dark_image, and size.. Goal: High-DPI Image Rendering (Toolbox: ctk.CTkImage(), light_image, dark_image, size)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OOP - CustomTkinter | 📊 Level: Advanced
**Topic:** Render scalable image media using ctk.CTkImage(), light_image, dark_image, and size.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9"/>
        <v/>
      </c>
      <c r="AA37" s="56" t="str">
        <f t="shared" si="10"/>
        <v/>
      </c>
      <c r="AB37" s="56" t="str">
        <f t="shared" si="11"/>
        <v/>
      </c>
      <c r="AC37" s="56" t="str">
        <f t="shared" si="12"/>
        <v/>
      </c>
      <c r="AD37" s="56" t="str">
        <f t="shared" si="13"/>
        <v/>
      </c>
      <c r="AE37" s="40"/>
      <c r="AF37" s="40"/>
      <c r="AG37" s="40"/>
      <c r="AH37" s="56" t="str">
        <f t="shared" si="14"/>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5"/>
        <v>4</v>
      </c>
      <c r="C38" s="95">
        <v>22</v>
      </c>
      <c r="D38" s="57">
        <v>5</v>
      </c>
      <c r="E38" s="58" t="s">
        <v>46</v>
      </c>
      <c r="F38" s="59">
        <v>30</v>
      </c>
      <c r="G38" s="60" t="s">
        <v>159</v>
      </c>
      <c r="H38" s="60" t="s">
        <v>48</v>
      </c>
      <c r="I38" s="61" t="s">
        <v>831</v>
      </c>
      <c r="J38" s="62" t="s">
        <v>832</v>
      </c>
      <c r="K38" s="129" t="str">
        <f t="shared" si="16"/>
        <v xml:space="preserve">[ROLE] Friendly tutor specializing in Python OOP | [TOPIC] Schedule asynchronous tasks using app.after(), app.after_cancel(), and app.after_idle(). | [LEVEL] Advanced | [COUNT] 5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OOP - CustomTkinter | 📊 Level: Advanced | 🌐 Coding5s.com
**Concept:** Queue Scheduling &amp; Delayed Execution (Toolbox: app.after(), app.after_cancel(), app.after_idle())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Schedule asynchronous tasks using app.after(), app.after_cancel(), and app.after_idle().. Topic details: Queue Scheduling &amp; Delayed Execution (Toolbox: app.after(), app.after_cancel(), app.after_idle()) | [LIBRARY BEING LEARNED] CustomTkinter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OOP - CustomTkinter | 📊 Level: Advanced
**Topic:** Schedule asynchronous tasks using app.after(), app.after_cancel(), and app.after_idle().
---
 | [FOOTER RULE - STRICT] End your response with: '--- ⚡ *Coding5s Mentor System — Eliminating Epistemic Debt*' | </v>
      </c>
      <c r="M38" s="52">
        <v>0</v>
      </c>
      <c r="N38" s="102" t="str">
        <f t="shared" si="1"/>
        <v>[ROLE] Careless Python OOP Developer | [TASK] Generate debugging challenges in Python OOP | | [TOPIC] Schedule asynchronous tasks using app.after(), app.after_cancel(), and app.after_idle(). | | [LEVEL] Advanced |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OOP - CustomTkinter | 📊 Level: Advanced | 🌐 Coding5s.com
Concept: Queue Scheduling &amp; Delayed Execution (Toolbox: app.after(), app.after_cancel(), app.after_idle())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Schedule asynchronous tasks using app.after(), app.after_cancel(), and app.after_idle().. Topic details: Queue Scheduling &amp; Delayed Execution (Toolbox: app.after(), app.after_cancel(), app.after_idle())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OOP - CustomTkinter | 📊 Level: Advanced
**Topic:** Schedule asynchronous tasks using app.after(), app.after_cancel(), and app.after_idle().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3"/>
        <v>[ROLE] Tech Lead | [TASK] Assign incomplete Python OOP script challenges | [TOPIC] Schedule asynchronous tasks using app.after(), app.after_cancel(), and app.after_idle(). | [LEVEL] Advanced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OOP - CustomTkinter | 📊 Level: Advanced | 🌐 Coding5s.com
**Concept:** Queue Scheduling &amp; Delayed Execution (Toolbox: app.after(), app.after_cancel(), app.after_idle())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Schedule asynchronous tasks using app.after(), app.after_cancel(), and app.after_idle()..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Schedule asynchronous tasks using app.after(), app.after_cancel(), and app.after_idle().. Topic details: Queue Scheduling &amp; Delayed Execution (Toolbox: app.after(), app.after_cancel(), app.after_idle())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OOP - CustomTkinter | 📊 Level: Advanced
**Topic:** Schedule asynchronous tasks using app.after(), app.after_cancel(), and app.after_idle().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5"/>
        <v>[ROLE] Tech Lead | [TASK] Provide intentionally messy but functional code for learning debugging and improvement | [TOPIC] Schedule asynchronous tasks using app.after(), app.after_cancel(), and app.after_idle(). | [LEVEL] Advanced | [COUNT] 5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OOP - CustomTkinter | 📊 Level: Advanced | 🌐 Coding5s.com
**Concept:** Queue Scheduling &amp; Delayed Execution (Toolbox: app.after(), app.after_cancel(), app.after_idle())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Schedule asynchronous tasks using app.after(), app.after_cancel(), and app.after_idle().. Topic details: Queue Scheduling &amp; Delayed Execution (Toolbox: app.after(), app.after_cancel(), app.after_idle())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OOP - CustomTkinter | 📊 Level: Advanced
**Topic:** Schedule asynchronous tasks using app.after(), app.after_cancel(), and app.after_idle().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7"/>
        <v>[ROLE] Tech Product Manager assigning a Python OOP Jira Ticket | [TASK] Provide a guided implementation exercise with full solution for learning purposes | [TOPIC] Schedule asynchronous tasks using app.after(), app.after_cancel(), and app.after_idle(). | [LEVEL] Advanced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OOP - CustomTkinter | 📊 Level: Advanced | 🌐 Coding5s.com
**Concept:** Queue Scheduling &amp; Delayed Execution (Toolbox: app.after(), app.after_cancel(), app.after_idle())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Schedule asynchronous tasks using app.after(), app.after_cancel(), and app.after_idle().. Goal: Queue Scheduling &amp; Delayed Execution (Toolbox: app.after(), app.after_cancel(), app.after_idle())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OOP - CustomTkinter | 📊 Level: Advanced
**Topic:** Schedule asynchronous tasks using app.after(), app.after_cancel(), and app.after_idle().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9"/>
        <v/>
      </c>
      <c r="AA38" s="56" t="str">
        <f t="shared" si="10"/>
        <v/>
      </c>
      <c r="AB38" s="56" t="str">
        <f t="shared" si="11"/>
        <v/>
      </c>
      <c r="AC38" s="56" t="str">
        <f t="shared" si="12"/>
        <v/>
      </c>
      <c r="AD38" s="56" t="str">
        <f t="shared" si="13"/>
        <v/>
      </c>
      <c r="AE38" s="40"/>
      <c r="AF38" s="40"/>
      <c r="AG38" s="40"/>
      <c r="AH38" s="56" t="str">
        <f t="shared" si="14"/>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5"/>
        <v>4</v>
      </c>
      <c r="C39" s="95">
        <v>22</v>
      </c>
      <c r="D39" s="46">
        <v>5</v>
      </c>
      <c r="E39" s="58" t="s">
        <v>46</v>
      </c>
      <c r="F39" s="48">
        <v>31</v>
      </c>
      <c r="G39" s="49" t="s">
        <v>159</v>
      </c>
      <c r="H39" s="49" t="s">
        <v>48</v>
      </c>
      <c r="I39" s="50" t="s">
        <v>833</v>
      </c>
      <c r="J39" s="51" t="s">
        <v>834</v>
      </c>
      <c r="K39" s="129" t="str">
        <f t="shared" si="16"/>
        <v xml:space="preserve">[ROLE] Friendly tutor specializing in Python OOP | [TOPIC] Inspect and destroy UI elements dynamically using container.winfo_children(), widget.winfo_parent(), and widget.destroy(). | [LEVEL] Advanced | [COUNT] 5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OOP - CustomTkinter | 📊 Level: Advanced | 🌐 Coding5s.com
**Concept:** Programmatic Generation &amp; Hierarchy Inspection (Toolbox: container.winfo_children(), widget.winfo_parent(), widget.destroy())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destroy UI elements dynamically using container.winfo_children(), widget.winfo_parent(), and widget.destroy().. Topic details: Programmatic Generation &amp; Hierarchy Inspection (Toolbox: container.winfo_children(), widget.winfo_parent(), widget.destroy()) | [LIBRARY BEING LEARNED] CustomTkinter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OOP - CustomTkinter | 📊 Level: Advanced
**Topic:** Inspect and destroy UI elements dynamically using container.winfo_children(), widget.winfo_parent(), and widget.destroy().
---
 | [FOOTER RULE - STRICT] End your response with: '--- ⚡ *Coding5s Mentor System — Eliminating Epistemic Debt*' | </v>
      </c>
      <c r="M39" s="53">
        <v>0</v>
      </c>
      <c r="N39" s="102" t="str">
        <f t="shared" si="1"/>
        <v>[ROLE] Careless Python OOP Developer | [TASK] Generate debugging challenges in Python OOP | | [TOPIC] Inspect and destroy UI elements dynamically using container.winfo_children(), widget.winfo_parent(), and widget.destroy(). | | [LEVEL] Advanced |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OOP - CustomTkinter | 📊 Level: Advanced | 🌐 Coding5s.com
Concept: Programmatic Generation &amp; Hierarchy Inspection (Toolbox: container.winfo_children(), widget.winfo_parent(), widget.destroy())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destroy UI elements dynamically using container.winfo_children(), widget.winfo_parent(), and widget.destroy().. Topic details: Programmatic Generation &amp; Hierarchy Inspection (Toolbox: container.winfo_children(), widget.winfo_parent(), widget.destroy())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OOP - CustomTkinter | 📊 Level: Advanced
**Topic:** Inspect and destroy UI elements dynamically using container.winfo_children(), widget.winfo_parent(), and widget.destroy().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3"/>
        <v>[ROLE] Tech Lead | [TASK] Assign incomplete Python OOP script challenges | [TOPIC] Inspect and destroy UI elements dynamically using container.winfo_children(), widget.winfo_parent(), and widget.destroy(). | [LEVEL] Advanced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OOP - CustomTkinter | 📊 Level: Advanced | 🌐 Coding5s.com
**Concept:** Programmatic Generation &amp; Hierarchy Inspection (Toolbox: container.winfo_children(), widget.winfo_parent(), widget.destroy())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destroy UI elements dynamically using container.winfo_children(), widget.winfo_parent(), and widget.destroy()..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destroy UI elements dynamically using container.winfo_children(), widget.winfo_parent(), and widget.destroy().. Topic details: Programmatic Generation &amp; Hierarchy Inspection (Toolbox: container.winfo_children(), widget.winfo_parent(), widget.destroy())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OOP - CustomTkinter | 📊 Level: Advanced
**Topic:** Inspect and destroy UI elements dynamically using container.winfo_children(), widget.winfo_parent(), and widget.destroy().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5"/>
        <v>[ROLE] Tech Lead | [TASK] Provide intentionally messy but functional code for learning debugging and improvement | [TOPIC] Inspect and destroy UI elements dynamically using container.winfo_children(), widget.winfo_parent(), and widget.destroy(). | [LEVEL] Advanced | [COUNT] 5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OOP - CustomTkinter | 📊 Level: Advanced | 🌐 Coding5s.com
**Concept:** Programmatic Generation &amp; Hierarchy Inspection (Toolbox: container.winfo_children(), widget.winfo_parent(), widget.destroy())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and destroy UI elements dynamically using container.winfo_children(), widget.winfo_parent(), and widget.destroy().. Topic details: Programmatic Generation &amp; Hierarchy Inspection (Toolbox: container.winfo_children(), widget.winfo_parent(), widget.destroy())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OOP - CustomTkinter | 📊 Level: Advanced
**Topic:** Inspect and destroy UI elements dynamically using container.winfo_children(), widget.winfo_parent(), and widget.destroy().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7"/>
        <v>[ROLE] Tech Product Manager assigning a Python OOP Jira Ticket | [TASK] Provide a guided implementation exercise with full solution for learning purposes | [TOPIC] Inspect and destroy UI elements dynamically using container.winfo_children(), widget.winfo_parent(), and widget.destroy(). | [LEVEL] Advanced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OOP - CustomTkinter | 📊 Level: Advanced | 🌐 Coding5s.com
**Concept:** Programmatic Generation &amp; Hierarchy Inspection (Toolbox: container.winfo_children(), widget.winfo_parent(), widget.destroy())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destroy UI elements dynamically using container.winfo_children(), widget.winfo_parent(), and widget.destroy().. Goal: Programmatic Generation &amp; Hierarchy Inspection (Toolbox: container.winfo_children(), widget.winfo_parent(), widget.destroy())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OOP - CustomTkinter | 📊 Level: Advanced
**Topic:** Inspect and destroy UI elements dynamically using container.winfo_children(), widget.winfo_parent(), and widget.destroy().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9"/>
        <v/>
      </c>
      <c r="AA39" s="56" t="str">
        <f t="shared" si="10"/>
        <v/>
      </c>
      <c r="AB39" s="56" t="str">
        <f t="shared" si="11"/>
        <v/>
      </c>
      <c r="AC39" s="56" t="str">
        <f t="shared" si="12"/>
        <v/>
      </c>
      <c r="AD39" s="56" t="str">
        <f t="shared" si="13"/>
        <v/>
      </c>
      <c r="AE39" s="40"/>
      <c r="AF39" s="40"/>
      <c r="AG39" s="40"/>
      <c r="AH39" s="56" t="str">
        <f t="shared" si="14"/>
        <v/>
      </c>
      <c r="AI39" s="54"/>
      <c r="AJ39" s="54"/>
      <c r="AK39" s="54">
        <v>31</v>
      </c>
      <c r="AL39" s="54" t="s">
        <v>49</v>
      </c>
      <c r="AM39" s="54" t="s">
        <v>50</v>
      </c>
    </row>
    <row r="40" spans="1:39">
      <c r="A40" s="45" t="str" cm="1">
        <f t="array" ref="A40">IF(H40="PROJECT", CHAR(10) &amp; "- " &amp; _xlfn.TEXTJOIN(CHAR(10) &amp; "- ", TRUE, _xlfn._xlws.FILTER($I$9:$I$1000, ($B$9:$B$1000=B40) * ($H$9:$H$1000="Topic"))), "")</f>
        <v xml:space="preserve">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v>
      </c>
      <c r="B40" s="45">
        <f t="shared" si="15"/>
        <v>4</v>
      </c>
      <c r="C40" s="95">
        <v>35</v>
      </c>
      <c r="D40" s="57">
        <v>0</v>
      </c>
      <c r="E40" s="58" t="s">
        <v>708</v>
      </c>
      <c r="F40" s="59">
        <v>32</v>
      </c>
      <c r="G40" s="60" t="s">
        <v>159</v>
      </c>
      <c r="H40" s="60" t="s">
        <v>77</v>
      </c>
      <c r="I40" s="61" t="s">
        <v>835</v>
      </c>
      <c r="J40" s="62" t="s">
        <v>836</v>
      </c>
      <c r="K40" s="129" t="str">
        <f t="shared" si="16"/>
        <v>[TASK] Teach through a practical Python OOP - CustomTkinter project following the micro-learning methodology, acting as a supportive tutor, creating a project about  Develop a multi-media dynamic task runner consolidating image rendering, multiline text logs, progress tracking, scheduled execution, and programmatic widget cleanup. | [TOPICS USED]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 [LEVEL] Advanced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Must include 'import customtkinter as ctk' on a separate top-level line before any class declaration.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OOP - CustomTkinter | 📊 Level: Advanced | 🌐 Coding5s.com
**Project:** Asynchronous Media &amp; Task Runner Dashboard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0" s="103" t="str">
        <f t="shared" si="0"/>
        <v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multi-media dynamic task runner consolidating image rendering, multiline text logs, progress tracking, scheduled execution, and programmatic widget cleanup.. Topics applied in this project: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Project objective: Asynchronous Media &amp; Task Runner Dashboard | [LIBRARY BEING LEARNED] CustomTkinter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#32 | Practice | Python OOP - CustomTkinter | 📊 Level: Advanced
**Project:** Develop a multi-media dynamic task runner consolidating image rendering, multiline text logs, progress tracking, scheduled execution, and programmatic widget cleanup.
---
 | [FOOTER RULE - STRICT] End your response with: '--- ⚡ *Coding5s Mentor System — Eliminating Epistemic Debt*' | </v>
      </c>
      <c r="M40" s="52">
        <v>0</v>
      </c>
      <c r="N40" s="102" t="str">
        <f t="shared" si="1"/>
        <v>[ROLE] Careless Python OOP Developer | [TASK] Generate debugging project in Python OOP | [PROJECT] Develop a multi-media dynamic task runner consolidating image rendering, multiline text logs, progress tracking, scheduled execution, and programmatic widget cleanup. | [TOPICS USED]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 [LEVEL] Advanced | [OUTPUT] Only header, dataset summary or statement (if any), email intro, objective, expected output, broken code, and footer | [HEADER RULE - STRICT] You MUST start your entire response EXACTLY with this markdown block (do not print anything before it):
### 🚀 Project #32 | Stage 2 | Python OOP - CustomTkinter | 📊 Level: Advanced | 🌐 Coding5s.com
Project: Asynchronous Media &amp; Task Runner Dashboard
---
 | [LIBRARY BEING LEARNED] CustomTkinter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0" s="103" t="str">
        <f t="shared" si="2"/>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multi-media dynamic task runner consolidating image rendering, multiline text logs, progress tracking, scheduled execution, and programmatic widget cleanup.. Topics involved: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Project objective: Asynchronous Media &amp; Task Runner Dashboard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#32 | Debug | Python OOP - CustomTkinter | 📊 Level: Advanced
**Project:** Develop a multi-media dynamic task runner consolidating image rendering, multiline text logs, progress tracking, scheduled execution, and programmatic widget cleanup.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3"/>
        <v>[ROLE] Tech Lead | [TASK] Assign incomplete project script | [PROJECT] Develop a multi-media dynamic task runner consolidating image rendering, multiline text logs, progress tracking, scheduled execution, and programmatic widget cleanup. | [TOPICS USED]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 [LEVEL] Advanced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#32 | Stage 3 | Python OOP - CustomTkinter | 📊 Level: Advanced | 🌐 Coding5s.com
**Project:** Asynchronous Media &amp; Task Runner Dashboard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0" s="103" t="str">
        <f t="shared" si="4"/>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multi-media dynamic task runner consolidating image rendering, multiline text logs, progress tracking, scheduled execution, and programmatic widget cleanup.. Topics involved: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Project objective: Asynchronous Media &amp; Task Runner Dashboard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#32 | Complete | Python OOP - CustomTkinter | 📊 Level: Advanced
**Project:** Develop a multi-media dynamic task runner consolidating image rendering, multiline text logs, progress tracking, scheduled execution, and programmatic widget cleanup.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5"/>
        <v>[ROLE] Tech Lead | [TASK] Provide a messy but functional project for refactoring | [PROJECT] Develop a multi-media dynamic task runner consolidating image rendering, multiline text logs, progress tracking, scheduled execution, and programmatic widget cleanup. | [TOPICS USED]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 [LEVEL] Advanced | [PERSONA RULE] Act as a Tech Lead. A junior wrote this working but messy code. Tone: professional but exhausted | [HEADER RULE - STRICT] You MUST start your entire response EXACTLY with this markdown block (do not print anything before it):
### 🚀 Project #32 | Stage 4 | Python OOP - CustomTkinter | 📊 Level: Advanced | 🌐 Coding5s.com
**Project:** Asynchronous Media &amp; Task Runner Dashboard
---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0" s="103" t="str">
        <f t="shared" si="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multi-media dynamic task runner consolidating image rendering, multiline text logs, progress tracking, scheduled execution, and programmatic widget cleanup.. Topics involved: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Project objective: Asynchronous Media &amp; Task Runner Dashboard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#32 | Refactor | Python OOP - CustomTkinter | 📊 Level: Advanced
**Project:** Develop a multi-media dynamic task runner consolidating image rendering, multiline text logs, progress tracking, scheduled execution, and programmatic widget cleanup.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7"/>
        <v>[ROLE] Tech Product Manager assigning a Python OOP Jira Ticket | [TASK] Provide a guided project implementation with full solution | [PROJECT] Develop a multi-media dynamic task runner consolidating image rendering, multiline text logs, progress tracking, scheduled execution, and programmatic widget cleanup. | [TOPICS USED]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 [LEVEL] Advanced | [PERSONA RULE] Act as a professional Tech Product Manager defining a project ticket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#32 | Stage 5 | Python OOP - CustomTkinter | 📊 Level: Advanced | 🌐 Coding5s.com
**Project:** Asynchronous Media &amp; Task Runner Dashboard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0" s="103" t="str">
        <f t="shared" si="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multi-media dynamic task runner consolidating image rendering, multiline text logs, progress tracking, scheduled execution, and programmatic widget cleanup.. Topics integrated: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Business Goal: Asynchronous Media &amp; Task Runner Dashboard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#32 | Extend | Python OOP - CustomTkinter | 📊 Level: Advanced
**Project:** Develop a multi-media dynamic task runner consolidating image rendering, multiline text logs, progress tracking, scheduled execution, and programmatic widget cleanup.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9"/>
        <v>[TASK] Teach through a practical Python OOP - CustomTkinter project following the micro-learning methodology, acting as a supportive tutor, creating a project about  Develop a multi-media dynamic task runner consolidating image rendering, multiline text logs, progress tracking, scheduled execution, and programmatic widget cleanup. | [TOPICS USED]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 [LEVEL] Advanced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Must include 'import customtkinter as ctk' on a separate top-level line before any class declaration.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OOP - CustomTkinter | 📊 Level: Advanced | 🌐 Coding5s.com
**Project:** Asynchronous Media &amp; Task Runner Dashboard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0" s="56" t="str">
        <f t="shared" si="10"/>
        <v>[ROLE] Careless Python OOP Developer | [TASK] Generate debugging project in Python OOP | [PROJECT] Develop a multi-media dynamic task runner consolidating image rendering, multiline text logs, progress tracking, scheduled execution, and programmatic widget cleanup. | [TOPICS USED]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 [LEVEL] Advanced | [OUTPUT] Only header, dataset summary or statement (if any), email intro, objective, expected output, broken code, and footer | [HEADER RULE - STRICT] You MUST start your entire response EXACTLY with this markdown block (do not print anything before it):
### 🚀 Project #32 | Stage 2 | Python OOP - CustomTkinter | 📊 Level: Advanced | 🌐 Coding5s.com
Project: Asynchronous Media &amp; Task Runner Dashboard
---
 | [LIBRARY BEING LEARNED] CustomTkinter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0" s="56" t="str">
        <f t="shared" si="11"/>
        <v>[ROLE] Tech Lead | [TASK] Assign incomplete project script | [PROJECT] Develop a multi-media dynamic task runner consolidating image rendering, multiline text logs, progress tracking, scheduled execution, and programmatic widget cleanup. | [TOPICS USED]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 [LEVEL] Advanced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#32 | Stage 3 | Python OOP - CustomTkinter | 📊 Level: Advanced | 🌐 Coding5s.com
**Project:** Asynchronous Media &amp; Task Runner Dashboard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0" s="56" t="str">
        <f t="shared" si="12"/>
        <v>[ROLE] Tech Lead | [TASK] Provide a messy but functional project for refactoring | [PROJECT] Develop a multi-media dynamic task runner consolidating image rendering, multiline text logs, progress tracking, scheduled execution, and programmatic widget cleanup. | [TOPICS USED]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 [LEVEL] Advanced | [PERSONA RULE] Act as a Tech Lead. A junior wrote this working but messy code. Tone: professional but exhausted | [HEADER RULE - STRICT] You MUST start your entire response EXACTLY with this markdown block (do not print anything before it):
### 🚀 Project #32 | Stage 4 | Python OOP - CustomTkinter | 📊 Level: Advanced | 🌐 Coding5s.com
**Project:** Asynchronous Media &amp; Task Runner Dashboard
---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0" s="56" t="str">
        <f t="shared" si="13"/>
        <v>[ROLE] Tech Product Manager assigning a Python OOP Jira Ticket | [TASK] Provide a guided project implementation with full solution | [PROJECT] Develop a multi-media dynamic task runner consolidating image rendering, multiline text logs, progress tracking, scheduled execution, and programmatic widget cleanup. | [TOPICS USED]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 [LEVEL] Advanced | [PERSONA RULE] Act as a professional Tech Product Manager defining a project ticket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#32 | Stage 5 | Python OOP - CustomTkinter | 📊 Level: Advanced | 🌐 Coding5s.com
**Project:** Asynchronous Media &amp; Task Runner Dashboard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0" s="40"/>
      <c r="AF40" s="40"/>
      <c r="AG40" s="40"/>
      <c r="AH40" s="56" t="str">
        <f t="shared" si="14"/>
        <v/>
      </c>
      <c r="AI40" s="54"/>
      <c r="AJ40" s="54"/>
      <c r="AK40" s="54">
        <v>32</v>
      </c>
      <c r="AL40" s="54" t="s">
        <v>55</v>
      </c>
      <c r="AM40" s="54" t="s">
        <v>56</v>
      </c>
    </row>
    <row r="41" spans="1:39">
      <c r="A41" s="45" t="str" cm="1">
        <f t="array" ref="A41">IF(H41="PROJECT", CHAR(10) &amp; "- " &amp; _xlfn.TEXTJOIN(CHAR(10) &amp; "- ", TRUE, _xlfn._xlws.FILTER($I$9:$I$1000, ($B$9:$B$1000=B41) * ($H$9:$H$1000="Topic"))), "")</f>
        <v/>
      </c>
      <c r="B41" s="45" t="str">
        <f t="shared" si="15"/>
        <v/>
      </c>
      <c r="C41" s="95"/>
      <c r="D41" s="46"/>
      <c r="E41" s="58"/>
      <c r="F41" s="48"/>
      <c r="G41" s="49"/>
      <c r="H41" s="49"/>
      <c r="I41" s="50"/>
      <c r="J41" s="51"/>
      <c r="K41" s="129" t="str">
        <f t="shared" si="16"/>
        <v/>
      </c>
      <c r="L41" s="103" t="str">
        <f t="shared" ref="L41:L72" si="17">IF(OR(H41="Topic", UPPER(H41)="PROJECT"),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IF(UPPER(H41)="PROJECT", "building a PROJECT: " &amp; I41 &amp; ". Topics applied in this project: " &amp; A41 &amp; ". Project objective: " &amp; J41, "learning: " &amp; I41 &amp; ". Topic details: " &amp; J41)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IF(G41="Beginner", "Evaluate based on basic class instantiation, attribute assignment, and simple method calls. Do NOT expect advanced inheritance or decorators unless explicitly demanded.", IF(G41="Intermediate", "Expect clean class definitions, proper encapsulation, instance initialization via init, and correct use of self. Enforce basic OOP principles.", "Expect advanced OOP architecture using abstract base classes (abc.ABC), inheritance, polymorphism, custom exceptions, and composition over inheritance.")) &amp; " | " &amp;
_xlfn._LONGTEXT("[CODE_QUALITY_POLICIES]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&amp; IF(AJ41&lt;&gt;"", "[MENTOR CONTEXT ALERT] Be aware of the following infrastructure limitation for this exercise: " &amp; AJ41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IF(UPPER(H41)="PROJECT",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IF(UPPER(H41)="PROJECT",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IF(UPPER(H41)="PROJECT", "Project #", "Topic #") &amp; F41 &amp; " | Practice | " &amp; IF($I$3="", $I$2, $I$2&amp; " - " &amp;$I$3) &amp; " | 📊 Level: " &amp; G41 &amp; CHAR(10) &amp; "**" &amp; IF(UPPER(H41)="PROJECT", "Project", "Topic") &amp; ":** " &amp; I41 &amp; CHAR(10) &amp; "---" &amp; CHAR(10) &amp; " | " &amp;
"[FOOTER RULE - STRICT] End your response with: '--- ⚡ *Coding5s Mentor System — Eliminating Epistemic Debt*' | ","")</f>
        <v/>
      </c>
      <c r="M41" s="53">
        <v>0</v>
      </c>
      <c r="N41" s="102" t="str">
        <f t="shared" ref="N41:N72" si="18">IF(H41="Topic",
"[ROLE] Careless " &amp; $I$2 &amp; " Developer | " &amp;
"[TASK] Generate debugging challenges in " &amp; $I$2 &amp; " | | " &amp;
"[TOPIC] " &amp; I41 &amp; " | | " &amp;
"[LEVEL] " &amp; G41 &amp; " | | " &amp;
"[COUNT] " &amp; D41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F41 &amp; " | Stage 2 🐛 Debug | " &amp; IF($I$3="", $I$2, $I$2&amp; " - " &amp;$I$3) &amp; " | 📊 Level: " &amp; G41 &amp; " | 🌐 Coding5s.com" &amp; CHAR(10) &amp; "Concept: " &amp; J41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native assert statements or standard unittest.TestCase classes. | " &amp;
"[DEPENDENCY_MANAGEMENT_RULE] Requires customtkinter library. Standalone scripts must assume customtkinter is installed via pip. | " &amp;
"[CODE CONSTRAINTS] Each challenge MUST include: EXACTLY 1 class definition, 1 init method, at least 1 instance method, and 1 class instantiation with method call. - " &amp; IF(G41="Beginner", "5–15", IF(G41="Intermediate", "10–25", "15–35")) &amp; " lines of EXECUTABLE broken Python code per challenge (STRICT: Do NOT count blank lines). All logic MUST be encapsulated inside class methods.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D41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IF(H41="PROJECT", AA41, ""))</f>
        <v/>
      </c>
      <c r="O41" s="103" t="str">
        <f t="shared" ref="O41:O72" si="19">IF(OR(H41="Topic", UPPER(H41)="PROJECT"),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IF(UPPER(H41)="PROJECT", "PROJECT: " &amp; I41 &amp; ". Topics involved: " &amp; A41 &amp; ". Project objective: " &amp; J41, "TOPIC: " &amp; I41 &amp; ". Topic details: " &amp; J41)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IF(UPPER(H41)="PROJECT", "Project #", "Topic #") &amp; F41 &amp; " | Debug | " &amp; IF($I$3="", $I$2, $I$2&amp; " - " &amp;$I$3) &amp; " | 📊 Level: " &amp; G41 &amp; CHAR(10) &amp; "**" &amp; IF(UPPER(H41)="PROJECT", "Project", "Topic") &amp; ":** " &amp; I41 &amp; CHAR(10) &amp; "---" &amp; CHAR(10) &amp; " | " &amp;
_xlfn._LONGTEXT("[CORE_QUALITY_POLICY]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41" s="53">
        <v>0</v>
      </c>
      <c r="Q41" s="102" t="str">
        <f t="shared" ref="Q41:Q72" si="20">IF(H41="Topic",
"[ROLE] Tech Lead | " &amp;
"[TASK] Assign incomplete " &amp; $I$2 &amp; " script challenges | " &amp;
"[TOPIC] " &amp; I41 &amp; " | " &amp;
"[LEVEL] " &amp; G41 &amp; " | " &amp;
"[COUNT] " &amp; D41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F41 &amp; " | Stage 3 🧩 Complete | " &amp; IF($I$3="", $I$2, $I$2&amp; " - " &amp;$I$3) &amp; " | 📊 Level: " &amp; G41 &amp; " | 🌐 Coding5s.com" &amp; CHAR(10) &amp; "**Concept:** " &amp; J41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Requires 'customtkinter' as the core UI dependency across all topics. | " &amp;
"[TESTING_FRAMEWORK_PROTOCOL] Simple console output verification via standard print() statements. | " &amp;
"[CHALLENGE_CONSTRAINTS_POLICY] For Beginner level, # TODO MUST be atomic (1-2 simple lines max, e.g., basic attribute assignment, primitive print call, or direct comparison). NO complex buffer redirections or string parsing. - " &amp; IF(G41="Beginner","5–15", IF(G41="Intermediate","10–25","15–35")) &amp; " 5–15 lines of EXECUTABLE base code. Code outside # TODO MUST be 100% valid and readable. All code MUST be encapsulated within a class structure; NEVER use flat linear scripts.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D41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I41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IF(G41="Beginner", "Clear explicit hint (no code) | ", IF(G41="Intermediate",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IF(H41="PROJECT", AB41, ""))</f>
        <v/>
      </c>
      <c r="R41" s="103" t="str">
        <f t="shared" ref="R41:R72" si="21">IF(OR(H41="Topic", UPPER(H41)="PROJECT"),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IF(UPPER(H41)="PROJECT", "PROJECT: " &amp; I41 &amp; ". Topics involved: " &amp; A41 &amp; ". Project objective: " &amp; J41, "TOPIC: " &amp; I41 &amp; ". Topic details: " &amp; J41)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IF(UPPER(H41)="PROJECT", "Project #", "Topic #") &amp; F41 &amp; " | Complete | " &amp; IF($I$3="", $I$2, $I$2&amp; " - " &amp;$I$3) &amp; " | 📊 Level: " &amp; G41 &amp; CHAR(10) &amp; "**" &amp; IF(UPPER(H41)="PROJECT", "Project", "Topic") &amp; ":** " &amp; I41 &amp; CHAR(10) &amp; "---" &amp; CHAR(10) &amp; " | " &amp;
_xlfn._LONGTEXT("[CORE_QUALITY_POLICY]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41" s="53">
        <v>0</v>
      </c>
      <c r="T41" s="102" t="str">
        <f t="shared" ref="T41:T72" si="22">IF(H41="Topic",
"[ROLE] Tech Lead | " &amp;
"[TASK] Provide intentionally messy but functional code for learning debugging and improvement | " &amp;
"[TOPIC] " &amp; I41 &amp; " | " &amp;
"[LEVEL] " &amp; G41 &amp; " | " &amp;
"[COUNT] " &amp; D41 &amp; " challenges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F41 &amp; " | Stage 4 🧹 Refactor | " &amp; IF($I$3="", $I$2, $I$2&amp; " - " &amp;$I$3) &amp; " | 📊 Level: " &amp; G41 &amp; " | 🌐 Coding5s.com" &amp; CHAR(10) &amp; "**Concept:** " &amp; J41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D41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IF(G41="Beginner", "5–15", IF(G41="Intermediate",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IF(H41="PROJECT", AC41, ""))</f>
        <v/>
      </c>
      <c r="U41" s="103" t="str">
        <f t="shared" ref="U41:U72" si="23">IF(OR(H41="Topic", UPPER(H41)="PROJECT"),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IF(UPPER(H41)="PROJECT", "PROJECT: " &amp; I41 &amp; ". Topics involved: " &amp; A41 &amp; ". Project objective: " &amp; J41, "TOPIC: " &amp; I41 &amp; ". Topic details: " &amp; J41)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IF(UPPER(H41)="PROJECT", "Project #", "Topic #") &amp; F41 &amp; " | Refactor | " &amp; IF($I$3="", $I$2, $I$2&amp; " - " &amp;$I$3) &amp; " | 📊 Level: " &amp; G41 &amp; CHAR(10) &amp; "**" &amp; IF(UPPER(H41)="PROJECT", "Project", "Topic") &amp; ":** " &amp; I41 &amp; CHAR(10) &amp; "---" &amp; CHAR(10) &amp; " | " &amp;
"[PYTHON QUALITY RULE - STRICT] Code MUST adhere strictly to PEP 8 guidelines. Use PascalCase for Classes, snake_case for methods/variables. Enforce solid OOP patterns: encapsulation, inheritance, and object composition.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41" s="53">
        <v>0</v>
      </c>
      <c r="W41" s="87" t="str">
        <f t="shared" ref="W41:W72" si="24">IF(H41="Topic",
"[ROLE] Tech Product Manager assigning a " &amp; $I$2 &amp; " Jira Ticket | " &amp;
"[TASK] Provide a guided implementation exercise with full solution for learning purposes | " &amp;
"[TOPIC] " &amp; I41 &amp; " | " &amp;
"[LEVEL] " &amp; G41 &amp; "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F41 &amp; " | Stage 5 | " &amp; IF($I$3="", $I$2, $I$2&amp; " - " &amp;$I$3) &amp; " | 📊 Level: " &amp; G41 &amp; " | 🌐 Coding5s.com" &amp; CHAR(10) &amp; "**Concept:** " &amp; J41 &amp; CHAR(10) &amp; "---" &amp; CHAR(10) &amp; " | " &amp;
"[FUNCTIONAL_STRUCTURE_POLICY] Rule: " &amp; IF(G41="Beginner", "Use simple scripts or minimal functions. ", IF(G41="Intermediate",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IF(G41="Beginner", "10–20", IF(G41="Intermediate", "15–30", "25–40")) &amp; " lines of EXECUTABLE code (STRICT) - V1.1 MUST be between " &amp; IF(G41="Beginner", "15–30", IF(G41="Intermediate",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IF(H41="PROJECT", AD41, ""))</f>
        <v/>
      </c>
      <c r="X41" s="103" t="str">
        <f t="shared" ref="X41:X72" si="25">IF(OR(H41="Topic", UPPER(H41)="PROJECT"),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IF(UPPER(H41)="PROJECT", "PROJECT: " &amp; I41 &amp; ". Topics integrated: " &amp; A41 &amp; ". Business Goal: " &amp; J41, "TOPIC: " &amp; I41 &amp; ". Goal: " &amp; J41)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IF(UPPER(H41)="PROJECT", "Project #", "Topic #") &amp; F41 &amp; " | Extend | " &amp; IF($I$3="", $I$2, $I$2&amp; " - " &amp;$I$3) &amp; " | 📊 Level: " &amp; G41 &amp; CHAR(10) &amp; "**" &amp; IF(UPPER(H41)="PROJECT", "Project", "Topic") &amp; ":** " &amp; I41 &amp; CHAR(10) &amp; "---" &amp; CHAR(10) &amp; " | " &amp;
_xlfn._LONGTEXT("[CODE_QUALITY_PROTOCOL] Code MUST adhere strictly to PEP 8 guidelines. Use PascalCase for Classes, snake_case for methods/variables. Enforce robust OOP architecture, design patterns (Factory, Strategy, Singleton), and abstract base classes using the abc m","odule.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41" s="53">
        <v>0</v>
      </c>
      <c r="Z41" s="56" t="str">
        <f t="shared" ref="Z41:Z72" si="26">IF(H41&lt;&gt;"PROJECT","",
"[TASK] Teach through a practical " &amp; $I$2 &amp; " - " &amp; $I$3 &amp; " project following the micro-learning methodology, acting as a supportive tutor, creating a project about  " &amp; I41 &amp; " | " &amp;
"[TOPICS USED] " &amp; A41 &amp; " | " &amp;
"[LEVEL] " &amp; G41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Must include 'import customtkinter as ctk' on a separate top-level line before any class declaration.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 &amp;
"[DATA ROBUSTNESS RULE] Handle real-world data safely | " &amp;
"[CODE CONSTRAINTS] MUST be between " &amp; IF(G41="Beginner", "25–40", IF(G41="Intermediate",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F41 &amp; " | Stage 1 | " &amp; IF($I$3="", $I$2, $I$2&amp; " - " &amp;$I$3) &amp; " | 📊 Level: " &amp; G41 &amp; " | 🌐 Coding5s.com" &amp; CHAR(10) &amp; "**Project:** " &amp; J41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41" s="56" t="str">
        <f t="shared" ref="AA41:AA72" si="27">IF(H41&lt;&gt;"PROJECT","",
"[ROLE] Careless " &amp; $I$2 &amp; " Developer | " &amp;
"[TASK] Generate debugging project in " &amp; $I$2 &amp; " | " &amp;
"[PROJECT] " &amp; I41 &amp; " | " &amp;
"[TOPICS USED] " &amp; A41 &amp; " | " &amp;
"[LEVEL] " &amp; G41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F41 &amp; " | Stage 2 | " &amp; IF($I$3="", $I$2, $I$2&amp; " - " &amp;$I$3) &amp; " | 📊 Level: " &amp; G41 &amp; " | 🌐 Coding5s.com" &amp; CHAR(10) &amp; "Project: " &amp; J41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AE39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IF(G41="Beginner", "25–40", IF(G41="Intermediate", "30–60", "40–100")) &amp; " lines of EXECUTABLE code (STRICT: Do NOT count blank lines towards this limit) - Multi-step flow - 2–4 functions ONLY - main() as entry point " &amp; IF(G41&lt;&gt;"Advanced",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41" s="56" t="str">
        <f t="shared" ref="AB41:AB72" si="28">IF(H41&lt;&gt;"PROJECT","",
"[ROLE] Tech Lead | " &amp;
"[TASK] Assign incomplete project script | " &amp;
"[PROJECT] " &amp; I41 &amp; " | " &amp;
"[TOPICS USED] " &amp; A41 &amp; " | " &amp;
"[LEVEL] " &amp; G41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F41 &amp; " | Stage 3 | " &amp; IF($I$3="", $I$2, $I$2&amp; " - " &amp;$I$3) &amp; " | 📊 Level: " &amp; G41 &amp; " | 🌐 Coding5s.com" &amp; CHAR(10) &amp; "**Project:** " &amp; J41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IF(G41="Beginner","25–40", IF(G41="Intermediate","30–60","40–100")) &amp; " Class-based object architecture. Require at least 1 class with internal state management. Logic integration located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41" s="56" t="str">
        <f t="shared" ref="AC41:AC72" si="29">IF(H41&lt;&gt;"PROJECT","",
"[ROLE] Tech Lead | " &amp;
"[TASK] Provide a messy but functional project for refactoring | " &amp;
"[PROJECT] " &amp; I41 &amp; " | " &amp;
"[TOPICS USED] " &amp; A41 &amp; " | " &amp;
"[LEVEL] " &amp; G41 &amp; " | " &amp;
"[PERSONA RULE] Act as a Tech Lead. A junior wrote this working but messy code. Tone: professional but exhausted | " &amp;
"[HEADER RULE - STRICT] You MUST start your entire response EXACTLY with this markdown block (do not print anything before it):" &amp; CHAR(10) &amp; "### 🚀 Project #" &amp; F41 &amp; " | Stage 4 | " &amp; IF($I$3="", $I$2, $I$2&amp; " - " &amp;$I$3) &amp; " | 📊 Level: " &amp; G41 &amp; " | 🌐 Coding5s.com" &amp; CHAR(10) &amp; "**Project:** " &amp; J41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IF(G41="Beginner", "25–40", IF(G41="Intermediate",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41" s="56" t="str">
        <f t="shared" ref="AD41:AD72" si="30">IF(H41&lt;&gt;"PROJECT","",
"[ROLE] Tech Product Manager assigning a " &amp; $I$2 &amp; " Jira Ticket | " &amp;
"[TASK] Provide a guided project implementation with full solution | " &amp;
"[PROJECT] " &amp; I41 &amp; " | " &amp;
"[TOPICS USED] " &amp; A41 &amp; " | " &amp;
"[LEVEL] " &amp; G41 &amp; " | " &amp;
"[PERSONA RULE] Act as a professional Tech Product Manager defining a project ticket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"[HEADER RULE - STRICT] You MUST start your entire response EXACTLY with this markdown block (do not print anything before it):" &amp; CHAR(10) &amp; "### 🚀 Project #" &amp; F41 &amp; " | Stage 5 | " &amp; IF($I$3="", $I$2, $I$2&amp; " - " &amp;$I$3) &amp; " | 📊 Level: " &amp; G41 &amp; " | 🌐 Coding5s.com" &amp; CHAR(10) &amp; "**Project:** " &amp; J41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IF(G41="Beginner", "20–35", IF(G41="Intermediate", "30–50", "45–70")) &amp; " lines of EXECUTABLE code (STRICT) - V1.1 MUST be between " &amp; IF(G41="Beginner", "30–50", IF(G41="Intermediate",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IF(G41="Beginner", "Avoid complex structure. ", IF(G41="Intermediate",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41" s="40"/>
      <c r="AF41" s="40"/>
      <c r="AG41" s="40"/>
      <c r="AH41" s="56" t="str">
        <f t="shared" ref="AH41:AH72" si="31">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t="str">
        <f t="shared" si="15"/>
        <v/>
      </c>
      <c r="C42" s="95"/>
      <c r="D42" s="57"/>
      <c r="E42" s="58"/>
      <c r="F42" s="59"/>
      <c r="G42" s="60"/>
      <c r="H42" s="60"/>
      <c r="I42" s="61"/>
      <c r="J42" s="62"/>
      <c r="K42" s="129" t="str">
        <f t="shared" si="16"/>
        <v/>
      </c>
      <c r="L42" s="103" t="str">
        <f t="shared" si="17"/>
        <v/>
      </c>
      <c r="M42" s="52">
        <v>0</v>
      </c>
      <c r="N42" s="102" t="str">
        <f t="shared" si="18"/>
        <v/>
      </c>
      <c r="O42" s="103" t="str">
        <f t="shared" si="19"/>
        <v/>
      </c>
      <c r="P42" s="52">
        <v>0</v>
      </c>
      <c r="Q42" s="102" t="str">
        <f t="shared" si="20"/>
        <v/>
      </c>
      <c r="R42" s="103" t="str">
        <f t="shared" si="21"/>
        <v/>
      </c>
      <c r="S42" s="52">
        <v>0</v>
      </c>
      <c r="T42" s="102" t="str">
        <f t="shared" si="22"/>
        <v/>
      </c>
      <c r="U42" s="103" t="str">
        <f t="shared" si="23"/>
        <v/>
      </c>
      <c r="V42" s="52">
        <v>0</v>
      </c>
      <c r="W42" s="87" t="str">
        <f t="shared" si="24"/>
        <v/>
      </c>
      <c r="X42" s="103" t="str">
        <f t="shared" si="25"/>
        <v/>
      </c>
      <c r="Y42" s="52">
        <v>0</v>
      </c>
      <c r="Z42" s="56" t="str">
        <f t="shared" si="26"/>
        <v/>
      </c>
      <c r="AA42" s="56" t="str">
        <f t="shared" si="27"/>
        <v/>
      </c>
      <c r="AB42" s="56" t="str">
        <f t="shared" si="28"/>
        <v/>
      </c>
      <c r="AC42" s="56" t="str">
        <f t="shared" si="29"/>
        <v/>
      </c>
      <c r="AD42" s="56" t="str">
        <f t="shared" si="30"/>
        <v/>
      </c>
      <c r="AE42" s="40"/>
      <c r="AF42" s="40"/>
      <c r="AG42" s="40"/>
      <c r="AH42" s="56" t="str">
        <f t="shared" si="31"/>
        <v/>
      </c>
      <c r="AI42" s="54"/>
      <c r="AJ42" s="54"/>
      <c r="AK42" s="54">
        <v>34</v>
      </c>
      <c r="AL42" s="54" t="s">
        <v>66</v>
      </c>
      <c r="AM42" s="54" t="s">
        <v>67</v>
      </c>
    </row>
    <row r="43" spans="1:39">
      <c r="A43" s="45" t="str" cm="1">
        <f t="array" ref="A43">IF(H43="PROJECT", CHAR(10) &amp; "- " &amp; _xlfn.TEXTJOIN(CHAR(10) &amp; "- ", TRUE, _xlfn._xlws.FILTER($I$9:$I$1000, ($B$9:$B$1000=B43) * ($H$9:$H$1000="Topic"))), "")</f>
        <v/>
      </c>
      <c r="B43" s="45" t="str">
        <f t="shared" si="15"/>
        <v/>
      </c>
      <c r="C43" s="95"/>
      <c r="D43" s="46"/>
      <c r="E43" s="58"/>
      <c r="F43" s="48"/>
      <c r="G43" s="49"/>
      <c r="H43" s="49"/>
      <c r="I43" s="50"/>
      <c r="J43" s="51"/>
      <c r="K43" s="129" t="str">
        <f t="shared" si="16"/>
        <v/>
      </c>
      <c r="L43" s="103" t="str">
        <f t="shared" si="17"/>
        <v/>
      </c>
      <c r="M43" s="53">
        <v>0</v>
      </c>
      <c r="N43" s="102" t="str">
        <f t="shared" si="18"/>
        <v/>
      </c>
      <c r="O43" s="103" t="str">
        <f t="shared" si="19"/>
        <v/>
      </c>
      <c r="P43" s="53">
        <v>0</v>
      </c>
      <c r="Q43" s="102" t="str">
        <f t="shared" si="20"/>
        <v/>
      </c>
      <c r="R43" s="103" t="str">
        <f t="shared" si="21"/>
        <v/>
      </c>
      <c r="S43" s="53">
        <v>0</v>
      </c>
      <c r="T43" s="102" t="str">
        <f t="shared" si="22"/>
        <v/>
      </c>
      <c r="U43" s="103" t="str">
        <f t="shared" si="23"/>
        <v/>
      </c>
      <c r="V43" s="53">
        <v>0</v>
      </c>
      <c r="W43" s="87" t="str">
        <f t="shared" si="24"/>
        <v/>
      </c>
      <c r="X43" s="103" t="str">
        <f t="shared" si="25"/>
        <v/>
      </c>
      <c r="Y43" s="53">
        <v>0</v>
      </c>
      <c r="Z43" s="56" t="str">
        <f t="shared" si="26"/>
        <v/>
      </c>
      <c r="AA43" s="56" t="str">
        <f t="shared" si="27"/>
        <v/>
      </c>
      <c r="AB43" s="56" t="str">
        <f t="shared" si="28"/>
        <v/>
      </c>
      <c r="AC43" s="56" t="str">
        <f t="shared" si="29"/>
        <v/>
      </c>
      <c r="AD43" s="56" t="str">
        <f t="shared" si="30"/>
        <v/>
      </c>
      <c r="AE43" s="40"/>
      <c r="AF43" s="40"/>
      <c r="AG43" s="40"/>
      <c r="AH43" s="56" t="str">
        <f t="shared" si="31"/>
        <v/>
      </c>
      <c r="AI43" s="54"/>
      <c r="AJ43" s="54"/>
      <c r="AK43" s="54">
        <v>35</v>
      </c>
      <c r="AL43" s="54" t="s">
        <v>72</v>
      </c>
      <c r="AM43" s="54" t="s">
        <v>73</v>
      </c>
    </row>
    <row r="44" spans="1:39">
      <c r="A44" s="45" t="str" cm="1">
        <f t="array" ref="A44">IF(H44="PROJECT", CHAR(10) &amp; "- " &amp; _xlfn.TEXTJOIN(CHAR(10) &amp; "- ", TRUE, _xlfn._xlws.FILTER($I$9:$I$1000, ($B$9:$B$1000=B44) * ($H$9:$H$1000="Topic"))), "")</f>
        <v/>
      </c>
      <c r="B44" s="45" t="str">
        <f t="shared" si="15"/>
        <v/>
      </c>
      <c r="C44" s="95"/>
      <c r="D44" s="57"/>
      <c r="E44" s="58"/>
      <c r="F44" s="59"/>
      <c r="G44" s="60"/>
      <c r="H44" s="60"/>
      <c r="I44" s="61"/>
      <c r="J44" s="62"/>
      <c r="K44" s="129" t="str">
        <f t="shared" si="16"/>
        <v/>
      </c>
      <c r="L44" s="103" t="str">
        <f t="shared" si="17"/>
        <v/>
      </c>
      <c r="M44" s="52">
        <v>0</v>
      </c>
      <c r="N44" s="102" t="str">
        <f t="shared" si="18"/>
        <v/>
      </c>
      <c r="O44" s="103" t="str">
        <f t="shared" si="19"/>
        <v/>
      </c>
      <c r="P44" s="52">
        <v>0</v>
      </c>
      <c r="Q44" s="102" t="str">
        <f t="shared" si="20"/>
        <v/>
      </c>
      <c r="R44" s="103" t="str">
        <f t="shared" si="21"/>
        <v/>
      </c>
      <c r="S44" s="52">
        <v>0</v>
      </c>
      <c r="T44" s="102" t="str">
        <f t="shared" si="22"/>
        <v/>
      </c>
      <c r="U44" s="103" t="str">
        <f t="shared" si="23"/>
        <v/>
      </c>
      <c r="V44" s="52">
        <v>0</v>
      </c>
      <c r="W44" s="87" t="str">
        <f t="shared" si="24"/>
        <v/>
      </c>
      <c r="X44" s="103" t="str">
        <f t="shared" si="25"/>
        <v/>
      </c>
      <c r="Y44" s="52">
        <v>0</v>
      </c>
      <c r="Z44" s="56" t="str">
        <f t="shared" si="26"/>
        <v/>
      </c>
      <c r="AA44" s="56" t="str">
        <f t="shared" si="27"/>
        <v/>
      </c>
      <c r="AB44" s="56" t="str">
        <f t="shared" si="28"/>
        <v/>
      </c>
      <c r="AC44" s="56" t="str">
        <f t="shared" si="29"/>
        <v/>
      </c>
      <c r="AD44" s="56" t="str">
        <f t="shared" si="30"/>
        <v/>
      </c>
      <c r="AE44" s="40"/>
      <c r="AF44" s="40"/>
      <c r="AG44" s="40"/>
      <c r="AH44" s="56" t="str">
        <f t="shared" si="31"/>
        <v/>
      </c>
      <c r="AI44" s="54"/>
      <c r="AJ44" s="54"/>
      <c r="AK44" s="54">
        <v>36</v>
      </c>
      <c r="AL44" s="54" t="s">
        <v>78</v>
      </c>
      <c r="AM44" s="54" t="s">
        <v>79</v>
      </c>
    </row>
    <row r="45" spans="1:39">
      <c r="A45" s="45" t="str" cm="1">
        <f t="array" ref="A45">IF(H45="PROJECT", CHAR(10) &amp; "- " &amp; _xlfn.TEXTJOIN(CHAR(10) &amp; "- ", TRUE, _xlfn._xlws.FILTER($I$9:$I$1000, ($B$9:$B$1000=B45) * ($H$9:$H$1000="Topic"))), "")</f>
        <v/>
      </c>
      <c r="B45" s="45" t="str">
        <f t="shared" si="15"/>
        <v/>
      </c>
      <c r="C45" s="95"/>
      <c r="D45" s="46"/>
      <c r="E45" s="58"/>
      <c r="F45" s="48"/>
      <c r="G45" s="49"/>
      <c r="H45" s="49"/>
      <c r="I45" s="50"/>
      <c r="J45" s="51"/>
      <c r="K45" s="129" t="str">
        <f t="shared" si="16"/>
        <v/>
      </c>
      <c r="L45" s="103" t="str">
        <f t="shared" si="17"/>
        <v/>
      </c>
      <c r="M45" s="53">
        <v>0</v>
      </c>
      <c r="N45" s="102" t="str">
        <f t="shared" si="18"/>
        <v/>
      </c>
      <c r="O45" s="103" t="str">
        <f t="shared" si="19"/>
        <v/>
      </c>
      <c r="P45" s="53">
        <v>0</v>
      </c>
      <c r="Q45" s="102" t="str">
        <f t="shared" si="20"/>
        <v/>
      </c>
      <c r="R45" s="103" t="str">
        <f t="shared" si="21"/>
        <v/>
      </c>
      <c r="S45" s="53">
        <v>0</v>
      </c>
      <c r="T45" s="102" t="str">
        <f t="shared" si="22"/>
        <v/>
      </c>
      <c r="U45" s="103" t="str">
        <f t="shared" si="23"/>
        <v/>
      </c>
      <c r="V45" s="53">
        <v>0</v>
      </c>
      <c r="W45" s="87" t="str">
        <f t="shared" si="24"/>
        <v/>
      </c>
      <c r="X45" s="103" t="str">
        <f t="shared" si="25"/>
        <v/>
      </c>
      <c r="Y45" s="53">
        <v>0</v>
      </c>
      <c r="Z45" s="56" t="str">
        <f t="shared" si="26"/>
        <v/>
      </c>
      <c r="AA45" s="56" t="str">
        <f t="shared" si="27"/>
        <v/>
      </c>
      <c r="AB45" s="56" t="str">
        <f t="shared" si="28"/>
        <v/>
      </c>
      <c r="AC45" s="56" t="str">
        <f t="shared" si="29"/>
        <v/>
      </c>
      <c r="AD45" s="56" t="str">
        <f t="shared" si="30"/>
        <v/>
      </c>
      <c r="AE45" s="40"/>
      <c r="AF45" s="40"/>
      <c r="AG45" s="40"/>
      <c r="AH45" s="56" t="str">
        <f t="shared" si="31"/>
        <v/>
      </c>
      <c r="AI45" s="54"/>
      <c r="AJ45" s="54"/>
      <c r="AK45" s="54">
        <v>37</v>
      </c>
      <c r="AL45" s="54" t="s">
        <v>83</v>
      </c>
      <c r="AM45" s="54" t="s">
        <v>84</v>
      </c>
    </row>
    <row r="46" spans="1:39">
      <c r="A46" s="45" t="str" cm="1">
        <f t="array" ref="A46">IF(H46="PROJECT", CHAR(10) &amp; "- " &amp; _xlfn.TEXTJOIN(CHAR(10) &amp; "- ", TRUE, _xlfn._xlws.FILTER($I$9:$I$1000, ($B$9:$B$1000=B46) * ($H$9:$H$1000="Topic"))), "")</f>
        <v/>
      </c>
      <c r="B46" s="45" t="str">
        <f t="shared" si="15"/>
        <v/>
      </c>
      <c r="C46" s="95"/>
      <c r="D46" s="57"/>
      <c r="E46" s="58"/>
      <c r="F46" s="59"/>
      <c r="G46" s="60"/>
      <c r="H46" s="60"/>
      <c r="I46" s="61"/>
      <c r="J46" s="62"/>
      <c r="K46" s="129" t="str">
        <f t="shared" si="16"/>
        <v/>
      </c>
      <c r="L46" s="103" t="str">
        <f t="shared" si="17"/>
        <v/>
      </c>
      <c r="M46" s="52">
        <v>0</v>
      </c>
      <c r="N46" s="102" t="str">
        <f t="shared" si="18"/>
        <v/>
      </c>
      <c r="O46" s="103" t="str">
        <f t="shared" si="19"/>
        <v/>
      </c>
      <c r="P46" s="52">
        <v>0</v>
      </c>
      <c r="Q46" s="102" t="str">
        <f t="shared" si="20"/>
        <v/>
      </c>
      <c r="R46" s="103" t="str">
        <f t="shared" si="21"/>
        <v/>
      </c>
      <c r="S46" s="52">
        <v>0</v>
      </c>
      <c r="T46" s="102" t="str">
        <f t="shared" si="22"/>
        <v/>
      </c>
      <c r="U46" s="103" t="str">
        <f t="shared" si="23"/>
        <v/>
      </c>
      <c r="V46" s="52">
        <v>0</v>
      </c>
      <c r="W46" s="87" t="str">
        <f t="shared" si="24"/>
        <v/>
      </c>
      <c r="X46" s="103" t="str">
        <f t="shared" si="25"/>
        <v/>
      </c>
      <c r="Y46" s="52">
        <v>0</v>
      </c>
      <c r="Z46" s="56" t="str">
        <f t="shared" si="26"/>
        <v/>
      </c>
      <c r="AA46" s="56" t="str">
        <f t="shared" si="27"/>
        <v/>
      </c>
      <c r="AB46" s="56" t="str">
        <f t="shared" si="28"/>
        <v/>
      </c>
      <c r="AC46" s="56" t="str">
        <f t="shared" si="29"/>
        <v/>
      </c>
      <c r="AD46" s="56" t="str">
        <f t="shared" si="30"/>
        <v/>
      </c>
      <c r="AE46" s="40"/>
      <c r="AF46" s="40"/>
      <c r="AG46" s="40"/>
      <c r="AH46" s="56" t="str">
        <f t="shared" si="31"/>
        <v/>
      </c>
      <c r="AI46" s="54"/>
      <c r="AJ46" s="54"/>
      <c r="AK46" s="54">
        <v>38</v>
      </c>
      <c r="AL46" s="54" t="s">
        <v>88</v>
      </c>
      <c r="AM46" s="54" t="s">
        <v>89</v>
      </c>
    </row>
    <row r="47" spans="1:39">
      <c r="A47" s="45" t="str" cm="1">
        <f t="array" ref="A47">IF(H47="PROJECT", CHAR(10) &amp; "- " &amp; _xlfn.TEXTJOIN(CHAR(10) &amp; "- ", TRUE, _xlfn._xlws.FILTER($I$9:$I$1000, ($B$9:$B$1000=B47) * ($H$9:$H$1000="Topic"))), "")</f>
        <v/>
      </c>
      <c r="B47" s="45" t="str">
        <f t="shared" si="15"/>
        <v/>
      </c>
      <c r="C47" s="95"/>
      <c r="D47" s="46"/>
      <c r="E47" s="58"/>
      <c r="F47" s="48"/>
      <c r="G47" s="49"/>
      <c r="H47" s="49"/>
      <c r="I47" s="50"/>
      <c r="J47" s="51"/>
      <c r="K47" s="129" t="str">
        <f t="shared" si="16"/>
        <v/>
      </c>
      <c r="L47" s="103" t="str">
        <f t="shared" si="17"/>
        <v/>
      </c>
      <c r="M47" s="53">
        <v>0</v>
      </c>
      <c r="N47" s="102" t="str">
        <f t="shared" si="18"/>
        <v/>
      </c>
      <c r="O47" s="103" t="str">
        <f t="shared" si="19"/>
        <v/>
      </c>
      <c r="P47" s="53">
        <v>0</v>
      </c>
      <c r="Q47" s="102" t="str">
        <f t="shared" si="20"/>
        <v/>
      </c>
      <c r="R47" s="103" t="str">
        <f t="shared" si="21"/>
        <v/>
      </c>
      <c r="S47" s="53">
        <v>0</v>
      </c>
      <c r="T47" s="102" t="str">
        <f t="shared" si="22"/>
        <v/>
      </c>
      <c r="U47" s="103" t="str">
        <f t="shared" si="23"/>
        <v/>
      </c>
      <c r="V47" s="53">
        <v>0</v>
      </c>
      <c r="W47" s="87" t="str">
        <f t="shared" si="24"/>
        <v/>
      </c>
      <c r="X47" s="103" t="str">
        <f t="shared" si="25"/>
        <v/>
      </c>
      <c r="Y47" s="53">
        <v>0</v>
      </c>
      <c r="Z47" s="56" t="str">
        <f t="shared" si="26"/>
        <v/>
      </c>
      <c r="AA47" s="56" t="str">
        <f t="shared" si="27"/>
        <v/>
      </c>
      <c r="AB47" s="56" t="str">
        <f t="shared" si="28"/>
        <v/>
      </c>
      <c r="AC47" s="56" t="str">
        <f t="shared" si="29"/>
        <v/>
      </c>
      <c r="AD47" s="56" t="str">
        <f t="shared" si="30"/>
        <v/>
      </c>
      <c r="AE47" s="40"/>
      <c r="AF47" s="40"/>
      <c r="AG47" s="40"/>
      <c r="AH47" s="56" t="str">
        <f t="shared" si="31"/>
        <v/>
      </c>
      <c r="AI47" s="54"/>
      <c r="AJ47" s="54"/>
      <c r="AK47" s="54">
        <v>39</v>
      </c>
      <c r="AL47" s="54" t="s">
        <v>93</v>
      </c>
      <c r="AM47" s="54" t="s">
        <v>94</v>
      </c>
    </row>
    <row r="48" spans="1:39">
      <c r="A48" s="45" t="str" cm="1">
        <f t="array" ref="A48">IF(H48="PROJECT", CHAR(10) &amp; "- " &amp; _xlfn.TEXTJOIN(CHAR(10) &amp; "- ", TRUE, _xlfn._xlws.FILTER($I$9:$I$1000, ($B$9:$B$1000=B48) * ($H$9:$H$1000="Topic"))), "")</f>
        <v/>
      </c>
      <c r="B48" s="45" t="str">
        <f t="shared" si="15"/>
        <v/>
      </c>
      <c r="C48" s="95"/>
      <c r="D48" s="57"/>
      <c r="E48" s="58"/>
      <c r="F48" s="59"/>
      <c r="G48" s="60"/>
      <c r="H48" s="60"/>
      <c r="I48" s="61"/>
      <c r="J48" s="62"/>
      <c r="K48" s="129" t="str">
        <f t="shared" si="16"/>
        <v/>
      </c>
      <c r="L48" s="103" t="str">
        <f t="shared" si="17"/>
        <v/>
      </c>
      <c r="M48" s="52">
        <v>0</v>
      </c>
      <c r="N48" s="102" t="str">
        <f t="shared" si="18"/>
        <v/>
      </c>
      <c r="O48" s="103" t="str">
        <f t="shared" si="19"/>
        <v/>
      </c>
      <c r="P48" s="52">
        <v>0</v>
      </c>
      <c r="Q48" s="102" t="str">
        <f t="shared" si="20"/>
        <v/>
      </c>
      <c r="R48" s="103" t="str">
        <f t="shared" si="21"/>
        <v/>
      </c>
      <c r="S48" s="52">
        <v>0</v>
      </c>
      <c r="T48" s="102" t="str">
        <f t="shared" si="22"/>
        <v/>
      </c>
      <c r="U48" s="103" t="str">
        <f t="shared" si="23"/>
        <v/>
      </c>
      <c r="V48" s="52">
        <v>0</v>
      </c>
      <c r="W48" s="87" t="str">
        <f t="shared" si="24"/>
        <v/>
      </c>
      <c r="X48" s="103" t="str">
        <f t="shared" si="25"/>
        <v/>
      </c>
      <c r="Y48" s="52">
        <v>0</v>
      </c>
      <c r="Z48" s="56" t="str">
        <f t="shared" si="26"/>
        <v/>
      </c>
      <c r="AA48" s="56" t="str">
        <f t="shared" si="27"/>
        <v/>
      </c>
      <c r="AB48" s="56" t="str">
        <f t="shared" si="28"/>
        <v/>
      </c>
      <c r="AC48" s="56" t="str">
        <f t="shared" si="29"/>
        <v/>
      </c>
      <c r="AD48" s="56" t="str">
        <f t="shared" si="30"/>
        <v/>
      </c>
      <c r="AE48" s="40"/>
      <c r="AF48" s="40"/>
      <c r="AG48" s="40"/>
      <c r="AH48" s="56" t="str">
        <f t="shared" si="31"/>
        <v/>
      </c>
      <c r="AI48" s="54"/>
      <c r="AJ48" s="54"/>
      <c r="AK48" s="54">
        <v>40</v>
      </c>
      <c r="AL48" s="54" t="s">
        <v>98</v>
      </c>
      <c r="AM48" s="54" t="s">
        <v>99</v>
      </c>
    </row>
    <row r="49" spans="1:39">
      <c r="A49" s="45" t="str" cm="1">
        <f t="array" ref="A49">IF(H49="PROJECT", CHAR(10) &amp; "- " &amp; _xlfn.TEXTJOIN(CHAR(10) &amp; "- ", TRUE, _xlfn._xlws.FILTER($I$9:$I$1000, ($B$9:$B$1000=B49) * ($H$9:$H$1000="Topic"))), "")</f>
        <v/>
      </c>
      <c r="B49" s="45" t="str">
        <f t="shared" si="15"/>
        <v/>
      </c>
      <c r="C49" s="95"/>
      <c r="D49" s="46"/>
      <c r="E49" s="58"/>
      <c r="F49" s="48"/>
      <c r="G49" s="49"/>
      <c r="H49" s="49"/>
      <c r="I49" s="50"/>
      <c r="J49" s="51"/>
      <c r="K49" s="129" t="str">
        <f t="shared" si="16"/>
        <v/>
      </c>
      <c r="L49" s="103" t="str">
        <f t="shared" si="17"/>
        <v/>
      </c>
      <c r="M49" s="53">
        <v>0</v>
      </c>
      <c r="N49" s="102" t="str">
        <f t="shared" si="18"/>
        <v/>
      </c>
      <c r="O49" s="103" t="str">
        <f t="shared" si="19"/>
        <v/>
      </c>
      <c r="P49" s="53">
        <v>0</v>
      </c>
      <c r="Q49" s="102" t="str">
        <f t="shared" si="20"/>
        <v/>
      </c>
      <c r="R49" s="103" t="str">
        <f t="shared" si="21"/>
        <v/>
      </c>
      <c r="S49" s="53">
        <v>0</v>
      </c>
      <c r="T49" s="102" t="str">
        <f t="shared" si="22"/>
        <v/>
      </c>
      <c r="U49" s="103" t="str">
        <f t="shared" si="23"/>
        <v/>
      </c>
      <c r="V49" s="53">
        <v>0</v>
      </c>
      <c r="W49" s="87" t="str">
        <f t="shared" si="24"/>
        <v/>
      </c>
      <c r="X49" s="103" t="str">
        <f t="shared" si="25"/>
        <v/>
      </c>
      <c r="Y49" s="53">
        <v>0</v>
      </c>
      <c r="Z49" s="56" t="str">
        <f t="shared" si="26"/>
        <v/>
      </c>
      <c r="AA49" s="56" t="str">
        <f t="shared" si="27"/>
        <v/>
      </c>
      <c r="AB49" s="56" t="str">
        <f t="shared" si="28"/>
        <v/>
      </c>
      <c r="AC49" s="56" t="str">
        <f t="shared" si="29"/>
        <v/>
      </c>
      <c r="AD49" s="56" t="str">
        <f t="shared" si="30"/>
        <v/>
      </c>
      <c r="AE49" s="40"/>
      <c r="AF49" s="40"/>
      <c r="AG49" s="40"/>
      <c r="AH49" s="56" t="str">
        <f t="shared" si="31"/>
        <v/>
      </c>
      <c r="AI49" s="54"/>
      <c r="AJ49" s="54"/>
      <c r="AK49" s="54"/>
      <c r="AL49" s="54"/>
      <c r="AM49" s="54"/>
    </row>
    <row r="50" spans="1:39">
      <c r="A50" s="45" t="str" cm="1">
        <f t="array" ref="A50">IF(H50="PROJECT", CHAR(10) &amp; "- " &amp; _xlfn.TEXTJOIN(CHAR(10) &amp; "- ", TRUE, _xlfn._xlws.FILTER($I$9:$I$1000, ($B$9:$B$1000=B50) * ($H$9:$H$1000="Topic"))), "")</f>
        <v/>
      </c>
      <c r="B50" s="45" t="str">
        <f t="shared" si="15"/>
        <v/>
      </c>
      <c r="C50" s="95"/>
      <c r="D50" s="57"/>
      <c r="E50" s="58"/>
      <c r="F50" s="59"/>
      <c r="G50" s="60"/>
      <c r="H50" s="60"/>
      <c r="I50" s="61"/>
      <c r="J50" s="62"/>
      <c r="K50" s="129" t="str">
        <f t="shared" si="16"/>
        <v/>
      </c>
      <c r="L50" s="103" t="str">
        <f t="shared" si="17"/>
        <v/>
      </c>
      <c r="M50" s="52">
        <v>0</v>
      </c>
      <c r="N50" s="102" t="str">
        <f t="shared" si="18"/>
        <v/>
      </c>
      <c r="O50" s="103" t="str">
        <f t="shared" si="19"/>
        <v/>
      </c>
      <c r="P50" s="52">
        <v>0</v>
      </c>
      <c r="Q50" s="102" t="str">
        <f t="shared" si="20"/>
        <v/>
      </c>
      <c r="R50" s="103" t="str">
        <f t="shared" si="21"/>
        <v/>
      </c>
      <c r="S50" s="52">
        <v>0</v>
      </c>
      <c r="T50" s="102" t="str">
        <f t="shared" si="22"/>
        <v/>
      </c>
      <c r="U50" s="103" t="str">
        <f t="shared" si="23"/>
        <v/>
      </c>
      <c r="V50" s="52">
        <v>0</v>
      </c>
      <c r="W50" s="87" t="str">
        <f t="shared" si="24"/>
        <v/>
      </c>
      <c r="X50" s="103" t="str">
        <f t="shared" si="25"/>
        <v/>
      </c>
      <c r="Y50" s="52">
        <v>0</v>
      </c>
      <c r="Z50" s="56" t="str">
        <f t="shared" si="26"/>
        <v/>
      </c>
      <c r="AA50" s="56" t="str">
        <f t="shared" si="27"/>
        <v/>
      </c>
      <c r="AB50" s="56" t="str">
        <f t="shared" si="28"/>
        <v/>
      </c>
      <c r="AC50" s="56" t="str">
        <f t="shared" si="29"/>
        <v/>
      </c>
      <c r="AD50" s="56" t="str">
        <f t="shared" si="30"/>
        <v/>
      </c>
      <c r="AE50" s="40"/>
      <c r="AF50" s="40"/>
      <c r="AG50" s="40"/>
      <c r="AH50" s="56" t="str">
        <f t="shared" si="31"/>
        <v/>
      </c>
      <c r="AI50" s="54"/>
      <c r="AJ50" s="54"/>
      <c r="AK50" s="54"/>
      <c r="AL50" s="54"/>
      <c r="AM50" s="54"/>
    </row>
    <row r="51" spans="1:39">
      <c r="A51" s="45" t="str" cm="1">
        <f t="array" ref="A51">IF(H51="PROJECT", CHAR(10) &amp; "- " &amp; _xlfn.TEXTJOIN(CHAR(10) &amp; "- ", TRUE, _xlfn._xlws.FILTER($I$9:$I$1000, ($B$9:$B$1000=B51) * ($H$9:$H$1000="Topic"))), "")</f>
        <v/>
      </c>
      <c r="B51" s="45" t="str">
        <f t="shared" si="15"/>
        <v/>
      </c>
      <c r="C51" s="95"/>
      <c r="D51" s="46"/>
      <c r="E51" s="58"/>
      <c r="F51" s="48"/>
      <c r="G51" s="49"/>
      <c r="H51" s="49"/>
      <c r="I51" s="50"/>
      <c r="J51" s="51"/>
      <c r="K51" s="129" t="str">
        <f t="shared" si="16"/>
        <v/>
      </c>
      <c r="L51" s="103" t="str">
        <f t="shared" si="17"/>
        <v/>
      </c>
      <c r="M51" s="53">
        <v>0</v>
      </c>
      <c r="N51" s="102" t="str">
        <f t="shared" si="18"/>
        <v/>
      </c>
      <c r="O51" s="103" t="str">
        <f t="shared" si="19"/>
        <v/>
      </c>
      <c r="P51" s="53">
        <v>0</v>
      </c>
      <c r="Q51" s="102" t="str">
        <f t="shared" si="20"/>
        <v/>
      </c>
      <c r="R51" s="103" t="str">
        <f t="shared" si="21"/>
        <v/>
      </c>
      <c r="S51" s="53">
        <v>0</v>
      </c>
      <c r="T51" s="102" t="str">
        <f t="shared" si="22"/>
        <v/>
      </c>
      <c r="U51" s="103" t="str">
        <f t="shared" si="23"/>
        <v/>
      </c>
      <c r="V51" s="53">
        <v>0</v>
      </c>
      <c r="W51" s="87" t="str">
        <f t="shared" si="24"/>
        <v/>
      </c>
      <c r="X51" s="103" t="str">
        <f t="shared" si="25"/>
        <v/>
      </c>
      <c r="Y51" s="53">
        <v>0</v>
      </c>
      <c r="Z51" s="56" t="str">
        <f t="shared" si="26"/>
        <v/>
      </c>
      <c r="AA51" s="56" t="str">
        <f t="shared" si="27"/>
        <v/>
      </c>
      <c r="AB51" s="56" t="str">
        <f t="shared" si="28"/>
        <v/>
      </c>
      <c r="AC51" s="56" t="str">
        <f t="shared" si="29"/>
        <v/>
      </c>
      <c r="AD51" s="56" t="str">
        <f t="shared" si="30"/>
        <v/>
      </c>
      <c r="AE51" s="40"/>
      <c r="AF51" s="40"/>
      <c r="AG51" s="40"/>
      <c r="AH51" s="56" t="str">
        <f t="shared" si="31"/>
        <v/>
      </c>
      <c r="AI51" s="54"/>
      <c r="AJ51" s="54"/>
      <c r="AK51" s="54"/>
      <c r="AL51" s="54"/>
      <c r="AM51" s="54"/>
    </row>
    <row r="52" spans="1:39">
      <c r="A52" s="45" t="str" cm="1">
        <f t="array" ref="A52">IF(H52="PROJECT", CHAR(10) &amp; "- " &amp; _xlfn.TEXTJOIN(CHAR(10) &amp; "- ", TRUE, _xlfn._xlws.FILTER($I$9:$I$1000, ($B$9:$B$1000=B52) * ($H$9:$H$1000="Topic"))), "")</f>
        <v/>
      </c>
      <c r="B52" s="45" t="str">
        <f t="shared" si="15"/>
        <v/>
      </c>
      <c r="C52" s="95"/>
      <c r="D52" s="57"/>
      <c r="E52" s="58"/>
      <c r="F52" s="59"/>
      <c r="G52" s="60"/>
      <c r="H52" s="60"/>
      <c r="I52" s="61"/>
      <c r="J52" s="62"/>
      <c r="K52" s="129" t="str">
        <f t="shared" si="16"/>
        <v/>
      </c>
      <c r="L52" s="103" t="str">
        <f t="shared" si="17"/>
        <v/>
      </c>
      <c r="M52" s="52">
        <v>0</v>
      </c>
      <c r="N52" s="102" t="str">
        <f t="shared" si="18"/>
        <v/>
      </c>
      <c r="O52" s="103" t="str">
        <f t="shared" si="19"/>
        <v/>
      </c>
      <c r="P52" s="52">
        <v>0</v>
      </c>
      <c r="Q52" s="102" t="str">
        <f t="shared" si="20"/>
        <v/>
      </c>
      <c r="R52" s="103" t="str">
        <f t="shared" si="21"/>
        <v/>
      </c>
      <c r="S52" s="52">
        <v>0</v>
      </c>
      <c r="T52" s="102" t="str">
        <f t="shared" si="22"/>
        <v/>
      </c>
      <c r="U52" s="103" t="str">
        <f t="shared" si="23"/>
        <v/>
      </c>
      <c r="V52" s="52">
        <v>0</v>
      </c>
      <c r="W52" s="87" t="str">
        <f t="shared" si="24"/>
        <v/>
      </c>
      <c r="X52" s="103" t="str">
        <f t="shared" si="25"/>
        <v/>
      </c>
      <c r="Y52" s="52">
        <v>0</v>
      </c>
      <c r="Z52" s="56" t="str">
        <f t="shared" si="26"/>
        <v/>
      </c>
      <c r="AA52" s="56" t="str">
        <f t="shared" si="27"/>
        <v/>
      </c>
      <c r="AB52" s="56" t="str">
        <f t="shared" si="28"/>
        <v/>
      </c>
      <c r="AC52" s="56" t="str">
        <f t="shared" si="29"/>
        <v/>
      </c>
      <c r="AD52" s="56" t="str">
        <f t="shared" si="30"/>
        <v/>
      </c>
      <c r="AE52" s="40"/>
      <c r="AF52" s="40"/>
      <c r="AG52" s="40"/>
      <c r="AH52" s="56" t="str">
        <f t="shared" si="31"/>
        <v/>
      </c>
      <c r="AI52" s="54"/>
      <c r="AJ52" s="54"/>
      <c r="AK52" s="54"/>
      <c r="AL52" s="54"/>
      <c r="AM52" s="54"/>
    </row>
    <row r="53" spans="1:39">
      <c r="A53" s="45" t="str" cm="1">
        <f t="array" ref="A53">IF(H53="PROJECT", CHAR(10) &amp; "- " &amp; _xlfn.TEXTJOIN(CHAR(10) &amp; "- ", TRUE, _xlfn._xlws.FILTER($I$9:$I$1000, ($B$9:$B$1000=B53) * ($H$9:$H$1000="Topic"))), "")</f>
        <v/>
      </c>
      <c r="B53" s="45" t="str">
        <f t="shared" si="15"/>
        <v/>
      </c>
      <c r="C53" s="95"/>
      <c r="D53" s="46"/>
      <c r="E53" s="58"/>
      <c r="F53" s="48"/>
      <c r="G53" s="49"/>
      <c r="H53" s="49"/>
      <c r="I53" s="50"/>
      <c r="J53" s="51"/>
      <c r="K53" s="129" t="str">
        <f t="shared" si="16"/>
        <v/>
      </c>
      <c r="L53" s="103" t="str">
        <f t="shared" si="17"/>
        <v/>
      </c>
      <c r="M53" s="53">
        <v>0</v>
      </c>
      <c r="N53" s="102" t="str">
        <f t="shared" si="18"/>
        <v/>
      </c>
      <c r="O53" s="103" t="str">
        <f t="shared" si="19"/>
        <v/>
      </c>
      <c r="P53" s="53">
        <v>0</v>
      </c>
      <c r="Q53" s="102" t="str">
        <f t="shared" si="20"/>
        <v/>
      </c>
      <c r="R53" s="103" t="str">
        <f t="shared" si="21"/>
        <v/>
      </c>
      <c r="S53" s="53">
        <v>0</v>
      </c>
      <c r="T53" s="102" t="str">
        <f t="shared" si="22"/>
        <v/>
      </c>
      <c r="U53" s="103" t="str">
        <f t="shared" si="23"/>
        <v/>
      </c>
      <c r="V53" s="53">
        <v>0</v>
      </c>
      <c r="W53" s="87" t="str">
        <f t="shared" si="24"/>
        <v/>
      </c>
      <c r="X53" s="103" t="str">
        <f t="shared" si="25"/>
        <v/>
      </c>
      <c r="Y53" s="53">
        <v>0</v>
      </c>
      <c r="Z53" s="56" t="str">
        <f t="shared" si="26"/>
        <v/>
      </c>
      <c r="AA53" s="56" t="str">
        <f t="shared" si="27"/>
        <v/>
      </c>
      <c r="AB53" s="56" t="str">
        <f t="shared" si="28"/>
        <v/>
      </c>
      <c r="AC53" s="56" t="str">
        <f t="shared" si="29"/>
        <v/>
      </c>
      <c r="AD53" s="56" t="str">
        <f t="shared" si="30"/>
        <v/>
      </c>
      <c r="AE53" s="40"/>
      <c r="AF53" s="40"/>
      <c r="AG53" s="40"/>
      <c r="AH53" s="56" t="str">
        <f t="shared" si="31"/>
        <v/>
      </c>
      <c r="AI53" s="54"/>
      <c r="AJ53" s="54"/>
      <c r="AK53" s="54"/>
      <c r="AL53" s="54"/>
      <c r="AM53" s="54"/>
    </row>
    <row r="54" spans="1:39">
      <c r="A54" s="45" t="str" cm="1">
        <f t="array" ref="A54">IF(H54="PROJECT", CHAR(10) &amp; "- " &amp; _xlfn.TEXTJOIN(CHAR(10) &amp; "- ", TRUE, _xlfn._xlws.FILTER($I$9:$I$1000, ($B$9:$B$1000=B54) * ($H$9:$H$1000="Topic"))), "")</f>
        <v/>
      </c>
      <c r="B54" s="45" t="str">
        <f t="shared" si="15"/>
        <v/>
      </c>
      <c r="C54" s="95"/>
      <c r="D54" s="57"/>
      <c r="E54" s="58"/>
      <c r="F54" s="59"/>
      <c r="G54" s="60"/>
      <c r="H54" s="60"/>
      <c r="I54" s="61"/>
      <c r="J54" s="62"/>
      <c r="K54" s="129" t="str">
        <f t="shared" si="16"/>
        <v/>
      </c>
      <c r="L54" s="103" t="str">
        <f t="shared" si="17"/>
        <v/>
      </c>
      <c r="M54" s="52">
        <v>0</v>
      </c>
      <c r="N54" s="102" t="str">
        <f t="shared" si="18"/>
        <v/>
      </c>
      <c r="O54" s="103" t="str">
        <f t="shared" si="19"/>
        <v/>
      </c>
      <c r="P54" s="52">
        <v>0</v>
      </c>
      <c r="Q54" s="102" t="str">
        <f t="shared" si="20"/>
        <v/>
      </c>
      <c r="R54" s="103" t="str">
        <f t="shared" si="21"/>
        <v/>
      </c>
      <c r="S54" s="52">
        <v>0</v>
      </c>
      <c r="T54" s="102" t="str">
        <f t="shared" si="22"/>
        <v/>
      </c>
      <c r="U54" s="103" t="str">
        <f t="shared" si="23"/>
        <v/>
      </c>
      <c r="V54" s="52">
        <v>0</v>
      </c>
      <c r="W54" s="87" t="str">
        <f t="shared" si="24"/>
        <v/>
      </c>
      <c r="X54" s="103" t="str">
        <f t="shared" si="25"/>
        <v/>
      </c>
      <c r="Y54" s="52">
        <v>0</v>
      </c>
      <c r="Z54" s="56" t="str">
        <f t="shared" si="26"/>
        <v/>
      </c>
      <c r="AA54" s="56" t="str">
        <f t="shared" si="27"/>
        <v/>
      </c>
      <c r="AB54" s="56" t="str">
        <f t="shared" si="28"/>
        <v/>
      </c>
      <c r="AC54" s="56" t="str">
        <f t="shared" si="29"/>
        <v/>
      </c>
      <c r="AD54" s="56" t="str">
        <f t="shared" si="30"/>
        <v/>
      </c>
      <c r="AE54" s="40"/>
      <c r="AF54" s="40"/>
      <c r="AG54" s="40"/>
      <c r="AH54" s="56" t="str">
        <f t="shared" si="31"/>
        <v/>
      </c>
      <c r="AI54" s="54"/>
      <c r="AJ54" s="54"/>
      <c r="AK54" s="54"/>
      <c r="AL54" s="54"/>
      <c r="AM54" s="54"/>
    </row>
    <row r="55" spans="1:39">
      <c r="A55" s="45" t="str" cm="1">
        <f t="array" ref="A55">IF(H55="PROJECT", CHAR(10) &amp; "- " &amp; _xlfn.TEXTJOIN(CHAR(10) &amp; "- ", TRUE, _xlfn._xlws.FILTER($I$9:$I$1000, ($B$9:$B$1000=B55) * ($H$9:$H$1000="Topic"))), "")</f>
        <v/>
      </c>
      <c r="B55" s="45" t="str">
        <f t="shared" si="15"/>
        <v/>
      </c>
      <c r="C55" s="95"/>
      <c r="D55" s="46"/>
      <c r="E55" s="58"/>
      <c r="F55" s="48"/>
      <c r="G55" s="49"/>
      <c r="H55" s="49"/>
      <c r="I55" s="50"/>
      <c r="J55" s="51"/>
      <c r="K55" s="129" t="str">
        <f t="shared" si="16"/>
        <v/>
      </c>
      <c r="L55" s="103" t="str">
        <f t="shared" si="17"/>
        <v/>
      </c>
      <c r="M55" s="53">
        <v>0</v>
      </c>
      <c r="N55" s="102" t="str">
        <f t="shared" si="18"/>
        <v/>
      </c>
      <c r="O55" s="103" t="str">
        <f t="shared" si="19"/>
        <v/>
      </c>
      <c r="P55" s="53">
        <v>0</v>
      </c>
      <c r="Q55" s="102" t="str">
        <f t="shared" si="20"/>
        <v/>
      </c>
      <c r="R55" s="103" t="str">
        <f t="shared" si="21"/>
        <v/>
      </c>
      <c r="S55" s="53">
        <v>0</v>
      </c>
      <c r="T55" s="102" t="str">
        <f t="shared" si="22"/>
        <v/>
      </c>
      <c r="U55" s="103" t="str">
        <f t="shared" si="23"/>
        <v/>
      </c>
      <c r="V55" s="53">
        <v>0</v>
      </c>
      <c r="W55" s="87" t="str">
        <f t="shared" si="24"/>
        <v/>
      </c>
      <c r="X55" s="103" t="str">
        <f t="shared" si="25"/>
        <v/>
      </c>
      <c r="Y55" s="53">
        <v>0</v>
      </c>
      <c r="Z55" s="56" t="str">
        <f t="shared" si="26"/>
        <v/>
      </c>
      <c r="AA55" s="56" t="str">
        <f t="shared" si="27"/>
        <v/>
      </c>
      <c r="AB55" s="56" t="str">
        <f t="shared" si="28"/>
        <v/>
      </c>
      <c r="AC55" s="56" t="str">
        <f t="shared" si="29"/>
        <v/>
      </c>
      <c r="AD55" s="56" t="str">
        <f t="shared" si="30"/>
        <v/>
      </c>
      <c r="AE55" s="40"/>
      <c r="AF55" s="40"/>
      <c r="AG55" s="40"/>
      <c r="AH55" s="56" t="str">
        <f t="shared" si="31"/>
        <v/>
      </c>
      <c r="AI55" s="54"/>
      <c r="AJ55" s="54"/>
      <c r="AK55" s="54"/>
      <c r="AL55" s="54"/>
      <c r="AM55" s="54"/>
    </row>
    <row r="56" spans="1:39">
      <c r="A56" s="45" t="str" cm="1">
        <f t="array" ref="A56">IF(H56="PROJECT", CHAR(10) &amp; "- " &amp; _xlfn.TEXTJOIN(CHAR(10) &amp; "- ", TRUE, _xlfn._xlws.FILTER($I$9:$I$1000, ($B$9:$B$1000=B56) * ($H$9:$H$1000="Topic"))), "")</f>
        <v/>
      </c>
      <c r="B56" s="45" t="str">
        <f t="shared" si="15"/>
        <v/>
      </c>
      <c r="C56" s="95"/>
      <c r="D56" s="57"/>
      <c r="E56" s="58"/>
      <c r="F56" s="63"/>
      <c r="G56" s="60"/>
      <c r="H56" s="64"/>
      <c r="I56" s="61"/>
      <c r="J56" s="62"/>
      <c r="K56" s="129" t="str">
        <f t="shared" si="16"/>
        <v/>
      </c>
      <c r="L56" s="103" t="str">
        <f t="shared" si="17"/>
        <v/>
      </c>
      <c r="M56" s="52">
        <v>0</v>
      </c>
      <c r="N56" s="102" t="str">
        <f t="shared" si="18"/>
        <v/>
      </c>
      <c r="O56" s="103" t="str">
        <f t="shared" si="19"/>
        <v/>
      </c>
      <c r="P56" s="52">
        <v>0</v>
      </c>
      <c r="Q56" s="102" t="str">
        <f t="shared" si="20"/>
        <v/>
      </c>
      <c r="R56" s="103" t="str">
        <f t="shared" si="21"/>
        <v/>
      </c>
      <c r="S56" s="52">
        <v>0</v>
      </c>
      <c r="T56" s="102" t="str">
        <f t="shared" si="22"/>
        <v/>
      </c>
      <c r="U56" s="103" t="str">
        <f t="shared" si="23"/>
        <v/>
      </c>
      <c r="V56" s="52">
        <v>0</v>
      </c>
      <c r="W56" s="87" t="str">
        <f t="shared" si="24"/>
        <v/>
      </c>
      <c r="X56" s="103" t="str">
        <f t="shared" si="25"/>
        <v/>
      </c>
      <c r="Y56" s="52">
        <v>0</v>
      </c>
      <c r="Z56" s="56" t="str">
        <f t="shared" si="26"/>
        <v/>
      </c>
      <c r="AA56" s="56" t="str">
        <f t="shared" si="27"/>
        <v/>
      </c>
      <c r="AB56" s="56" t="str">
        <f t="shared" si="28"/>
        <v/>
      </c>
      <c r="AC56" s="56" t="str">
        <f t="shared" si="29"/>
        <v/>
      </c>
      <c r="AD56" s="56" t="str">
        <f t="shared" si="30"/>
        <v/>
      </c>
      <c r="AE56" s="40"/>
      <c r="AF56" s="40"/>
      <c r="AG56" s="40"/>
      <c r="AH56" s="56" t="str">
        <f t="shared" si="31"/>
        <v/>
      </c>
      <c r="AI56" s="54"/>
      <c r="AJ56" s="54"/>
      <c r="AK56" s="54"/>
      <c r="AL56" s="54"/>
      <c r="AM56" s="54"/>
    </row>
    <row r="57" spans="1:39">
      <c r="A57" s="45" t="str" cm="1">
        <f t="array" ref="A57">IF(H57="PROJECT", CHAR(10) &amp; "- " &amp; _xlfn.TEXTJOIN(CHAR(10) &amp; "- ", TRUE, _xlfn._xlws.FILTER($I$9:$I$1000, ($B$9:$B$1000=B57) * ($H$9:$H$1000="Topic"))), "")</f>
        <v/>
      </c>
      <c r="B57" s="45" t="str">
        <f t="shared" si="15"/>
        <v/>
      </c>
      <c r="C57" s="95"/>
      <c r="D57" s="46"/>
      <c r="E57" s="58"/>
      <c r="F57" s="65"/>
      <c r="G57" s="49"/>
      <c r="H57" s="66"/>
      <c r="I57" s="50"/>
      <c r="J57" s="51"/>
      <c r="K57" s="129" t="str">
        <f t="shared" si="16"/>
        <v/>
      </c>
      <c r="L57" s="103" t="str">
        <f t="shared" si="17"/>
        <v/>
      </c>
      <c r="M57" s="53">
        <v>0</v>
      </c>
      <c r="N57" s="102" t="str">
        <f t="shared" si="18"/>
        <v/>
      </c>
      <c r="O57" s="103" t="str">
        <f t="shared" si="19"/>
        <v/>
      </c>
      <c r="P57" s="53">
        <v>0</v>
      </c>
      <c r="Q57" s="102" t="str">
        <f t="shared" si="20"/>
        <v/>
      </c>
      <c r="R57" s="103" t="str">
        <f t="shared" si="21"/>
        <v/>
      </c>
      <c r="S57" s="53">
        <v>0</v>
      </c>
      <c r="T57" s="102" t="str">
        <f t="shared" si="22"/>
        <v/>
      </c>
      <c r="U57" s="103" t="str">
        <f t="shared" si="23"/>
        <v/>
      </c>
      <c r="V57" s="53">
        <v>0</v>
      </c>
      <c r="W57" s="87" t="str">
        <f t="shared" si="24"/>
        <v/>
      </c>
      <c r="X57" s="103" t="str">
        <f t="shared" si="25"/>
        <v/>
      </c>
      <c r="Y57" s="53">
        <v>0</v>
      </c>
      <c r="Z57" s="56" t="str">
        <f t="shared" si="26"/>
        <v/>
      </c>
      <c r="AA57" s="56" t="str">
        <f t="shared" si="27"/>
        <v/>
      </c>
      <c r="AB57" s="56" t="str">
        <f t="shared" si="28"/>
        <v/>
      </c>
      <c r="AC57" s="56" t="str">
        <f t="shared" si="29"/>
        <v/>
      </c>
      <c r="AD57" s="56" t="str">
        <f t="shared" si="30"/>
        <v/>
      </c>
      <c r="AE57" s="40"/>
      <c r="AF57" s="40"/>
      <c r="AG57" s="40"/>
      <c r="AH57" s="56" t="str">
        <f t="shared" si="31"/>
        <v/>
      </c>
      <c r="AI57" s="54"/>
      <c r="AJ57" s="54"/>
      <c r="AK57" s="54"/>
      <c r="AL57" s="54"/>
      <c r="AM57" s="54"/>
    </row>
    <row r="58" spans="1:39">
      <c r="A58" s="45" t="str" cm="1">
        <f t="array" ref="A58">IF(H58="PROJECT", CHAR(10) &amp; "- " &amp; _xlfn.TEXTJOIN(CHAR(10) &amp; "- ", TRUE, _xlfn._xlws.FILTER($I$9:$I$1000, ($B$9:$B$1000=B58) * ($H$9:$H$1000="Topic"))), "")</f>
        <v/>
      </c>
      <c r="B58" s="45" t="str">
        <f t="shared" si="15"/>
        <v/>
      </c>
      <c r="C58" s="95"/>
      <c r="D58" s="57"/>
      <c r="E58" s="58"/>
      <c r="F58" s="63"/>
      <c r="G58" s="60"/>
      <c r="H58" s="64"/>
      <c r="I58" s="61"/>
      <c r="J58" s="62"/>
      <c r="K58" s="129" t="str">
        <f t="shared" si="16"/>
        <v/>
      </c>
      <c r="L58" s="103" t="str">
        <f t="shared" si="17"/>
        <v/>
      </c>
      <c r="M58" s="52">
        <v>0</v>
      </c>
      <c r="N58" s="102" t="str">
        <f t="shared" si="18"/>
        <v/>
      </c>
      <c r="O58" s="103" t="str">
        <f t="shared" si="19"/>
        <v/>
      </c>
      <c r="P58" s="52">
        <v>0</v>
      </c>
      <c r="Q58" s="102" t="str">
        <f t="shared" si="20"/>
        <v/>
      </c>
      <c r="R58" s="103" t="str">
        <f t="shared" si="21"/>
        <v/>
      </c>
      <c r="S58" s="52">
        <v>0</v>
      </c>
      <c r="T58" s="102" t="str">
        <f t="shared" si="22"/>
        <v/>
      </c>
      <c r="U58" s="103" t="str">
        <f t="shared" si="23"/>
        <v/>
      </c>
      <c r="V58" s="52">
        <v>0</v>
      </c>
      <c r="W58" s="87" t="str">
        <f t="shared" si="24"/>
        <v/>
      </c>
      <c r="X58" s="103" t="str">
        <f t="shared" si="25"/>
        <v/>
      </c>
      <c r="Y58" s="52">
        <v>0</v>
      </c>
      <c r="Z58" s="56" t="str">
        <f t="shared" si="26"/>
        <v/>
      </c>
      <c r="AA58" s="56" t="str">
        <f t="shared" si="27"/>
        <v/>
      </c>
      <c r="AB58" s="56" t="str">
        <f t="shared" si="28"/>
        <v/>
      </c>
      <c r="AC58" s="56" t="str">
        <f t="shared" si="29"/>
        <v/>
      </c>
      <c r="AD58" s="56" t="str">
        <f t="shared" si="30"/>
        <v/>
      </c>
      <c r="AE58" s="40"/>
      <c r="AF58" s="40"/>
      <c r="AG58" s="40"/>
      <c r="AH58" s="56" t="str">
        <f t="shared" si="31"/>
        <v/>
      </c>
      <c r="AI58" s="54"/>
      <c r="AJ58" s="54"/>
      <c r="AK58" s="54"/>
      <c r="AL58" s="54"/>
      <c r="AM58" s="54"/>
    </row>
    <row r="59" spans="1:39">
      <c r="A59" s="45" t="str" cm="1">
        <f t="array" ref="A59">IF(H59="PROJECT", CHAR(10) &amp; "- " &amp; _xlfn.TEXTJOIN(CHAR(10) &amp; "- ", TRUE, _xlfn._xlws.FILTER($I$9:$I$1000, ($B$9:$B$1000=B59) * ($H$9:$H$1000="Topic"))), "")</f>
        <v/>
      </c>
      <c r="B59" s="45" t="str">
        <f t="shared" si="15"/>
        <v/>
      </c>
      <c r="C59" s="95"/>
      <c r="D59" s="46"/>
      <c r="E59" s="58"/>
      <c r="F59" s="65"/>
      <c r="G59" s="49"/>
      <c r="H59" s="66"/>
      <c r="I59" s="50"/>
      <c r="J59" s="51"/>
      <c r="K59" s="129" t="str">
        <f t="shared" si="16"/>
        <v/>
      </c>
      <c r="L59" s="103" t="str">
        <f t="shared" si="17"/>
        <v/>
      </c>
      <c r="M59" s="53">
        <v>0</v>
      </c>
      <c r="N59" s="102" t="str">
        <f t="shared" si="18"/>
        <v/>
      </c>
      <c r="O59" s="103" t="str">
        <f t="shared" si="19"/>
        <v/>
      </c>
      <c r="P59" s="53">
        <v>0</v>
      </c>
      <c r="Q59" s="102" t="str">
        <f t="shared" si="20"/>
        <v/>
      </c>
      <c r="R59" s="103" t="str">
        <f t="shared" si="21"/>
        <v/>
      </c>
      <c r="S59" s="53">
        <v>0</v>
      </c>
      <c r="T59" s="102" t="str">
        <f t="shared" si="22"/>
        <v/>
      </c>
      <c r="U59" s="103" t="str">
        <f t="shared" si="23"/>
        <v/>
      </c>
      <c r="V59" s="53">
        <v>0</v>
      </c>
      <c r="W59" s="87" t="str">
        <f t="shared" si="24"/>
        <v/>
      </c>
      <c r="X59" s="103" t="str">
        <f t="shared" si="25"/>
        <v/>
      </c>
      <c r="Y59" s="53">
        <v>0</v>
      </c>
      <c r="Z59" s="56" t="str">
        <f t="shared" si="26"/>
        <v/>
      </c>
      <c r="AA59" s="56" t="str">
        <f t="shared" si="27"/>
        <v/>
      </c>
      <c r="AB59" s="56" t="str">
        <f t="shared" si="28"/>
        <v/>
      </c>
      <c r="AC59" s="56" t="str">
        <f t="shared" si="29"/>
        <v/>
      </c>
      <c r="AD59" s="56" t="str">
        <f t="shared" si="30"/>
        <v/>
      </c>
      <c r="AE59" s="40"/>
      <c r="AF59" s="40"/>
      <c r="AG59" s="40"/>
      <c r="AH59" s="56" t="str">
        <f t="shared" si="31"/>
        <v/>
      </c>
      <c r="AI59" s="54"/>
      <c r="AJ59" s="54"/>
      <c r="AK59" s="54"/>
      <c r="AL59" s="54"/>
      <c r="AM59" s="54"/>
    </row>
    <row r="60" spans="1:39">
      <c r="A60" s="45" t="str" cm="1">
        <f t="array" ref="A60">IF(H60="PROJECT", CHAR(10) &amp; "- " &amp; _xlfn.TEXTJOIN(CHAR(10) &amp; "- ", TRUE, _xlfn._xlws.FILTER($I$9:$I$1000, ($B$9:$B$1000=B60) * ($H$9:$H$1000="Topic"))), "")</f>
        <v/>
      </c>
      <c r="B60" s="45" t="str">
        <f t="shared" si="15"/>
        <v/>
      </c>
      <c r="C60" s="95"/>
      <c r="D60" s="57"/>
      <c r="E60" s="58"/>
      <c r="F60" s="63"/>
      <c r="G60" s="60"/>
      <c r="H60" s="64"/>
      <c r="I60" s="61"/>
      <c r="J60" s="62"/>
      <c r="K60" s="129" t="str">
        <f t="shared" si="16"/>
        <v/>
      </c>
      <c r="L60" s="103" t="str">
        <f t="shared" si="17"/>
        <v/>
      </c>
      <c r="M60" s="52">
        <v>0</v>
      </c>
      <c r="N60" s="102" t="str">
        <f t="shared" si="18"/>
        <v/>
      </c>
      <c r="O60" s="103" t="str">
        <f t="shared" si="19"/>
        <v/>
      </c>
      <c r="P60" s="52">
        <v>0</v>
      </c>
      <c r="Q60" s="102" t="str">
        <f t="shared" si="20"/>
        <v/>
      </c>
      <c r="R60" s="103" t="str">
        <f t="shared" si="21"/>
        <v/>
      </c>
      <c r="S60" s="52">
        <v>0</v>
      </c>
      <c r="T60" s="102" t="str">
        <f t="shared" si="22"/>
        <v/>
      </c>
      <c r="U60" s="103" t="str">
        <f t="shared" si="23"/>
        <v/>
      </c>
      <c r="V60" s="52">
        <v>0</v>
      </c>
      <c r="W60" s="87" t="str">
        <f t="shared" si="24"/>
        <v/>
      </c>
      <c r="X60" s="103" t="str">
        <f t="shared" si="25"/>
        <v/>
      </c>
      <c r="Y60" s="52">
        <v>0</v>
      </c>
      <c r="Z60" s="56" t="str">
        <f t="shared" si="26"/>
        <v/>
      </c>
      <c r="AA60" s="56" t="str">
        <f t="shared" si="27"/>
        <v/>
      </c>
      <c r="AB60" s="56" t="str">
        <f t="shared" si="28"/>
        <v/>
      </c>
      <c r="AC60" s="56" t="str">
        <f t="shared" si="29"/>
        <v/>
      </c>
      <c r="AD60" s="56" t="str">
        <f t="shared" si="30"/>
        <v/>
      </c>
      <c r="AE60" s="40"/>
      <c r="AF60" s="40"/>
      <c r="AG60" s="40"/>
      <c r="AH60" s="56" t="str">
        <f t="shared" si="31"/>
        <v/>
      </c>
      <c r="AI60" s="54"/>
      <c r="AJ60" s="54"/>
      <c r="AK60" s="54"/>
      <c r="AL60" s="54"/>
      <c r="AM60" s="54"/>
    </row>
    <row r="61" spans="1:39">
      <c r="A61" s="45" t="str" cm="1">
        <f t="array" ref="A61">IF(H61="PROJECT", CHAR(10) &amp; "- " &amp; _xlfn.TEXTJOIN(CHAR(10) &amp; "- ", TRUE, _xlfn._xlws.FILTER($I$9:$I$1000, ($B$9:$B$1000=B61) * ($H$9:$H$1000="Topic"))), "")</f>
        <v/>
      </c>
      <c r="B61" s="45" t="str">
        <f t="shared" si="15"/>
        <v/>
      </c>
      <c r="C61" s="95"/>
      <c r="D61" s="46"/>
      <c r="E61" s="58"/>
      <c r="F61" s="65"/>
      <c r="G61" s="49"/>
      <c r="H61" s="66"/>
      <c r="I61" s="50"/>
      <c r="J61" s="51"/>
      <c r="K61" s="129" t="str">
        <f t="shared" si="16"/>
        <v/>
      </c>
      <c r="L61" s="103" t="str">
        <f t="shared" si="17"/>
        <v/>
      </c>
      <c r="M61" s="53">
        <v>0</v>
      </c>
      <c r="N61" s="102" t="str">
        <f t="shared" si="18"/>
        <v/>
      </c>
      <c r="O61" s="103" t="str">
        <f t="shared" si="19"/>
        <v/>
      </c>
      <c r="P61" s="53">
        <v>0</v>
      </c>
      <c r="Q61" s="102" t="str">
        <f t="shared" si="20"/>
        <v/>
      </c>
      <c r="R61" s="103" t="str">
        <f t="shared" si="21"/>
        <v/>
      </c>
      <c r="S61" s="53">
        <v>0</v>
      </c>
      <c r="T61" s="102" t="str">
        <f t="shared" si="22"/>
        <v/>
      </c>
      <c r="U61" s="103" t="str">
        <f t="shared" si="23"/>
        <v/>
      </c>
      <c r="V61" s="53">
        <v>0</v>
      </c>
      <c r="W61" s="87" t="str">
        <f t="shared" si="24"/>
        <v/>
      </c>
      <c r="X61" s="103" t="str">
        <f t="shared" si="25"/>
        <v/>
      </c>
      <c r="Y61" s="53">
        <v>0</v>
      </c>
      <c r="Z61" s="56" t="str">
        <f t="shared" si="26"/>
        <v/>
      </c>
      <c r="AA61" s="56" t="str">
        <f t="shared" si="27"/>
        <v/>
      </c>
      <c r="AB61" s="56" t="str">
        <f t="shared" si="28"/>
        <v/>
      </c>
      <c r="AC61" s="56" t="str">
        <f t="shared" si="29"/>
        <v/>
      </c>
      <c r="AD61" s="56" t="str">
        <f t="shared" si="30"/>
        <v/>
      </c>
      <c r="AE61" s="40"/>
      <c r="AF61" s="40"/>
      <c r="AG61" s="40"/>
      <c r="AH61" s="56" t="str">
        <f t="shared" si="31"/>
        <v/>
      </c>
      <c r="AI61" s="54"/>
      <c r="AJ61" s="54"/>
      <c r="AK61" s="54"/>
      <c r="AL61" s="54"/>
      <c r="AM61" s="54"/>
    </row>
    <row r="62" spans="1:39">
      <c r="A62" s="45" t="str" cm="1">
        <f t="array" ref="A62">IF(H62="PROJECT", CHAR(10) &amp; "- " &amp; _xlfn.TEXTJOIN(CHAR(10) &amp; "- ", TRUE, _xlfn._xlws.FILTER($I$9:$I$1000, ($B$9:$B$1000=B62) * ($H$9:$H$1000="Topic"))), "")</f>
        <v/>
      </c>
      <c r="B62" s="45" t="str">
        <f t="shared" si="15"/>
        <v/>
      </c>
      <c r="C62" s="95"/>
      <c r="D62" s="57"/>
      <c r="E62" s="58"/>
      <c r="F62" s="63"/>
      <c r="G62" s="60"/>
      <c r="H62" s="64"/>
      <c r="I62" s="61"/>
      <c r="J62" s="62"/>
      <c r="K62" s="129" t="str">
        <f t="shared" si="16"/>
        <v/>
      </c>
      <c r="L62" s="103" t="str">
        <f t="shared" si="17"/>
        <v/>
      </c>
      <c r="M62" s="52">
        <v>0</v>
      </c>
      <c r="N62" s="102" t="str">
        <f t="shared" si="18"/>
        <v/>
      </c>
      <c r="O62" s="103" t="str">
        <f t="shared" si="19"/>
        <v/>
      </c>
      <c r="P62" s="52">
        <v>0</v>
      </c>
      <c r="Q62" s="102" t="str">
        <f t="shared" si="20"/>
        <v/>
      </c>
      <c r="R62" s="103" t="str">
        <f t="shared" si="21"/>
        <v/>
      </c>
      <c r="S62" s="52">
        <v>0</v>
      </c>
      <c r="T62" s="102" t="str">
        <f t="shared" si="22"/>
        <v/>
      </c>
      <c r="U62" s="103" t="str">
        <f t="shared" si="23"/>
        <v/>
      </c>
      <c r="V62" s="52">
        <v>0</v>
      </c>
      <c r="W62" s="87" t="str">
        <f t="shared" si="24"/>
        <v/>
      </c>
      <c r="X62" s="103" t="str">
        <f t="shared" si="25"/>
        <v/>
      </c>
      <c r="Y62" s="52">
        <v>0</v>
      </c>
      <c r="Z62" s="56" t="str">
        <f t="shared" si="26"/>
        <v/>
      </c>
      <c r="AA62" s="56" t="str">
        <f t="shared" si="27"/>
        <v/>
      </c>
      <c r="AB62" s="56" t="str">
        <f t="shared" si="28"/>
        <v/>
      </c>
      <c r="AC62" s="56" t="str">
        <f t="shared" si="29"/>
        <v/>
      </c>
      <c r="AD62" s="56" t="str">
        <f t="shared" si="30"/>
        <v/>
      </c>
      <c r="AE62" s="40"/>
      <c r="AF62" s="40"/>
      <c r="AG62" s="40"/>
      <c r="AH62" s="56" t="str">
        <f t="shared" si="31"/>
        <v/>
      </c>
      <c r="AI62" s="54"/>
      <c r="AJ62" s="54"/>
      <c r="AK62" s="54"/>
      <c r="AL62" s="54"/>
      <c r="AM62" s="54"/>
    </row>
    <row r="63" spans="1:39">
      <c r="A63" s="45" t="str" cm="1">
        <f t="array" ref="A63">IF(H63="PROJECT", CHAR(10) &amp; "- " &amp; _xlfn.TEXTJOIN(CHAR(10) &amp; "- ", TRUE, _xlfn._xlws.FILTER($I$9:$I$1000, ($B$9:$B$1000=B63) * ($H$9:$H$1000="Topic"))), "")</f>
        <v/>
      </c>
      <c r="B63" s="45" t="str">
        <f t="shared" si="15"/>
        <v/>
      </c>
      <c r="C63" s="95"/>
      <c r="D63" s="46"/>
      <c r="E63" s="58"/>
      <c r="F63" s="65"/>
      <c r="G63" s="49"/>
      <c r="H63" s="66"/>
      <c r="I63" s="50"/>
      <c r="J63" s="51"/>
      <c r="K63" s="129" t="str">
        <f t="shared" si="16"/>
        <v/>
      </c>
      <c r="L63" s="103" t="str">
        <f t="shared" si="17"/>
        <v/>
      </c>
      <c r="M63" s="53">
        <v>0</v>
      </c>
      <c r="N63" s="102" t="str">
        <f t="shared" si="18"/>
        <v/>
      </c>
      <c r="O63" s="103" t="str">
        <f t="shared" si="19"/>
        <v/>
      </c>
      <c r="P63" s="53">
        <v>0</v>
      </c>
      <c r="Q63" s="102" t="str">
        <f t="shared" si="20"/>
        <v/>
      </c>
      <c r="R63" s="103" t="str">
        <f t="shared" si="21"/>
        <v/>
      </c>
      <c r="S63" s="53">
        <v>0</v>
      </c>
      <c r="T63" s="102" t="str">
        <f t="shared" si="22"/>
        <v/>
      </c>
      <c r="U63" s="103" t="str">
        <f t="shared" si="23"/>
        <v/>
      </c>
      <c r="V63" s="53">
        <v>0</v>
      </c>
      <c r="W63" s="87" t="str">
        <f t="shared" si="24"/>
        <v/>
      </c>
      <c r="X63" s="103" t="str">
        <f t="shared" si="25"/>
        <v/>
      </c>
      <c r="Y63" s="53">
        <v>0</v>
      </c>
      <c r="Z63" s="56" t="str">
        <f t="shared" si="26"/>
        <v/>
      </c>
      <c r="AA63" s="56" t="str">
        <f t="shared" si="27"/>
        <v/>
      </c>
      <c r="AB63" s="56" t="str">
        <f t="shared" si="28"/>
        <v/>
      </c>
      <c r="AC63" s="56" t="str">
        <f t="shared" si="29"/>
        <v/>
      </c>
      <c r="AD63" s="56" t="str">
        <f t="shared" si="30"/>
        <v/>
      </c>
      <c r="AE63" s="40"/>
      <c r="AF63" s="40"/>
      <c r="AG63" s="40"/>
      <c r="AH63" s="56" t="str">
        <f t="shared" si="31"/>
        <v/>
      </c>
      <c r="AI63" s="54"/>
      <c r="AJ63" s="54"/>
      <c r="AK63" s="54"/>
      <c r="AL63" s="54"/>
      <c r="AM63" s="54"/>
    </row>
    <row r="64" spans="1:39">
      <c r="A64" s="45" t="str" cm="1">
        <f t="array" ref="A64">IF(H64="PROJECT", CHAR(10) &amp; "- " &amp; _xlfn.TEXTJOIN(CHAR(10) &amp; "- ", TRUE, _xlfn._xlws.FILTER($I$9:$I$1000, ($B$9:$B$1000=B64) * ($H$9:$H$1000="Topic"))), "")</f>
        <v/>
      </c>
      <c r="B64" s="45" t="str">
        <f t="shared" si="15"/>
        <v/>
      </c>
      <c r="C64" s="95"/>
      <c r="D64" s="57"/>
      <c r="E64" s="58"/>
      <c r="F64" s="63"/>
      <c r="G64" s="60"/>
      <c r="H64" s="64"/>
      <c r="I64" s="61"/>
      <c r="J64" s="62"/>
      <c r="K64" s="129" t="str">
        <f t="shared" si="16"/>
        <v/>
      </c>
      <c r="L64" s="103" t="str">
        <f t="shared" si="17"/>
        <v/>
      </c>
      <c r="M64" s="52">
        <v>0</v>
      </c>
      <c r="N64" s="102" t="str">
        <f t="shared" si="18"/>
        <v/>
      </c>
      <c r="O64" s="103" t="str">
        <f t="shared" si="19"/>
        <v/>
      </c>
      <c r="P64" s="52">
        <v>0</v>
      </c>
      <c r="Q64" s="102" t="str">
        <f t="shared" si="20"/>
        <v/>
      </c>
      <c r="R64" s="103" t="str">
        <f t="shared" si="21"/>
        <v/>
      </c>
      <c r="S64" s="52">
        <v>0</v>
      </c>
      <c r="T64" s="102" t="str">
        <f t="shared" si="22"/>
        <v/>
      </c>
      <c r="U64" s="103" t="str">
        <f t="shared" si="23"/>
        <v/>
      </c>
      <c r="V64" s="52">
        <v>0</v>
      </c>
      <c r="W64" s="87" t="str">
        <f t="shared" si="24"/>
        <v/>
      </c>
      <c r="X64" s="103" t="str">
        <f t="shared" si="25"/>
        <v/>
      </c>
      <c r="Y64" s="52">
        <v>0</v>
      </c>
      <c r="Z64" s="56" t="str">
        <f t="shared" si="26"/>
        <v/>
      </c>
      <c r="AA64" s="56" t="str">
        <f t="shared" si="27"/>
        <v/>
      </c>
      <c r="AB64" s="56" t="str">
        <f t="shared" si="28"/>
        <v/>
      </c>
      <c r="AC64" s="56" t="str">
        <f t="shared" si="29"/>
        <v/>
      </c>
      <c r="AD64" s="56" t="str">
        <f t="shared" si="30"/>
        <v/>
      </c>
      <c r="AE64" s="40"/>
      <c r="AF64" s="40"/>
      <c r="AG64" s="40"/>
      <c r="AH64" s="56" t="str">
        <f t="shared" si="31"/>
        <v/>
      </c>
      <c r="AI64" s="54"/>
      <c r="AJ64" s="54"/>
      <c r="AK64" s="54"/>
      <c r="AL64" s="54"/>
      <c r="AM64" s="54"/>
    </row>
    <row r="65" spans="1:39">
      <c r="A65" s="45" t="str" cm="1">
        <f t="array" ref="A65">IF(H65="PROJECT", CHAR(10) &amp; "- " &amp; _xlfn.TEXTJOIN(CHAR(10) &amp; "- ", TRUE, _xlfn._xlws.FILTER($I$9:$I$1000, ($B$9:$B$1000=B65) * ($H$9:$H$1000="Topic"))), "")</f>
        <v/>
      </c>
      <c r="B65" s="45" t="str">
        <f t="shared" si="15"/>
        <v/>
      </c>
      <c r="C65" s="95"/>
      <c r="D65" s="46"/>
      <c r="E65" s="58"/>
      <c r="F65" s="65"/>
      <c r="G65" s="49"/>
      <c r="H65" s="66"/>
      <c r="I65" s="50"/>
      <c r="J65" s="51"/>
      <c r="K65" s="129" t="str">
        <f t="shared" si="16"/>
        <v/>
      </c>
      <c r="L65" s="103" t="str">
        <f t="shared" si="17"/>
        <v/>
      </c>
      <c r="M65" s="53">
        <v>0</v>
      </c>
      <c r="N65" s="102" t="str">
        <f t="shared" si="18"/>
        <v/>
      </c>
      <c r="O65" s="103" t="str">
        <f t="shared" si="19"/>
        <v/>
      </c>
      <c r="P65" s="53">
        <v>0</v>
      </c>
      <c r="Q65" s="102" t="str">
        <f t="shared" si="20"/>
        <v/>
      </c>
      <c r="R65" s="103" t="str">
        <f t="shared" si="21"/>
        <v/>
      </c>
      <c r="S65" s="53">
        <v>0</v>
      </c>
      <c r="T65" s="102" t="str">
        <f t="shared" si="22"/>
        <v/>
      </c>
      <c r="U65" s="103" t="str">
        <f t="shared" si="23"/>
        <v/>
      </c>
      <c r="V65" s="53">
        <v>0</v>
      </c>
      <c r="W65" s="87" t="str">
        <f t="shared" si="24"/>
        <v/>
      </c>
      <c r="X65" s="103" t="str">
        <f t="shared" si="25"/>
        <v/>
      </c>
      <c r="Y65" s="53">
        <v>0</v>
      </c>
      <c r="Z65" s="56" t="str">
        <f t="shared" si="26"/>
        <v/>
      </c>
      <c r="AA65" s="56" t="str">
        <f t="shared" si="27"/>
        <v/>
      </c>
      <c r="AB65" s="56" t="str">
        <f t="shared" si="28"/>
        <v/>
      </c>
      <c r="AC65" s="56" t="str">
        <f t="shared" si="29"/>
        <v/>
      </c>
      <c r="AD65" s="56" t="str">
        <f t="shared" si="30"/>
        <v/>
      </c>
      <c r="AE65" s="40"/>
      <c r="AF65" s="40"/>
      <c r="AG65" s="40"/>
      <c r="AH65" s="56" t="str">
        <f t="shared" si="31"/>
        <v/>
      </c>
      <c r="AI65" s="54"/>
      <c r="AJ65" s="54"/>
      <c r="AK65" s="54"/>
      <c r="AL65" s="54"/>
      <c r="AM65" s="54"/>
    </row>
    <row r="66" spans="1:39">
      <c r="A66" s="45" t="str" cm="1">
        <f t="array" ref="A66">IF(H66="PROJECT", CHAR(10) &amp; "- " &amp; _xlfn.TEXTJOIN(CHAR(10) &amp; "- ", TRUE, _xlfn._xlws.FILTER($I$9:$I$1000, ($B$9:$B$1000=B66) * ($H$9:$H$1000="Topic"))), "")</f>
        <v/>
      </c>
      <c r="B66" s="45" t="str">
        <f t="shared" si="15"/>
        <v/>
      </c>
      <c r="C66" s="95"/>
      <c r="D66" s="57"/>
      <c r="E66" s="58"/>
      <c r="F66" s="63"/>
      <c r="G66" s="60"/>
      <c r="H66" s="64"/>
      <c r="I66" s="61"/>
      <c r="J66" s="62"/>
      <c r="K66" s="129" t="str">
        <f t="shared" si="16"/>
        <v/>
      </c>
      <c r="L66" s="103" t="str">
        <f t="shared" si="17"/>
        <v/>
      </c>
      <c r="M66" s="52">
        <v>0</v>
      </c>
      <c r="N66" s="102" t="str">
        <f t="shared" si="18"/>
        <v/>
      </c>
      <c r="O66" s="103" t="str">
        <f t="shared" si="19"/>
        <v/>
      </c>
      <c r="P66" s="52">
        <v>0</v>
      </c>
      <c r="Q66" s="102" t="str">
        <f t="shared" si="20"/>
        <v/>
      </c>
      <c r="R66" s="103" t="str">
        <f t="shared" si="21"/>
        <v/>
      </c>
      <c r="S66" s="52">
        <v>0</v>
      </c>
      <c r="T66" s="102" t="str">
        <f t="shared" si="22"/>
        <v/>
      </c>
      <c r="U66" s="103" t="str">
        <f t="shared" si="23"/>
        <v/>
      </c>
      <c r="V66" s="52">
        <v>0</v>
      </c>
      <c r="W66" s="87" t="str">
        <f t="shared" si="24"/>
        <v/>
      </c>
      <c r="X66" s="103" t="str">
        <f t="shared" si="25"/>
        <v/>
      </c>
      <c r="Y66" s="52">
        <v>0</v>
      </c>
      <c r="Z66" s="56" t="str">
        <f t="shared" si="26"/>
        <v/>
      </c>
      <c r="AA66" s="56" t="str">
        <f t="shared" si="27"/>
        <v/>
      </c>
      <c r="AB66" s="56" t="str">
        <f t="shared" si="28"/>
        <v/>
      </c>
      <c r="AC66" s="56" t="str">
        <f t="shared" si="29"/>
        <v/>
      </c>
      <c r="AD66" s="56" t="str">
        <f t="shared" si="30"/>
        <v/>
      </c>
      <c r="AE66" s="40"/>
      <c r="AF66" s="40"/>
      <c r="AG66" s="40"/>
      <c r="AH66" s="56" t="str">
        <f t="shared" si="31"/>
        <v/>
      </c>
      <c r="AI66" s="54"/>
      <c r="AJ66" s="54"/>
      <c r="AK66" s="54"/>
      <c r="AL66" s="54"/>
      <c r="AM66" s="54"/>
    </row>
    <row r="67" spans="1:39">
      <c r="A67" s="45" t="str" cm="1">
        <f t="array" ref="A67">IF(H67="PROJECT", CHAR(10) &amp; "- " &amp; _xlfn.TEXTJOIN(CHAR(10) &amp; "- ", TRUE, _xlfn._xlws.FILTER($I$9:$I$1000, ($B$9:$B$1000=B67) * ($H$9:$H$1000="Topic"))), "")</f>
        <v/>
      </c>
      <c r="B67" s="45" t="str">
        <f t="shared" si="15"/>
        <v/>
      </c>
      <c r="C67" s="95"/>
      <c r="D67" s="46"/>
      <c r="E67" s="58"/>
      <c r="F67" s="65"/>
      <c r="G67" s="49"/>
      <c r="H67" s="66"/>
      <c r="I67" s="50"/>
      <c r="J67" s="51"/>
      <c r="K67" s="129" t="str">
        <f t="shared" si="16"/>
        <v/>
      </c>
      <c r="L67" s="103" t="str">
        <f t="shared" si="17"/>
        <v/>
      </c>
      <c r="M67" s="53">
        <v>0</v>
      </c>
      <c r="N67" s="102" t="str">
        <f t="shared" si="18"/>
        <v/>
      </c>
      <c r="O67" s="103" t="str">
        <f t="shared" si="19"/>
        <v/>
      </c>
      <c r="P67" s="53">
        <v>0</v>
      </c>
      <c r="Q67" s="102" t="str">
        <f t="shared" si="20"/>
        <v/>
      </c>
      <c r="R67" s="103" t="str">
        <f t="shared" si="21"/>
        <v/>
      </c>
      <c r="S67" s="53">
        <v>0</v>
      </c>
      <c r="T67" s="102" t="str">
        <f t="shared" si="22"/>
        <v/>
      </c>
      <c r="U67" s="103" t="str">
        <f t="shared" si="23"/>
        <v/>
      </c>
      <c r="V67" s="53">
        <v>0</v>
      </c>
      <c r="W67" s="87" t="str">
        <f t="shared" si="24"/>
        <v/>
      </c>
      <c r="X67" s="103" t="str">
        <f t="shared" si="25"/>
        <v/>
      </c>
      <c r="Y67" s="53">
        <v>0</v>
      </c>
      <c r="Z67" s="56" t="str">
        <f t="shared" si="26"/>
        <v/>
      </c>
      <c r="AA67" s="56" t="str">
        <f t="shared" si="27"/>
        <v/>
      </c>
      <c r="AB67" s="56" t="str">
        <f t="shared" si="28"/>
        <v/>
      </c>
      <c r="AC67" s="56" t="str">
        <f t="shared" si="29"/>
        <v/>
      </c>
      <c r="AD67" s="56" t="str">
        <f t="shared" si="30"/>
        <v/>
      </c>
      <c r="AE67" s="40"/>
      <c r="AF67" s="40"/>
      <c r="AG67" s="40"/>
      <c r="AH67" s="56" t="str">
        <f t="shared" si="31"/>
        <v/>
      </c>
      <c r="AI67" s="54"/>
      <c r="AJ67" s="54"/>
      <c r="AK67" s="54"/>
      <c r="AL67" s="54"/>
      <c r="AM67" s="54"/>
    </row>
    <row r="68" spans="1:39">
      <c r="A68" s="45" t="str" cm="1">
        <f t="array" ref="A68">IF(H68="PROJECT", CHAR(10) &amp; "- " &amp; _xlfn.TEXTJOIN(CHAR(10) &amp; "- ", TRUE, _xlfn._xlws.FILTER($I$9:$I$1000, ($B$9:$B$1000=B68) * ($H$9:$H$1000="Topic"))), "")</f>
        <v/>
      </c>
      <c r="B68" s="45" t="str">
        <f t="shared" si="15"/>
        <v/>
      </c>
      <c r="C68" s="95"/>
      <c r="D68" s="57"/>
      <c r="E68" s="58"/>
      <c r="F68" s="63"/>
      <c r="G68" s="60"/>
      <c r="H68" s="60"/>
      <c r="I68" s="61"/>
      <c r="J68" s="62"/>
      <c r="K68" s="129" t="str">
        <f t="shared" si="16"/>
        <v/>
      </c>
      <c r="L68" s="103" t="str">
        <f t="shared" si="17"/>
        <v/>
      </c>
      <c r="M68" s="52">
        <v>0</v>
      </c>
      <c r="N68" s="102" t="str">
        <f t="shared" si="18"/>
        <v/>
      </c>
      <c r="O68" s="103" t="str">
        <f t="shared" si="19"/>
        <v/>
      </c>
      <c r="P68" s="52">
        <v>0</v>
      </c>
      <c r="Q68" s="102" t="str">
        <f t="shared" si="20"/>
        <v/>
      </c>
      <c r="R68" s="103" t="str">
        <f t="shared" si="21"/>
        <v/>
      </c>
      <c r="S68" s="52">
        <v>0</v>
      </c>
      <c r="T68" s="102" t="str">
        <f t="shared" si="22"/>
        <v/>
      </c>
      <c r="U68" s="103" t="str">
        <f t="shared" si="23"/>
        <v/>
      </c>
      <c r="V68" s="52">
        <v>0</v>
      </c>
      <c r="W68" s="87" t="str">
        <f t="shared" si="24"/>
        <v/>
      </c>
      <c r="X68" s="103" t="str">
        <f t="shared" si="25"/>
        <v/>
      </c>
      <c r="Y68" s="52">
        <v>0</v>
      </c>
      <c r="Z68" s="56" t="str">
        <f t="shared" si="26"/>
        <v/>
      </c>
      <c r="AA68" s="56" t="str">
        <f t="shared" si="27"/>
        <v/>
      </c>
      <c r="AB68" s="56" t="str">
        <f t="shared" si="28"/>
        <v/>
      </c>
      <c r="AC68" s="56" t="str">
        <f t="shared" si="29"/>
        <v/>
      </c>
      <c r="AD68" s="56" t="str">
        <f t="shared" si="30"/>
        <v/>
      </c>
      <c r="AE68" s="40"/>
      <c r="AF68" s="40"/>
      <c r="AG68" s="40"/>
      <c r="AH68" s="56" t="str">
        <f t="shared" si="31"/>
        <v/>
      </c>
      <c r="AI68" s="54"/>
      <c r="AJ68" s="54"/>
      <c r="AK68" s="54"/>
      <c r="AL68" s="54"/>
      <c r="AM68" s="54"/>
    </row>
    <row r="69" spans="1:39">
      <c r="A69" s="45" t="str" cm="1">
        <f t="array" ref="A69">IF(H69="PROJECT", CHAR(10) &amp; "- " &amp; _xlfn.TEXTJOIN(CHAR(10) &amp; "- ", TRUE, _xlfn._xlws.FILTER($I$9:$I$1000, ($B$9:$B$1000=B69) * ($H$9:$H$1000="Topic"))), "")</f>
        <v/>
      </c>
      <c r="B69" s="45" t="str">
        <f t="shared" si="15"/>
        <v/>
      </c>
      <c r="C69" s="95"/>
      <c r="D69" s="46"/>
      <c r="E69" s="58"/>
      <c r="F69" s="65"/>
      <c r="G69" s="49"/>
      <c r="H69" s="66"/>
      <c r="I69" s="50"/>
      <c r="J69" s="51"/>
      <c r="K69" s="129" t="str">
        <f t="shared" si="16"/>
        <v/>
      </c>
      <c r="L69" s="103" t="str">
        <f t="shared" si="17"/>
        <v/>
      </c>
      <c r="M69" s="53">
        <v>0</v>
      </c>
      <c r="N69" s="102" t="str">
        <f t="shared" si="18"/>
        <v/>
      </c>
      <c r="O69" s="103" t="str">
        <f t="shared" si="19"/>
        <v/>
      </c>
      <c r="P69" s="53">
        <v>0</v>
      </c>
      <c r="Q69" s="102" t="str">
        <f t="shared" si="20"/>
        <v/>
      </c>
      <c r="R69" s="103" t="str">
        <f t="shared" si="21"/>
        <v/>
      </c>
      <c r="S69" s="53">
        <v>0</v>
      </c>
      <c r="T69" s="102" t="str">
        <f t="shared" si="22"/>
        <v/>
      </c>
      <c r="U69" s="103" t="str">
        <f t="shared" si="23"/>
        <v/>
      </c>
      <c r="V69" s="53">
        <v>0</v>
      </c>
      <c r="W69" s="87" t="str">
        <f t="shared" si="24"/>
        <v/>
      </c>
      <c r="X69" s="103" t="str">
        <f t="shared" si="25"/>
        <v/>
      </c>
      <c r="Y69" s="53">
        <v>0</v>
      </c>
      <c r="Z69" s="56" t="str">
        <f t="shared" si="26"/>
        <v/>
      </c>
      <c r="AA69" s="56" t="str">
        <f t="shared" si="27"/>
        <v/>
      </c>
      <c r="AB69" s="56" t="str">
        <f t="shared" si="28"/>
        <v/>
      </c>
      <c r="AC69" s="56" t="str">
        <f t="shared" si="29"/>
        <v/>
      </c>
      <c r="AD69" s="56" t="str">
        <f t="shared" si="30"/>
        <v/>
      </c>
      <c r="AE69" s="40"/>
      <c r="AF69" s="40"/>
      <c r="AG69" s="40"/>
      <c r="AH69" s="56" t="str">
        <f t="shared" si="31"/>
        <v/>
      </c>
      <c r="AI69" s="54"/>
      <c r="AJ69" s="54"/>
      <c r="AK69" s="54"/>
      <c r="AL69" s="54"/>
      <c r="AM69" s="54"/>
    </row>
    <row r="70" spans="1:39">
      <c r="A70" s="45" t="str" cm="1">
        <f t="array" ref="A70">IF(H70="PROJECT", CHAR(10) &amp; "- " &amp; _xlfn.TEXTJOIN(CHAR(10) &amp; "- ", TRUE, _xlfn._xlws.FILTER($I$9:$I$1000, ($B$9:$B$1000=B70) * ($H$9:$H$1000="Topic"))), "")</f>
        <v/>
      </c>
      <c r="B70" s="45" t="str">
        <f t="shared" si="15"/>
        <v/>
      </c>
      <c r="C70" s="95"/>
      <c r="D70" s="57"/>
      <c r="E70" s="58"/>
      <c r="F70" s="63"/>
      <c r="G70" s="60"/>
      <c r="H70" s="64"/>
      <c r="I70" s="61"/>
      <c r="J70" s="62"/>
      <c r="K70" s="129" t="str">
        <f t="shared" si="16"/>
        <v/>
      </c>
      <c r="L70" s="103" t="str">
        <f t="shared" si="17"/>
        <v/>
      </c>
      <c r="M70" s="52">
        <v>0</v>
      </c>
      <c r="N70" s="102" t="str">
        <f t="shared" si="18"/>
        <v/>
      </c>
      <c r="O70" s="103" t="str">
        <f t="shared" si="19"/>
        <v/>
      </c>
      <c r="P70" s="52">
        <v>0</v>
      </c>
      <c r="Q70" s="102" t="str">
        <f t="shared" si="20"/>
        <v/>
      </c>
      <c r="R70" s="103" t="str">
        <f t="shared" si="21"/>
        <v/>
      </c>
      <c r="S70" s="52">
        <v>0</v>
      </c>
      <c r="T70" s="102" t="str">
        <f t="shared" si="22"/>
        <v/>
      </c>
      <c r="U70" s="103" t="str">
        <f t="shared" si="23"/>
        <v/>
      </c>
      <c r="V70" s="52">
        <v>0</v>
      </c>
      <c r="W70" s="87" t="str">
        <f t="shared" si="24"/>
        <v/>
      </c>
      <c r="X70" s="103" t="str">
        <f t="shared" si="25"/>
        <v/>
      </c>
      <c r="Y70" s="52">
        <v>0</v>
      </c>
      <c r="Z70" s="56" t="str">
        <f t="shared" si="26"/>
        <v/>
      </c>
      <c r="AA70" s="56" t="str">
        <f t="shared" si="27"/>
        <v/>
      </c>
      <c r="AB70" s="56" t="str">
        <f t="shared" si="28"/>
        <v/>
      </c>
      <c r="AC70" s="56" t="str">
        <f t="shared" si="29"/>
        <v/>
      </c>
      <c r="AD70" s="56" t="str">
        <f t="shared" si="30"/>
        <v/>
      </c>
      <c r="AE70" s="40"/>
      <c r="AF70" s="40"/>
      <c r="AG70" s="40"/>
      <c r="AH70" s="56" t="str">
        <f t="shared" si="31"/>
        <v/>
      </c>
      <c r="AI70" s="54"/>
      <c r="AJ70" s="54"/>
      <c r="AK70" s="54"/>
      <c r="AL70" s="54"/>
      <c r="AM70" s="54"/>
    </row>
    <row r="71" spans="1:39">
      <c r="A71" s="45" t="str" cm="1">
        <f t="array" ref="A71">IF(H71="PROJECT", CHAR(10) &amp; "- " &amp; _xlfn.TEXTJOIN(CHAR(10) &amp; "- ", TRUE, _xlfn._xlws.FILTER($I$9:$I$1000, ($B$9:$B$1000=B71) * ($H$9:$H$1000="Topic"))), "")</f>
        <v/>
      </c>
      <c r="B71" s="45" t="str">
        <f t="shared" si="15"/>
        <v/>
      </c>
      <c r="C71" s="95"/>
      <c r="D71" s="46"/>
      <c r="E71" s="58"/>
      <c r="F71" s="65"/>
      <c r="G71" s="49"/>
      <c r="H71" s="66"/>
      <c r="I71" s="50"/>
      <c r="J71" s="51"/>
      <c r="K71" s="129" t="str">
        <f t="shared" si="16"/>
        <v/>
      </c>
      <c r="L71" s="103" t="str">
        <f t="shared" si="17"/>
        <v/>
      </c>
      <c r="M71" s="53">
        <v>0</v>
      </c>
      <c r="N71" s="102" t="str">
        <f t="shared" si="18"/>
        <v/>
      </c>
      <c r="O71" s="103" t="str">
        <f t="shared" si="19"/>
        <v/>
      </c>
      <c r="P71" s="53">
        <v>0</v>
      </c>
      <c r="Q71" s="102" t="str">
        <f t="shared" si="20"/>
        <v/>
      </c>
      <c r="R71" s="103" t="str">
        <f t="shared" si="21"/>
        <v/>
      </c>
      <c r="S71" s="53">
        <v>0</v>
      </c>
      <c r="T71" s="102" t="str">
        <f t="shared" si="22"/>
        <v/>
      </c>
      <c r="U71" s="103" t="str">
        <f t="shared" si="23"/>
        <v/>
      </c>
      <c r="V71" s="53">
        <v>0</v>
      </c>
      <c r="W71" s="87" t="str">
        <f t="shared" si="24"/>
        <v/>
      </c>
      <c r="X71" s="103" t="str">
        <f t="shared" si="25"/>
        <v/>
      </c>
      <c r="Y71" s="53">
        <v>0</v>
      </c>
      <c r="Z71" s="56" t="str">
        <f t="shared" si="26"/>
        <v/>
      </c>
      <c r="AA71" s="56" t="str">
        <f t="shared" si="27"/>
        <v/>
      </c>
      <c r="AB71" s="56" t="str">
        <f t="shared" si="28"/>
        <v/>
      </c>
      <c r="AC71" s="56" t="str">
        <f t="shared" si="29"/>
        <v/>
      </c>
      <c r="AD71" s="56" t="str">
        <f t="shared" si="30"/>
        <v/>
      </c>
      <c r="AE71" s="40"/>
      <c r="AF71" s="40"/>
      <c r="AG71" s="40"/>
      <c r="AH71" s="56" t="str">
        <f t="shared" si="31"/>
        <v/>
      </c>
      <c r="AI71" s="54"/>
      <c r="AJ71" s="54"/>
      <c r="AK71" s="54"/>
      <c r="AL71" s="54"/>
      <c r="AM71" s="54"/>
    </row>
    <row r="72" spans="1:39">
      <c r="A72" s="45" t="str" cm="1">
        <f t="array" ref="A72">IF(H72="PROJECT", CHAR(10) &amp; "- " &amp; _xlfn.TEXTJOIN(CHAR(10) &amp; "- ", TRUE, _xlfn._xlws.FILTER($I$9:$I$1000, ($B$9:$B$1000=B72) * ($H$9:$H$1000="Topic"))), "")</f>
        <v/>
      </c>
      <c r="B72" s="45" t="str">
        <f t="shared" si="15"/>
        <v/>
      </c>
      <c r="C72" s="95"/>
      <c r="D72" s="57"/>
      <c r="E72" s="58"/>
      <c r="F72" s="63"/>
      <c r="G72" s="60"/>
      <c r="H72" s="64"/>
      <c r="I72" s="61"/>
      <c r="J72" s="62"/>
      <c r="K72" s="129" t="str">
        <f t="shared" si="16"/>
        <v/>
      </c>
      <c r="L72" s="103" t="str">
        <f t="shared" si="17"/>
        <v/>
      </c>
      <c r="M72" s="52">
        <v>0</v>
      </c>
      <c r="N72" s="102" t="str">
        <f t="shared" si="18"/>
        <v/>
      </c>
      <c r="O72" s="103" t="str">
        <f t="shared" si="19"/>
        <v/>
      </c>
      <c r="P72" s="52">
        <v>0</v>
      </c>
      <c r="Q72" s="102" t="str">
        <f t="shared" si="20"/>
        <v/>
      </c>
      <c r="R72" s="103" t="str">
        <f t="shared" si="21"/>
        <v/>
      </c>
      <c r="S72" s="52">
        <v>0</v>
      </c>
      <c r="T72" s="102" t="str">
        <f t="shared" si="22"/>
        <v/>
      </c>
      <c r="U72" s="103" t="str">
        <f t="shared" si="23"/>
        <v/>
      </c>
      <c r="V72" s="52">
        <v>0</v>
      </c>
      <c r="W72" s="87" t="str">
        <f t="shared" si="24"/>
        <v/>
      </c>
      <c r="X72" s="103" t="str">
        <f t="shared" si="25"/>
        <v/>
      </c>
      <c r="Y72" s="52">
        <v>0</v>
      </c>
      <c r="Z72" s="56" t="str">
        <f t="shared" si="26"/>
        <v/>
      </c>
      <c r="AA72" s="56" t="str">
        <f t="shared" si="27"/>
        <v/>
      </c>
      <c r="AB72" s="56" t="str">
        <f t="shared" si="28"/>
        <v/>
      </c>
      <c r="AC72" s="56" t="str">
        <f t="shared" si="29"/>
        <v/>
      </c>
      <c r="AD72" s="56" t="str">
        <f t="shared" si="30"/>
        <v/>
      </c>
      <c r="AE72" s="40"/>
      <c r="AF72" s="40"/>
      <c r="AG72" s="40"/>
      <c r="AH72" s="56" t="str">
        <f t="shared" si="31"/>
        <v/>
      </c>
      <c r="AI72" s="54"/>
      <c r="AJ72" s="54"/>
      <c r="AK72" s="54"/>
      <c r="AL72" s="54"/>
      <c r="AM72" s="54"/>
    </row>
    <row r="73" spans="1:39">
      <c r="A73" s="45" t="str" cm="1">
        <f t="array" ref="A73">IF(H73="PROJECT", CHAR(10) &amp; "- " &amp; _xlfn.TEXTJOIN(CHAR(10) &amp; "- ", TRUE, _xlfn._xlws.FILTER($I$9:$I$1000, ($B$9:$B$1000=B73) * ($H$9:$H$1000="Topic"))), "")</f>
        <v/>
      </c>
      <c r="B73" s="45" t="str">
        <f t="shared" si="15"/>
        <v/>
      </c>
      <c r="C73" s="95"/>
      <c r="D73" s="46"/>
      <c r="E73" s="58"/>
      <c r="F73" s="67"/>
      <c r="G73" s="53"/>
      <c r="H73" s="49"/>
      <c r="I73" s="50"/>
      <c r="J73" s="51"/>
      <c r="K73" s="129" t="str">
        <f t="shared" si="16"/>
        <v/>
      </c>
      <c r="L73" s="103" t="str">
        <f t="shared" ref="L73:L104" si="32">IF(OR(H73="Topic", UPPER(H73)="PROJECT"),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IF(UPPER(H73)="PROJECT", "building a PROJECT: " &amp; I73 &amp; ". Topics applied in this project: " &amp; A73 &amp; ". Project objective: " &amp; J73, "learning: " &amp; I73 &amp; ". Topic details: " &amp; J73)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IF(G73="Beginner", "Evaluate based on basic class instantiation, attribute assignment, and simple method calls. Do NOT expect advanced inheritance or decorators unless explicitly demanded.", IF(G73="Intermediate", "Expect clean class definitions, proper encapsulation, instance initialization via init, and correct use of self. Enforce basic OOP principles.", "Expect advanced OOP architecture using abstract base classes (abc.ABC), inheritance, polymorphism, custom exceptions, and composition over inheritance.")) &amp; " | " &amp;
_xlfn._LONGTEXT("[CODE_QUALITY_POLICIES]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&amp; IF(AJ73&lt;&gt;"", "[MENTOR CONTEXT ALERT] Be aware of the following infrastructure limitation for this exercise: " &amp; AJ73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IF(UPPER(H73)="PROJECT",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IF(UPPER(H73)="PROJECT",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IF(UPPER(H73)="PROJECT", "Project #", "Topic #") &amp; F73 &amp; " | Practice | " &amp; IF($I$3="", $I$2, $I$2&amp; " - " &amp;$I$3) &amp; " | 📊 Level: " &amp; G73 &amp; CHAR(10) &amp; "**" &amp; IF(UPPER(H73)="PROJECT", "Project", "Topic") &amp; ":** " &amp; I73 &amp; CHAR(10) &amp; "---" &amp; CHAR(10) &amp; " | " &amp;
"[FOOTER RULE - STRICT] End your response with: '--- ⚡ *Coding5s Mentor System — Eliminating Epistemic Debt*' | ","")</f>
        <v/>
      </c>
      <c r="M73" s="53">
        <v>0</v>
      </c>
      <c r="N73" s="102" t="str">
        <f t="shared" ref="N73:N104" si="33">IF(H73="Topic",
"[ROLE] Careless " &amp; $I$2 &amp; " Developer | " &amp;
"[TASK] Generate debugging challenges in " &amp; $I$2 &amp; " | | " &amp;
"[TOPIC] " &amp; I73 &amp; " | | " &amp;
"[LEVEL] " &amp; G73 &amp; " | | " &amp;
"[COUNT] " &amp; D73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F73 &amp; " | Stage 2 🐛 Debug | " &amp; IF($I$3="", $I$2, $I$2&amp; " - " &amp;$I$3) &amp; " | 📊 Level: " &amp; G73 &amp; " | 🌐 Coding5s.com" &amp; CHAR(10) &amp; "Concept: " &amp; J73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native assert statements or standard unittest.TestCase classes. | " &amp;
"[DEPENDENCY_MANAGEMENT_RULE] Requires customtkinter library. Standalone scripts must assume customtkinter is installed via pip. | " &amp;
"[CODE CONSTRAINTS] Each challenge MUST include: EXACTLY 1 class definition, 1 init method, at least 1 instance method, and 1 class instantiation with method call. - " &amp; IF(G73="Beginner", "5–15", IF(G73="Intermediate", "10–25", "15–35")) &amp; " lines of EXECUTABLE broken Python code per challenge (STRICT: Do NOT count blank lines). All logic MUST be encapsulated inside class methods.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D73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IF(H73="PROJECT", AA73, ""))</f>
        <v/>
      </c>
      <c r="O73" s="103" t="str">
        <f t="shared" ref="O73:O104" si="34">IF(OR(H73="Topic", UPPER(H73)="PROJECT"),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IF(UPPER(H73)="PROJECT", "PROJECT: " &amp; I73 &amp; ". Topics involved: " &amp; A73 &amp; ". Project objective: " &amp; J73, "TOPIC: " &amp; I73 &amp; ". Topic details: " &amp; J73)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IF(UPPER(H73)="PROJECT", "Project #", "Topic #") &amp; F73 &amp; " | Debug | " &amp; IF($I$3="", $I$2, $I$2&amp; " - " &amp;$I$3) &amp; " | 📊 Level: " &amp; G73 &amp; CHAR(10) &amp; "**" &amp; IF(UPPER(H73)="PROJECT", "Project", "Topic") &amp; ":** " &amp; I73 &amp; CHAR(10) &amp; "---" &amp; CHAR(10) &amp; " | " &amp;
_xlfn._LONGTEXT("[CORE_QUALITY_POLICY]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3" s="53">
        <v>0</v>
      </c>
      <c r="Q73" s="102" t="str">
        <f t="shared" ref="Q73:Q104" si="35">IF(H73="Topic",
"[ROLE] Tech Lead | " &amp;
"[TASK] Assign incomplete " &amp; $I$2 &amp; " script challenges | " &amp;
"[TOPIC] " &amp; I73 &amp; " | " &amp;
"[LEVEL] " &amp; G73 &amp; " | " &amp;
"[COUNT] " &amp; D73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F73 &amp; " | Stage 3 🧩 Complete | " &amp; IF($I$3="", $I$2, $I$2&amp; " - " &amp;$I$3) &amp; " | 📊 Level: " &amp; G73 &amp; " | 🌐 Coding5s.com" &amp; CHAR(10) &amp; "**Concept:** " &amp; J73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Requires 'customtkinter' as the core UI dependency across all topics. | " &amp;
"[TESTING_FRAMEWORK_PROTOCOL] Simple console output verification via standard print() statements. | " &amp;
"[CHALLENGE_CONSTRAINTS_POLICY] For Beginner level, # TODO MUST be atomic (1-2 simple lines max, e.g., basic attribute assignment, primitive print call, or direct comparison). NO complex buffer redirections or string parsing. - " &amp; IF(G73="Beginner","5–15", IF(G73="Intermediate","10–25","15–35")) &amp; " 5–15 lines of EXECUTABLE base code. Code outside # TODO MUST be 100% valid and readable. All code MUST be encapsulated within a class structure; NEVER use flat linear scripts.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D73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I73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IF(G73="Beginner", "Clear explicit hint (no code) | ", IF(G73="Intermediate",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IF(H73="PROJECT", AB73, ""))</f>
        <v/>
      </c>
      <c r="R73" s="103" t="str">
        <f t="shared" ref="R73:R104" si="36">IF(OR(H73="Topic", UPPER(H73)="PROJECT"),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IF(UPPER(H73)="PROJECT", "PROJECT: " &amp; I73 &amp; ". Topics involved: " &amp; A73 &amp; ". Project objective: " &amp; J73, "TOPIC: " &amp; I73 &amp; ". Topic details: " &amp; J73)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IF(UPPER(H73)="PROJECT", "Project #", "Topic #") &amp; F73 &amp; " | Complete | " &amp; IF($I$3="", $I$2, $I$2&amp; " - " &amp;$I$3) &amp; " | 📊 Level: " &amp; G73 &amp; CHAR(10) &amp; "**" &amp; IF(UPPER(H73)="PROJECT", "Project", "Topic") &amp; ":** " &amp; I73 &amp; CHAR(10) &amp; "---" &amp; CHAR(10) &amp; " | " &amp;
_xlfn._LONGTEXT("[CORE_QUALITY_POLICY]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3" s="53">
        <v>0</v>
      </c>
      <c r="T73" s="102" t="str">
        <f t="shared" ref="T73:T104" si="37">IF(H73="Topic",
"[ROLE] Tech Lead | " &amp;
"[TASK] Provide intentionally messy but functional code for learning debugging and improvement | " &amp;
"[TOPIC] " &amp; I73 &amp; " | " &amp;
"[LEVEL] " &amp; G73 &amp; " | " &amp;
"[COUNT] " &amp; D73 &amp; " challenges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F73 &amp; " | Stage 4 🧹 Refactor | " &amp; IF($I$3="", $I$2, $I$2&amp; " - " &amp;$I$3) &amp; " | 📊 Level: " &amp; G73 &amp; " | 🌐 Coding5s.com" &amp; CHAR(10) &amp; "**Concept:** " &amp; J73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D73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IF(G73="Beginner", "5–15", IF(G73="Intermediate",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IF(H73="PROJECT", AC73, ""))</f>
        <v/>
      </c>
      <c r="U73" s="103" t="str">
        <f t="shared" ref="U73:U104" si="38">IF(OR(H73="Topic", UPPER(H73)="PROJECT"),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IF(UPPER(H73)="PROJECT", "PROJECT: " &amp; I73 &amp; ". Topics involved: " &amp; A73 &amp; ". Project objective: " &amp; J73, "TOPIC: " &amp; I73 &amp; ". Topic details: " &amp; J73)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IF(UPPER(H73)="PROJECT", "Project #", "Topic #") &amp; F73 &amp; " | Refactor | " &amp; IF($I$3="", $I$2, $I$2&amp; " - " &amp;$I$3) &amp; " | 📊 Level: " &amp; G73 &amp; CHAR(10) &amp; "**" &amp; IF(UPPER(H73)="PROJECT", "Project", "Topic") &amp; ":** " &amp; I73 &amp; CHAR(10) &amp; "---" &amp; CHAR(10) &amp; " | " &amp;
"[PYTHON QUALITY RULE - STRICT] Code MUST adhere strictly to PEP 8 guidelines. Use PascalCase for Classes, snake_case for methods/variables. Enforce solid OOP patterns: encapsulation, inheritance, and object composition.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3" s="53">
        <v>0</v>
      </c>
      <c r="W73" s="87" t="str">
        <f t="shared" ref="W73:W104" si="39">IF(H73="Topic",
"[ROLE] Tech Product Manager assigning a " &amp; $I$2 &amp; " Jira Ticket | " &amp;
"[TASK] Provide a guided implementation exercise with full solution for learning purposes | " &amp;
"[TOPIC] " &amp; I73 &amp; " | " &amp;
"[LEVEL] " &amp; G73 &amp; "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F73 &amp; " | Stage 5 | " &amp; IF($I$3="", $I$2, $I$2&amp; " - " &amp;$I$3) &amp; " | 📊 Level: " &amp; G73 &amp; " | 🌐 Coding5s.com" &amp; CHAR(10) &amp; "**Concept:** " &amp; J73 &amp; CHAR(10) &amp; "---" &amp; CHAR(10) &amp; " | " &amp;
"[FUNCTIONAL_STRUCTURE_POLICY] Rule: " &amp; IF(G73="Beginner", "Use simple scripts or minimal functions. ", IF(G73="Intermediate",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IF(G73="Beginner", "10–20", IF(G73="Intermediate", "15–30", "25–40")) &amp; " lines of EXECUTABLE code (STRICT) - V1.1 MUST be between " &amp; IF(G73="Beginner", "15–30", IF(G73="Intermediate",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IF(H73="PROJECT", AD73, ""))</f>
        <v/>
      </c>
      <c r="X73" s="103" t="str">
        <f t="shared" ref="X73:X104" si="40">IF(OR(H73="Topic", UPPER(H73)="PROJECT"),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IF(UPPER(H73)="PROJECT", "PROJECT: " &amp; I73 &amp; ". Topics integrated: " &amp; A73 &amp; ". Business Goal: " &amp; J73, "TOPIC: " &amp; I73 &amp; ". Goal: " &amp; J73)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IF(UPPER(H73)="PROJECT", "Project #", "Topic #") &amp; F73 &amp; " | Extend | " &amp; IF($I$3="", $I$2, $I$2&amp; " - " &amp;$I$3) &amp; " | 📊 Level: " &amp; G73 &amp; CHAR(10) &amp; "**" &amp; IF(UPPER(H73)="PROJECT", "Project", "Topic") &amp; ":** " &amp; I73 &amp; CHAR(10) &amp; "---" &amp; CHAR(10) &amp; " | " &amp;
_xlfn._LONGTEXT("[CODE_QUALITY_PROTOCOL] Code MUST adhere strictly to PEP 8 guidelines. Use PascalCase for Classes, snake_case for methods/variables. Enforce robust OOP architecture, design patterns (Factory, Strategy, Singleton), and abstract base classes using the abc m","odule.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3" s="53">
        <v>0</v>
      </c>
      <c r="Z73" s="56" t="str">
        <f t="shared" ref="Z73:Z104" si="41">IF(H73&lt;&gt;"PROJECT","",
"[TASK] Teach through a practical " &amp; $I$2 &amp; " - " &amp; $I$3 &amp; " project following the micro-learning methodology, acting as a supportive tutor, creating a project about  " &amp; I73 &amp; " | " &amp;
"[TOPICS USED] " &amp; A73 &amp; " | " &amp;
"[LEVEL] " &amp; G73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Must include 'import customtkinter as ctk' on a separate top-level line before any class declaration.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 &amp;
"[DATA ROBUSTNESS RULE] Handle real-world data safely | " &amp;
"[CODE CONSTRAINTS] MUST be between " &amp; IF(G73="Beginner", "25–40", IF(G73="Intermediate",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F73 &amp; " | Stage 1 | " &amp; IF($I$3="", $I$2, $I$2&amp; " - " &amp;$I$3) &amp; " | 📊 Level: " &amp; G73 &amp; " | 🌐 Coding5s.com" &amp; CHAR(10) &amp; "**Project:** " &amp; J73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3" s="56" t="str">
        <f t="shared" ref="AA73:AA104" si="42">IF(H73&lt;&gt;"PROJECT","",
"[ROLE] Careless " &amp; $I$2 &amp; " Developer | " &amp;
"[TASK] Generate debugging project in " &amp; $I$2 &amp; " | " &amp;
"[PROJECT] " &amp; I73 &amp; " | " &amp;
"[TOPICS USED] " &amp; A73 &amp; " | " &amp;
"[LEVEL] " &amp; G73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F73 &amp; " | Stage 2 | " &amp; IF($I$3="", $I$2, $I$2&amp; " - " &amp;$I$3) &amp; " | 📊 Level: " &amp; G73 &amp; " | 🌐 Coding5s.com" &amp; CHAR(10) &amp; "Project: " &amp; J73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AE71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IF(G73="Beginner", "25–40", IF(G73="Intermediate", "30–60", "40–100")) &amp; " lines of EXECUTABLE code (STRICT: Do NOT count blank lines towards this limit) - Multi-step flow - 2–4 functions ONLY - main() as entry point " &amp; IF(G73&lt;&gt;"Advanced",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3" s="56" t="str">
        <f t="shared" ref="AB73:AB104" si="43">IF(H73&lt;&gt;"PROJECT","",
"[ROLE] Tech Lead | " &amp;
"[TASK] Assign incomplete project script | " &amp;
"[PROJECT] " &amp; I73 &amp; " | " &amp;
"[TOPICS USED] " &amp; A73 &amp; " | " &amp;
"[LEVEL] " &amp; G73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F73 &amp; " | Stage 3 | " &amp; IF($I$3="", $I$2, $I$2&amp; " - " &amp;$I$3) &amp; " | 📊 Level: " &amp; G73 &amp; " | 🌐 Coding5s.com" &amp; CHAR(10) &amp; "**Project:** " &amp; J73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IF(G73="Beginner","25–40", IF(G73="Intermediate","30–60","40–100")) &amp; " Class-based object architecture. Require at least 1 class with internal state management. Logic integration located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3" s="56" t="str">
        <f t="shared" ref="AC73:AC104" si="44">IF(H73&lt;&gt;"PROJECT","",
"[ROLE] Tech Lead | " &amp;
"[TASK] Provide a messy but functional project for refactoring | " &amp;
"[PROJECT] " &amp; I73 &amp; " | " &amp;
"[TOPICS USED] " &amp; A73 &amp; " | " &amp;
"[LEVEL] " &amp; G73 &amp; " | " &amp;
"[PERSONA RULE] Act as a Tech Lead. A junior wrote this working but messy code. Tone: professional but exhausted | " &amp;
"[HEADER RULE - STRICT] You MUST start your entire response EXACTLY with this markdown block (do not print anything before it):" &amp; CHAR(10) &amp; "### 🚀 Project #" &amp; F73 &amp; " | Stage 4 | " &amp; IF($I$3="", $I$2, $I$2&amp; " - " &amp;$I$3) &amp; " | 📊 Level: " &amp; G73 &amp; " | 🌐 Coding5s.com" &amp; CHAR(10) &amp; "**Project:** " &amp; J73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IF(G73="Beginner", "25–40", IF(G73="Intermediate",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3" s="56" t="str">
        <f t="shared" ref="AD73:AD104" si="45">IF(H73&lt;&gt;"PROJECT","",
"[ROLE] Tech Product Manager assigning a " &amp; $I$2 &amp; " Jira Ticket | " &amp;
"[TASK] Provide a guided project implementation with full solution | " &amp;
"[PROJECT] " &amp; I73 &amp; " | " &amp;
"[TOPICS USED] " &amp; A73 &amp; " | " &amp;
"[LEVEL] " &amp; G73 &amp; " | " &amp;
"[PERSONA RULE] Act as a professional Tech Product Manager defining a project ticket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"[HEADER RULE - STRICT] You MUST start your entire response EXACTLY with this markdown block (do not print anything before it):" &amp; CHAR(10) &amp; "### 🚀 Project #" &amp; F73 &amp; " | Stage 5 | " &amp; IF($I$3="", $I$2, $I$2&amp; " - " &amp;$I$3) &amp; " | 📊 Level: " &amp; G73 &amp; " | 🌐 Coding5s.com" &amp; CHAR(10) &amp; "**Project:** " &amp; J73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IF(G73="Beginner", "20–35", IF(G73="Intermediate", "30–50", "45–70")) &amp; " lines of EXECUTABLE code (STRICT) - V1.1 MUST be between " &amp; IF(G73="Beginner", "30–50", IF(G73="Intermediate",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IF(G73="Beginner", "Avoid complex structure. ", IF(G73="Intermediate",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3" s="40"/>
      <c r="AF73" s="40"/>
      <c r="AG73" s="40"/>
      <c r="AH73" s="56" t="str">
        <f t="shared" ref="AH73:AH104" si="46">IF(AE73=$B$6,AG73,"")</f>
        <v/>
      </c>
      <c r="AI73" s="54"/>
      <c r="AJ73" s="54"/>
      <c r="AK73" s="54"/>
      <c r="AL73" s="54"/>
      <c r="AM73" s="54"/>
    </row>
    <row r="74" spans="1:39">
      <c r="A74" s="45" t="str" cm="1">
        <f t="array" ref="A74">IF(H74="PROJECT", CHAR(10) &amp; "- " &amp; _xlfn.TEXTJOIN(CHAR(10) &amp; "- ", TRUE, _xlfn._xlws.FILTER($I$9:$I$1000, ($B$9:$B$1000=B74) * ($H$9:$H$1000="Topic"))), "")</f>
        <v/>
      </c>
      <c r="B74" s="45" t="str">
        <f t="shared" ref="B74:B137" si="47">IF(H74="","",IF(AND(H74="Topic",H73="PROJECT"),B73+1,IF(H74="PROJECT",B73,IF(AND(H74="Topic",H73="Topic"),B73,B73+1))))</f>
        <v/>
      </c>
      <c r="C74" s="95"/>
      <c r="D74" s="57"/>
      <c r="E74" s="58"/>
      <c r="F74" s="54"/>
      <c r="G74" s="52"/>
      <c r="H74" s="52"/>
      <c r="I74" s="61"/>
      <c r="J74" s="62"/>
      <c r="K74" s="129" t="str">
        <f t="shared" ref="K74:K137" si="48">IF(H74="Topic",
"[ROLE] Friendly tutor specializing in " &amp; $I$2 &amp; " | " &amp;
"[TOPIC] " &amp; I74 &amp; " | " &amp;
"[LEVEL] " &amp; G74 &amp; " | " &amp;
"[COUNT] " &amp; D74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strictly on basic class definitions, the 'init' method, and simple object instantiation. DO NOT use flat linear scripts or procedural code outside of classes.", IF(G74="Intermediate", "STRICT REQUIREMENT: Integrate custom class definitions ('class'), 'init' constructor methods, and instance methods in EVERY example.", "Advanced OOP: Inheritance, method overriding, custom dunder methods ('str', 'repr', 'len'), property decorators (@property), and class/static methods.")) &amp; " | " &amp;
_xlfn._LONGTEXT("[CODE_CONSTRAINTS_RULE]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 &amp;
"[I_O_PARADIGM] Basic primitive types (int, float, str, bool) or simple lists/dictionaries. - print() statements with comma-separated values to display outputs clearly. | " &amp;
"[INLINE_PACKAGE_MANAGER] Must include 'import customtkinter as ctk' on its own dedicated top-level line, separated by a newline from any class declaration.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c>
      <c r="L74" s="103" t="str">
        <f t="shared" si="32"/>
        <v/>
      </c>
      <c r="M74" s="52">
        <v>0</v>
      </c>
      <c r="N74" s="102" t="str">
        <f t="shared" si="33"/>
        <v/>
      </c>
      <c r="O74" s="103" t="str">
        <f t="shared" si="34"/>
        <v/>
      </c>
      <c r="P74" s="52">
        <v>0</v>
      </c>
      <c r="Q74" s="102" t="str">
        <f t="shared" si="35"/>
        <v/>
      </c>
      <c r="R74" s="103" t="str">
        <f t="shared" si="36"/>
        <v/>
      </c>
      <c r="S74" s="52">
        <v>0</v>
      </c>
      <c r="T74" s="102" t="str">
        <f t="shared" si="37"/>
        <v/>
      </c>
      <c r="U74" s="103" t="str">
        <f t="shared" si="38"/>
        <v/>
      </c>
      <c r="V74" s="52">
        <v>0</v>
      </c>
      <c r="W74" s="87" t="str">
        <f t="shared" si="39"/>
        <v/>
      </c>
      <c r="X74" s="103" t="str">
        <f t="shared" si="40"/>
        <v/>
      </c>
      <c r="Y74" s="52">
        <v>0</v>
      </c>
      <c r="Z74" s="56" t="str">
        <f t="shared" si="41"/>
        <v/>
      </c>
      <c r="AA74" s="56" t="str">
        <f t="shared" si="42"/>
        <v/>
      </c>
      <c r="AB74" s="56" t="str">
        <f t="shared" si="43"/>
        <v/>
      </c>
      <c r="AC74" s="56" t="str">
        <f t="shared" si="44"/>
        <v/>
      </c>
      <c r="AD74" s="56" t="str">
        <f t="shared" si="45"/>
        <v/>
      </c>
      <c r="AE74" s="40"/>
      <c r="AF74" s="40"/>
      <c r="AG74" s="40"/>
      <c r="AH74" s="56" t="str">
        <f t="shared" si="46"/>
        <v/>
      </c>
      <c r="AI74" s="54"/>
      <c r="AJ74" s="54"/>
      <c r="AK74" s="54"/>
      <c r="AL74" s="54"/>
      <c r="AM74" s="54"/>
    </row>
    <row r="75" spans="1:39">
      <c r="A75" s="45" t="str" cm="1">
        <f t="array" ref="A75">IF(H75="PROJECT", CHAR(10) &amp; "- " &amp; _xlfn.TEXTJOIN(CHAR(10) &amp; "- ", TRUE, _xlfn._xlws.FILTER($I$9:$I$1000, ($B$9:$B$1000=B75) * ($H$9:$H$1000="Topic"))), "")</f>
        <v/>
      </c>
      <c r="B75" s="45" t="str">
        <f t="shared" si="47"/>
        <v/>
      </c>
      <c r="C75" s="95"/>
      <c r="D75" s="46"/>
      <c r="E75" s="58"/>
      <c r="F75" s="67"/>
      <c r="G75" s="53"/>
      <c r="H75" s="53"/>
      <c r="I75" s="50"/>
      <c r="J75" s="51"/>
      <c r="K75" s="129" t="str">
        <f t="shared" si="48"/>
        <v/>
      </c>
      <c r="L75" s="103" t="str">
        <f t="shared" si="32"/>
        <v/>
      </c>
      <c r="M75" s="53">
        <v>0</v>
      </c>
      <c r="N75" s="102" t="str">
        <f t="shared" si="33"/>
        <v/>
      </c>
      <c r="O75" s="103" t="str">
        <f t="shared" si="34"/>
        <v/>
      </c>
      <c r="P75" s="53">
        <v>0</v>
      </c>
      <c r="Q75" s="102" t="str">
        <f t="shared" si="35"/>
        <v/>
      </c>
      <c r="R75" s="103" t="str">
        <f t="shared" si="36"/>
        <v/>
      </c>
      <c r="S75" s="53">
        <v>0</v>
      </c>
      <c r="T75" s="102" t="str">
        <f t="shared" si="37"/>
        <v/>
      </c>
      <c r="U75" s="103" t="str">
        <f t="shared" si="38"/>
        <v/>
      </c>
      <c r="V75" s="53">
        <v>0</v>
      </c>
      <c r="W75" s="87" t="str">
        <f t="shared" si="39"/>
        <v/>
      </c>
      <c r="X75" s="103" t="str">
        <f t="shared" si="40"/>
        <v/>
      </c>
      <c r="Y75" s="53">
        <v>0</v>
      </c>
      <c r="Z75" s="56" t="str">
        <f t="shared" si="41"/>
        <v/>
      </c>
      <c r="AA75" s="56" t="str">
        <f t="shared" si="42"/>
        <v/>
      </c>
      <c r="AB75" s="56" t="str">
        <f t="shared" si="43"/>
        <v/>
      </c>
      <c r="AC75" s="56" t="str">
        <f t="shared" si="44"/>
        <v/>
      </c>
      <c r="AD75" s="56" t="str">
        <f t="shared" si="45"/>
        <v/>
      </c>
      <c r="AE75" s="40"/>
      <c r="AF75" s="40"/>
      <c r="AG75" s="40"/>
      <c r="AH75" s="56" t="str">
        <f t="shared" si="46"/>
        <v/>
      </c>
      <c r="AI75" s="54"/>
      <c r="AJ75" s="54"/>
      <c r="AK75" s="54"/>
      <c r="AL75" s="54"/>
      <c r="AM75" s="54"/>
    </row>
    <row r="76" spans="1:39">
      <c r="A76" s="45" t="str" cm="1">
        <f t="array" ref="A76">IF(H76="PROJECT", CHAR(10) &amp; "- " &amp; _xlfn.TEXTJOIN(CHAR(10) &amp; "- ", TRUE, _xlfn._xlws.FILTER($I$9:$I$1000, ($B$9:$B$1000=B76) * ($H$9:$H$1000="Topic"))), "")</f>
        <v/>
      </c>
      <c r="B76" s="45" t="str">
        <f t="shared" si="47"/>
        <v/>
      </c>
      <c r="C76" s="95"/>
      <c r="D76" s="57"/>
      <c r="E76" s="58"/>
      <c r="F76" s="54"/>
      <c r="G76" s="52"/>
      <c r="H76" s="52"/>
      <c r="I76" s="61"/>
      <c r="J76" s="62"/>
      <c r="K76" s="129" t="str">
        <f t="shared" si="48"/>
        <v/>
      </c>
      <c r="L76" s="103" t="str">
        <f t="shared" si="32"/>
        <v/>
      </c>
      <c r="M76" s="52">
        <v>0</v>
      </c>
      <c r="N76" s="102" t="str">
        <f t="shared" si="33"/>
        <v/>
      </c>
      <c r="O76" s="103" t="str">
        <f t="shared" si="34"/>
        <v/>
      </c>
      <c r="P76" s="52">
        <v>0</v>
      </c>
      <c r="Q76" s="102" t="str">
        <f t="shared" si="35"/>
        <v/>
      </c>
      <c r="R76" s="103" t="str">
        <f t="shared" si="36"/>
        <v/>
      </c>
      <c r="S76" s="52">
        <v>0</v>
      </c>
      <c r="T76" s="102" t="str">
        <f t="shared" si="37"/>
        <v/>
      </c>
      <c r="U76" s="103" t="str">
        <f t="shared" si="38"/>
        <v/>
      </c>
      <c r="V76" s="52">
        <v>0</v>
      </c>
      <c r="W76" s="87" t="str">
        <f t="shared" si="39"/>
        <v/>
      </c>
      <c r="X76" s="103" t="str">
        <f t="shared" si="40"/>
        <v/>
      </c>
      <c r="Y76" s="52">
        <v>0</v>
      </c>
      <c r="Z76" s="56" t="str">
        <f t="shared" si="41"/>
        <v/>
      </c>
      <c r="AA76" s="56" t="str">
        <f t="shared" si="42"/>
        <v/>
      </c>
      <c r="AB76" s="56" t="str">
        <f t="shared" si="43"/>
        <v/>
      </c>
      <c r="AC76" s="56" t="str">
        <f t="shared" si="44"/>
        <v/>
      </c>
      <c r="AD76" s="56" t="str">
        <f t="shared" si="45"/>
        <v/>
      </c>
      <c r="AE76" s="40"/>
      <c r="AF76" s="40"/>
      <c r="AG76" s="40"/>
      <c r="AH76" s="56" t="str">
        <f t="shared" si="46"/>
        <v/>
      </c>
      <c r="AI76" s="54"/>
      <c r="AJ76" s="54"/>
      <c r="AK76" s="54"/>
      <c r="AL76" s="54"/>
      <c r="AM76" s="54"/>
    </row>
    <row r="77" spans="1:39">
      <c r="A77" s="45" t="str" cm="1">
        <f t="array" ref="A77">IF(H77="PROJECT", CHAR(10) &amp; "- " &amp; _xlfn.TEXTJOIN(CHAR(10) &amp; "- ", TRUE, _xlfn._xlws.FILTER($I$9:$I$1000, ($B$9:$B$1000=B77) * ($H$9:$H$1000="Topic"))), "")</f>
        <v/>
      </c>
      <c r="B77" s="45" t="str">
        <f t="shared" si="47"/>
        <v/>
      </c>
      <c r="C77" s="95"/>
      <c r="D77" s="46"/>
      <c r="E77" s="58"/>
      <c r="F77" s="67"/>
      <c r="G77" s="53"/>
      <c r="H77" s="53"/>
      <c r="I77" s="50"/>
      <c r="J77" s="51"/>
      <c r="K77" s="129" t="str">
        <f t="shared" si="48"/>
        <v/>
      </c>
      <c r="L77" s="103" t="str">
        <f t="shared" si="32"/>
        <v/>
      </c>
      <c r="M77" s="53">
        <v>0</v>
      </c>
      <c r="N77" s="102" t="str">
        <f t="shared" si="33"/>
        <v/>
      </c>
      <c r="O77" s="103" t="str">
        <f t="shared" si="34"/>
        <v/>
      </c>
      <c r="P77" s="53">
        <v>0</v>
      </c>
      <c r="Q77" s="102" t="str">
        <f t="shared" si="35"/>
        <v/>
      </c>
      <c r="R77" s="103" t="str">
        <f t="shared" si="36"/>
        <v/>
      </c>
      <c r="S77" s="53">
        <v>0</v>
      </c>
      <c r="T77" s="102" t="str">
        <f t="shared" si="37"/>
        <v/>
      </c>
      <c r="U77" s="103" t="str">
        <f t="shared" si="38"/>
        <v/>
      </c>
      <c r="V77" s="53">
        <v>0</v>
      </c>
      <c r="W77" s="87" t="str">
        <f t="shared" si="39"/>
        <v/>
      </c>
      <c r="X77" s="103" t="str">
        <f t="shared" si="40"/>
        <v/>
      </c>
      <c r="Y77" s="53">
        <v>0</v>
      </c>
      <c r="Z77" s="56" t="str">
        <f t="shared" si="41"/>
        <v/>
      </c>
      <c r="AA77" s="56" t="str">
        <f t="shared" si="42"/>
        <v/>
      </c>
      <c r="AB77" s="56" t="str">
        <f t="shared" si="43"/>
        <v/>
      </c>
      <c r="AC77" s="56" t="str">
        <f t="shared" si="44"/>
        <v/>
      </c>
      <c r="AD77" s="56" t="str">
        <f t="shared" si="45"/>
        <v/>
      </c>
      <c r="AE77" s="40"/>
      <c r="AF77" s="40"/>
      <c r="AG77" s="40"/>
      <c r="AH77" s="56" t="str">
        <f t="shared" si="46"/>
        <v/>
      </c>
      <c r="AI77" s="54"/>
      <c r="AJ77" s="54"/>
      <c r="AK77" s="54"/>
      <c r="AL77" s="54"/>
      <c r="AM77" s="54"/>
    </row>
    <row r="78" spans="1:39">
      <c r="A78" s="45" t="str" cm="1">
        <f t="array" ref="A78">IF(H78="PROJECT", CHAR(10) &amp; "- " &amp; _xlfn.TEXTJOIN(CHAR(10) &amp; "- ", TRUE, _xlfn._xlws.FILTER($I$9:$I$1000, ($B$9:$B$1000=B78) * ($H$9:$H$1000="Topic"))), "")</f>
        <v/>
      </c>
      <c r="B78" s="45" t="str">
        <f t="shared" si="47"/>
        <v/>
      </c>
      <c r="C78" s="95"/>
      <c r="D78" s="57"/>
      <c r="E78" s="58"/>
      <c r="F78" s="54"/>
      <c r="G78" s="52"/>
      <c r="H78" s="52"/>
      <c r="I78" s="61"/>
      <c r="J78" s="62"/>
      <c r="K78" s="129" t="str">
        <f t="shared" si="48"/>
        <v/>
      </c>
      <c r="L78" s="103" t="str">
        <f t="shared" si="32"/>
        <v/>
      </c>
      <c r="M78" s="52">
        <v>0</v>
      </c>
      <c r="N78" s="102" t="str">
        <f t="shared" si="33"/>
        <v/>
      </c>
      <c r="O78" s="103" t="str">
        <f t="shared" si="34"/>
        <v/>
      </c>
      <c r="P78" s="52">
        <v>0</v>
      </c>
      <c r="Q78" s="102" t="str">
        <f t="shared" si="35"/>
        <v/>
      </c>
      <c r="R78" s="103" t="str">
        <f t="shared" si="36"/>
        <v/>
      </c>
      <c r="S78" s="52">
        <v>0</v>
      </c>
      <c r="T78" s="102" t="str">
        <f t="shared" si="37"/>
        <v/>
      </c>
      <c r="U78" s="103" t="str">
        <f t="shared" si="38"/>
        <v/>
      </c>
      <c r="V78" s="52">
        <v>0</v>
      </c>
      <c r="W78" s="87" t="str">
        <f t="shared" si="39"/>
        <v/>
      </c>
      <c r="X78" s="103" t="str">
        <f t="shared" si="40"/>
        <v/>
      </c>
      <c r="Y78" s="52">
        <v>0</v>
      </c>
      <c r="Z78" s="56" t="str">
        <f t="shared" si="41"/>
        <v/>
      </c>
      <c r="AA78" s="56" t="str">
        <f t="shared" si="42"/>
        <v/>
      </c>
      <c r="AB78" s="56" t="str">
        <f t="shared" si="43"/>
        <v/>
      </c>
      <c r="AC78" s="56" t="str">
        <f t="shared" si="44"/>
        <v/>
      </c>
      <c r="AD78" s="56" t="str">
        <f t="shared" si="45"/>
        <v/>
      </c>
      <c r="AE78" s="40"/>
      <c r="AF78" s="40"/>
      <c r="AG78" s="40"/>
      <c r="AH78" s="56" t="str">
        <f t="shared" si="46"/>
        <v/>
      </c>
      <c r="AI78" s="54"/>
      <c r="AJ78" s="54"/>
      <c r="AK78" s="54"/>
      <c r="AL78" s="54"/>
      <c r="AM78" s="54"/>
    </row>
    <row r="79" spans="1:39">
      <c r="A79" s="45" t="str" cm="1">
        <f t="array" ref="A79">IF(H79="PROJECT", CHAR(10) &amp; "- " &amp; _xlfn.TEXTJOIN(CHAR(10) &amp; "- ", TRUE, _xlfn._xlws.FILTER($I$9:$I$1000, ($B$9:$B$1000=B79) * ($H$9:$H$1000="Topic"))), "")</f>
        <v/>
      </c>
      <c r="B79" s="45" t="str">
        <f t="shared" si="47"/>
        <v/>
      </c>
      <c r="C79" s="95"/>
      <c r="D79" s="46"/>
      <c r="E79" s="58"/>
      <c r="F79" s="67"/>
      <c r="G79" s="53"/>
      <c r="H79" s="53"/>
      <c r="I79" s="50"/>
      <c r="J79" s="51"/>
      <c r="K79" s="129" t="str">
        <f t="shared" si="48"/>
        <v/>
      </c>
      <c r="L79" s="103" t="str">
        <f t="shared" si="32"/>
        <v/>
      </c>
      <c r="M79" s="53">
        <v>0</v>
      </c>
      <c r="N79" s="102" t="str">
        <f t="shared" si="33"/>
        <v/>
      </c>
      <c r="O79" s="103" t="str">
        <f t="shared" si="34"/>
        <v/>
      </c>
      <c r="P79" s="53">
        <v>0</v>
      </c>
      <c r="Q79" s="102" t="str">
        <f t="shared" si="35"/>
        <v/>
      </c>
      <c r="R79" s="103" t="str">
        <f t="shared" si="36"/>
        <v/>
      </c>
      <c r="S79" s="53">
        <v>0</v>
      </c>
      <c r="T79" s="102" t="str">
        <f t="shared" si="37"/>
        <v/>
      </c>
      <c r="U79" s="103" t="str">
        <f t="shared" si="38"/>
        <v/>
      </c>
      <c r="V79" s="53">
        <v>0</v>
      </c>
      <c r="W79" s="87" t="str">
        <f t="shared" si="39"/>
        <v/>
      </c>
      <c r="X79" s="103" t="str">
        <f t="shared" si="40"/>
        <v/>
      </c>
      <c r="Y79" s="53">
        <v>0</v>
      </c>
      <c r="Z79" s="56" t="str">
        <f t="shared" si="41"/>
        <v/>
      </c>
      <c r="AA79" s="56" t="str">
        <f t="shared" si="42"/>
        <v/>
      </c>
      <c r="AB79" s="56" t="str">
        <f t="shared" si="43"/>
        <v/>
      </c>
      <c r="AC79" s="56" t="str">
        <f t="shared" si="44"/>
        <v/>
      </c>
      <c r="AD79" s="56" t="str">
        <f t="shared" si="45"/>
        <v/>
      </c>
      <c r="AE79" s="40"/>
      <c r="AF79" s="40"/>
      <c r="AG79" s="40"/>
      <c r="AH79" s="56" t="str">
        <f t="shared" si="46"/>
        <v/>
      </c>
      <c r="AI79" s="54"/>
      <c r="AJ79" s="54"/>
      <c r="AK79" s="54"/>
      <c r="AL79" s="54"/>
      <c r="AM79" s="54"/>
    </row>
    <row r="80" spans="1:39">
      <c r="A80" s="45" t="str" cm="1">
        <f t="array" ref="A80">IF(H80="PROJECT", CHAR(10) &amp; "- " &amp; _xlfn.TEXTJOIN(CHAR(10) &amp; "- ", TRUE, _xlfn._xlws.FILTER($I$9:$I$1000, ($B$9:$B$1000=B80) * ($H$9:$H$1000="Topic"))), "")</f>
        <v/>
      </c>
      <c r="B80" s="45" t="str">
        <f t="shared" si="47"/>
        <v/>
      </c>
      <c r="C80" s="95"/>
      <c r="D80" s="57"/>
      <c r="E80" s="58"/>
      <c r="F80" s="54"/>
      <c r="G80" s="52"/>
      <c r="H80" s="60"/>
      <c r="I80" s="61"/>
      <c r="J80" s="62"/>
      <c r="K80" s="129" t="str">
        <f t="shared" si="48"/>
        <v/>
      </c>
      <c r="L80" s="103" t="str">
        <f t="shared" si="32"/>
        <v/>
      </c>
      <c r="M80" s="52">
        <v>0</v>
      </c>
      <c r="N80" s="102" t="str">
        <f t="shared" si="33"/>
        <v/>
      </c>
      <c r="O80" s="103" t="str">
        <f t="shared" si="34"/>
        <v/>
      </c>
      <c r="P80" s="52">
        <v>0</v>
      </c>
      <c r="Q80" s="102" t="str">
        <f t="shared" si="35"/>
        <v/>
      </c>
      <c r="R80" s="103" t="str">
        <f t="shared" si="36"/>
        <v/>
      </c>
      <c r="S80" s="52">
        <v>0</v>
      </c>
      <c r="T80" s="102" t="str">
        <f t="shared" si="37"/>
        <v/>
      </c>
      <c r="U80" s="103" t="str">
        <f t="shared" si="38"/>
        <v/>
      </c>
      <c r="V80" s="52">
        <v>0</v>
      </c>
      <c r="W80" s="87" t="str">
        <f t="shared" si="39"/>
        <v/>
      </c>
      <c r="X80" s="103" t="str">
        <f t="shared" si="40"/>
        <v/>
      </c>
      <c r="Y80" s="52">
        <v>0</v>
      </c>
      <c r="Z80" s="56" t="str">
        <f t="shared" si="41"/>
        <v/>
      </c>
      <c r="AA80" s="56" t="str">
        <f t="shared" si="42"/>
        <v/>
      </c>
      <c r="AB80" s="56" t="str">
        <f t="shared" si="43"/>
        <v/>
      </c>
      <c r="AC80" s="56" t="str">
        <f t="shared" si="44"/>
        <v/>
      </c>
      <c r="AD80" s="56" t="str">
        <f t="shared" si="45"/>
        <v/>
      </c>
      <c r="AE80" s="40"/>
      <c r="AF80" s="40"/>
      <c r="AG80" s="40"/>
      <c r="AH80" s="56" t="str">
        <f t="shared" si="46"/>
        <v/>
      </c>
      <c r="AI80" s="54"/>
      <c r="AJ80" s="54"/>
      <c r="AK80" s="54"/>
      <c r="AL80" s="54"/>
      <c r="AM80" s="54"/>
    </row>
    <row r="81" spans="1:39">
      <c r="A81" s="45" t="str" cm="1">
        <f t="array" ref="A81">IF(H81="PROJECT", CHAR(10) &amp; "- " &amp; _xlfn.TEXTJOIN(CHAR(10) &amp; "- ", TRUE, _xlfn._xlws.FILTER($I$9:$I$1000, ($B$9:$B$1000=B81) * ($H$9:$H$1000="Topic"))), "")</f>
        <v/>
      </c>
      <c r="B81" s="45" t="str">
        <f t="shared" si="47"/>
        <v/>
      </c>
      <c r="C81" s="95"/>
      <c r="D81" s="46"/>
      <c r="E81" s="58"/>
      <c r="F81" s="67"/>
      <c r="G81" s="53"/>
      <c r="H81" s="53"/>
      <c r="I81" s="50"/>
      <c r="J81" s="51"/>
      <c r="K81" s="129" t="str">
        <f t="shared" si="48"/>
        <v/>
      </c>
      <c r="L81" s="103" t="str">
        <f t="shared" si="32"/>
        <v/>
      </c>
      <c r="M81" s="53">
        <v>0</v>
      </c>
      <c r="N81" s="102" t="str">
        <f t="shared" si="33"/>
        <v/>
      </c>
      <c r="O81" s="103" t="str">
        <f t="shared" si="34"/>
        <v/>
      </c>
      <c r="P81" s="53">
        <v>0</v>
      </c>
      <c r="Q81" s="102" t="str">
        <f t="shared" si="35"/>
        <v/>
      </c>
      <c r="R81" s="103" t="str">
        <f t="shared" si="36"/>
        <v/>
      </c>
      <c r="S81" s="53">
        <v>0</v>
      </c>
      <c r="T81" s="102" t="str">
        <f t="shared" si="37"/>
        <v/>
      </c>
      <c r="U81" s="103" t="str">
        <f t="shared" si="38"/>
        <v/>
      </c>
      <c r="V81" s="53">
        <v>0</v>
      </c>
      <c r="W81" s="87" t="str">
        <f t="shared" si="39"/>
        <v/>
      </c>
      <c r="X81" s="103" t="str">
        <f t="shared" si="40"/>
        <v/>
      </c>
      <c r="Y81" s="53">
        <v>0</v>
      </c>
      <c r="Z81" s="56" t="str">
        <f t="shared" si="41"/>
        <v/>
      </c>
      <c r="AA81" s="56" t="str">
        <f t="shared" si="42"/>
        <v/>
      </c>
      <c r="AB81" s="56" t="str">
        <f t="shared" si="43"/>
        <v/>
      </c>
      <c r="AC81" s="56" t="str">
        <f t="shared" si="44"/>
        <v/>
      </c>
      <c r="AD81" s="56" t="str">
        <f t="shared" si="45"/>
        <v/>
      </c>
      <c r="AE81" s="40"/>
      <c r="AF81" s="40"/>
      <c r="AG81" s="40"/>
      <c r="AH81" s="56" t="str">
        <f t="shared" si="46"/>
        <v/>
      </c>
      <c r="AI81" s="54"/>
      <c r="AJ81" s="54"/>
      <c r="AK81" s="54"/>
      <c r="AL81" s="54"/>
      <c r="AM81" s="54"/>
    </row>
    <row r="82" spans="1:39">
      <c r="A82" s="45" t="str" cm="1">
        <f t="array" ref="A82">IF(H82="PROJECT", CHAR(10) &amp; "- " &amp; _xlfn.TEXTJOIN(CHAR(10) &amp; "- ", TRUE, _xlfn._xlws.FILTER($I$9:$I$1000, ($B$9:$B$1000=B82) * ($H$9:$H$1000="Topic"))), "")</f>
        <v/>
      </c>
      <c r="B82" s="45" t="str">
        <f t="shared" si="47"/>
        <v/>
      </c>
      <c r="C82" s="95"/>
      <c r="D82" s="57"/>
      <c r="E82" s="58"/>
      <c r="F82" s="54"/>
      <c r="G82" s="52"/>
      <c r="H82" s="52"/>
      <c r="I82" s="61"/>
      <c r="J82" s="62"/>
      <c r="K82" s="129" t="str">
        <f t="shared" si="48"/>
        <v/>
      </c>
      <c r="L82" s="103" t="str">
        <f t="shared" si="32"/>
        <v/>
      </c>
      <c r="M82" s="52">
        <v>0</v>
      </c>
      <c r="N82" s="102" t="str">
        <f t="shared" si="33"/>
        <v/>
      </c>
      <c r="O82" s="103" t="str">
        <f t="shared" si="34"/>
        <v/>
      </c>
      <c r="P82" s="52">
        <v>0</v>
      </c>
      <c r="Q82" s="102" t="str">
        <f t="shared" si="35"/>
        <v/>
      </c>
      <c r="R82" s="103" t="str">
        <f t="shared" si="36"/>
        <v/>
      </c>
      <c r="S82" s="52">
        <v>0</v>
      </c>
      <c r="T82" s="102" t="str">
        <f t="shared" si="37"/>
        <v/>
      </c>
      <c r="U82" s="103" t="str">
        <f t="shared" si="38"/>
        <v/>
      </c>
      <c r="V82" s="52">
        <v>0</v>
      </c>
      <c r="W82" s="87" t="str">
        <f t="shared" si="39"/>
        <v/>
      </c>
      <c r="X82" s="103" t="str">
        <f t="shared" si="40"/>
        <v/>
      </c>
      <c r="Y82" s="52">
        <v>0</v>
      </c>
      <c r="Z82" s="56" t="str">
        <f t="shared" si="41"/>
        <v/>
      </c>
      <c r="AA82" s="56" t="str">
        <f t="shared" si="42"/>
        <v/>
      </c>
      <c r="AB82" s="56" t="str">
        <f t="shared" si="43"/>
        <v/>
      </c>
      <c r="AC82" s="56" t="str">
        <f t="shared" si="44"/>
        <v/>
      </c>
      <c r="AD82" s="56" t="str">
        <f t="shared" si="45"/>
        <v/>
      </c>
      <c r="AE82" s="40"/>
      <c r="AF82" s="40"/>
      <c r="AG82" s="40"/>
      <c r="AH82" s="56" t="str">
        <f t="shared" si="46"/>
        <v/>
      </c>
      <c r="AI82" s="54"/>
      <c r="AJ82" s="54"/>
      <c r="AK82" s="54"/>
      <c r="AL82" s="54"/>
      <c r="AM82" s="54"/>
    </row>
    <row r="83" spans="1:39">
      <c r="A83" s="45" t="str" cm="1">
        <f t="array" ref="A83">IF(H83="PROJECT", CHAR(10) &amp; "- " &amp; _xlfn.TEXTJOIN(CHAR(10) &amp; "- ", TRUE, _xlfn._xlws.FILTER($I$9:$I$1000, ($B$9:$B$1000=B83) * ($H$9:$H$1000="Topic"))), "")</f>
        <v/>
      </c>
      <c r="B83" s="45" t="str">
        <f t="shared" si="47"/>
        <v/>
      </c>
      <c r="C83" s="95"/>
      <c r="D83" s="46"/>
      <c r="E83" s="58"/>
      <c r="F83" s="67"/>
      <c r="G83" s="53"/>
      <c r="H83" s="53"/>
      <c r="I83" s="50"/>
      <c r="J83" s="51"/>
      <c r="K83" s="129" t="str">
        <f t="shared" si="48"/>
        <v/>
      </c>
      <c r="L83" s="103" t="str">
        <f t="shared" si="32"/>
        <v/>
      </c>
      <c r="M83" s="53">
        <v>0</v>
      </c>
      <c r="N83" s="102" t="str">
        <f t="shared" si="33"/>
        <v/>
      </c>
      <c r="O83" s="103" t="str">
        <f t="shared" si="34"/>
        <v/>
      </c>
      <c r="P83" s="53">
        <v>0</v>
      </c>
      <c r="Q83" s="102" t="str">
        <f t="shared" si="35"/>
        <v/>
      </c>
      <c r="R83" s="103" t="str">
        <f t="shared" si="36"/>
        <v/>
      </c>
      <c r="S83" s="53">
        <v>0</v>
      </c>
      <c r="T83" s="102" t="str">
        <f t="shared" si="37"/>
        <v/>
      </c>
      <c r="U83" s="103" t="str">
        <f t="shared" si="38"/>
        <v/>
      </c>
      <c r="V83" s="53">
        <v>0</v>
      </c>
      <c r="W83" s="87" t="str">
        <f t="shared" si="39"/>
        <v/>
      </c>
      <c r="X83" s="103" t="str">
        <f t="shared" si="40"/>
        <v/>
      </c>
      <c r="Y83" s="53">
        <v>0</v>
      </c>
      <c r="Z83" s="56" t="str">
        <f t="shared" si="41"/>
        <v/>
      </c>
      <c r="AA83" s="56" t="str">
        <f t="shared" si="42"/>
        <v/>
      </c>
      <c r="AB83" s="56" t="str">
        <f t="shared" si="43"/>
        <v/>
      </c>
      <c r="AC83" s="56" t="str">
        <f t="shared" si="44"/>
        <v/>
      </c>
      <c r="AD83" s="56" t="str">
        <f t="shared" si="45"/>
        <v/>
      </c>
      <c r="AE83" s="40"/>
      <c r="AF83" s="40"/>
      <c r="AG83" s="40"/>
      <c r="AH83" s="56" t="str">
        <f t="shared" si="46"/>
        <v/>
      </c>
      <c r="AI83" s="54"/>
      <c r="AJ83" s="54"/>
      <c r="AK83" s="54"/>
      <c r="AL83" s="54"/>
      <c r="AM83" s="54"/>
    </row>
    <row r="84" spans="1:39">
      <c r="A84" s="45" t="str" cm="1">
        <f t="array" ref="A84">IF(H84="PROJECT", CHAR(10) &amp; "- " &amp; _xlfn.TEXTJOIN(CHAR(10) &amp; "- ", TRUE, _xlfn._xlws.FILTER($I$9:$I$1000, ($B$9:$B$1000=B84) * ($H$9:$H$1000="Topic"))), "")</f>
        <v/>
      </c>
      <c r="B84" s="45" t="str">
        <f t="shared" si="47"/>
        <v/>
      </c>
      <c r="C84" s="95"/>
      <c r="D84" s="57"/>
      <c r="E84" s="58"/>
      <c r="F84" s="54"/>
      <c r="G84" s="52"/>
      <c r="H84" s="52"/>
      <c r="I84" s="61"/>
      <c r="J84" s="62"/>
      <c r="K84" s="129" t="str">
        <f t="shared" si="48"/>
        <v/>
      </c>
      <c r="L84" s="103" t="str">
        <f t="shared" si="32"/>
        <v/>
      </c>
      <c r="M84" s="52">
        <v>0</v>
      </c>
      <c r="N84" s="102" t="str">
        <f t="shared" si="33"/>
        <v/>
      </c>
      <c r="O84" s="103" t="str">
        <f t="shared" si="34"/>
        <v/>
      </c>
      <c r="P84" s="52">
        <v>0</v>
      </c>
      <c r="Q84" s="102" t="str">
        <f t="shared" si="35"/>
        <v/>
      </c>
      <c r="R84" s="103" t="str">
        <f t="shared" si="36"/>
        <v/>
      </c>
      <c r="S84" s="52">
        <v>0</v>
      </c>
      <c r="T84" s="102" t="str">
        <f t="shared" si="37"/>
        <v/>
      </c>
      <c r="U84" s="103" t="str">
        <f t="shared" si="38"/>
        <v/>
      </c>
      <c r="V84" s="52">
        <v>0</v>
      </c>
      <c r="W84" s="87" t="str">
        <f t="shared" si="39"/>
        <v/>
      </c>
      <c r="X84" s="103" t="str">
        <f t="shared" si="40"/>
        <v/>
      </c>
      <c r="Y84" s="52">
        <v>0</v>
      </c>
      <c r="Z84" s="56" t="str">
        <f t="shared" si="41"/>
        <v/>
      </c>
      <c r="AA84" s="56" t="str">
        <f t="shared" si="42"/>
        <v/>
      </c>
      <c r="AB84" s="56" t="str">
        <f t="shared" si="43"/>
        <v/>
      </c>
      <c r="AC84" s="56" t="str">
        <f t="shared" si="44"/>
        <v/>
      </c>
      <c r="AD84" s="56" t="str">
        <f t="shared" si="45"/>
        <v/>
      </c>
      <c r="AE84" s="40"/>
      <c r="AF84" s="40"/>
      <c r="AG84" s="40"/>
      <c r="AH84" s="56" t="str">
        <f t="shared" si="46"/>
        <v/>
      </c>
      <c r="AI84" s="54"/>
      <c r="AJ84" s="54"/>
      <c r="AK84" s="54"/>
      <c r="AL84" s="54"/>
      <c r="AM84" s="54"/>
    </row>
    <row r="85" spans="1:39">
      <c r="A85" s="45" t="str" cm="1">
        <f t="array" ref="A85">IF(H85="PROJECT", CHAR(10) &amp; "- " &amp; _xlfn.TEXTJOIN(CHAR(10) &amp; "- ", TRUE, _xlfn._xlws.FILTER($I$9:$I$1000, ($B$9:$B$1000=B85) * ($H$9:$H$1000="Topic"))), "")</f>
        <v/>
      </c>
      <c r="B85" s="45" t="str">
        <f t="shared" si="47"/>
        <v/>
      </c>
      <c r="C85" s="95"/>
      <c r="D85" s="46"/>
      <c r="E85" s="58"/>
      <c r="F85" s="67"/>
      <c r="G85" s="53"/>
      <c r="H85" s="53"/>
      <c r="I85" s="50"/>
      <c r="J85" s="51"/>
      <c r="K85" s="129" t="str">
        <f t="shared" si="48"/>
        <v/>
      </c>
      <c r="L85" s="103" t="str">
        <f t="shared" si="32"/>
        <v/>
      </c>
      <c r="M85" s="53">
        <v>0</v>
      </c>
      <c r="N85" s="102" t="str">
        <f t="shared" si="33"/>
        <v/>
      </c>
      <c r="O85" s="103" t="str">
        <f t="shared" si="34"/>
        <v/>
      </c>
      <c r="P85" s="53">
        <v>0</v>
      </c>
      <c r="Q85" s="102" t="str">
        <f t="shared" si="35"/>
        <v/>
      </c>
      <c r="R85" s="103" t="str">
        <f t="shared" si="36"/>
        <v/>
      </c>
      <c r="S85" s="53">
        <v>0</v>
      </c>
      <c r="T85" s="102" t="str">
        <f t="shared" si="37"/>
        <v/>
      </c>
      <c r="U85" s="103" t="str">
        <f t="shared" si="38"/>
        <v/>
      </c>
      <c r="V85" s="53">
        <v>0</v>
      </c>
      <c r="W85" s="87" t="str">
        <f t="shared" si="39"/>
        <v/>
      </c>
      <c r="X85" s="103" t="str">
        <f t="shared" si="40"/>
        <v/>
      </c>
      <c r="Y85" s="53">
        <v>0</v>
      </c>
      <c r="Z85" s="56" t="str">
        <f t="shared" si="41"/>
        <v/>
      </c>
      <c r="AA85" s="56" t="str">
        <f t="shared" si="42"/>
        <v/>
      </c>
      <c r="AB85" s="56" t="str">
        <f t="shared" si="43"/>
        <v/>
      </c>
      <c r="AC85" s="56" t="str">
        <f t="shared" si="44"/>
        <v/>
      </c>
      <c r="AD85" s="56" t="str">
        <f t="shared" si="45"/>
        <v/>
      </c>
      <c r="AE85" s="40"/>
      <c r="AF85" s="40"/>
      <c r="AG85" s="40"/>
      <c r="AH85" s="56" t="str">
        <f t="shared" si="46"/>
        <v/>
      </c>
      <c r="AI85" s="54"/>
      <c r="AJ85" s="54"/>
      <c r="AK85" s="54"/>
      <c r="AL85" s="54"/>
      <c r="AM85" s="54"/>
    </row>
    <row r="86" spans="1:39">
      <c r="A86" s="45" t="str" cm="1">
        <f t="array" ref="A86">IF(H86="PROJECT", CHAR(10) &amp; "- " &amp; _xlfn.TEXTJOIN(CHAR(10) &amp; "- ", TRUE, _xlfn._xlws.FILTER($I$9:$I$1000, ($B$9:$B$1000=B86) * ($H$9:$H$1000="Topic"))), "")</f>
        <v/>
      </c>
      <c r="B86" s="45" t="str">
        <f t="shared" si="47"/>
        <v/>
      </c>
      <c r="C86" s="95"/>
      <c r="D86" s="57"/>
      <c r="E86" s="58"/>
      <c r="F86" s="54"/>
      <c r="G86" s="52"/>
      <c r="H86" s="52"/>
      <c r="I86" s="61"/>
      <c r="J86" s="62"/>
      <c r="K86" s="129" t="str">
        <f t="shared" si="48"/>
        <v/>
      </c>
      <c r="L86" s="103" t="str">
        <f t="shared" si="32"/>
        <v/>
      </c>
      <c r="M86" s="52">
        <v>0</v>
      </c>
      <c r="N86" s="102" t="str">
        <f t="shared" si="33"/>
        <v/>
      </c>
      <c r="O86" s="103" t="str">
        <f t="shared" si="34"/>
        <v/>
      </c>
      <c r="P86" s="52">
        <v>0</v>
      </c>
      <c r="Q86" s="102" t="str">
        <f t="shared" si="35"/>
        <v/>
      </c>
      <c r="R86" s="103" t="str">
        <f t="shared" si="36"/>
        <v/>
      </c>
      <c r="S86" s="52">
        <v>0</v>
      </c>
      <c r="T86" s="102" t="str">
        <f t="shared" si="37"/>
        <v/>
      </c>
      <c r="U86" s="103" t="str">
        <f t="shared" si="38"/>
        <v/>
      </c>
      <c r="V86" s="52">
        <v>0</v>
      </c>
      <c r="W86" s="87" t="str">
        <f t="shared" si="39"/>
        <v/>
      </c>
      <c r="X86" s="103" t="str">
        <f t="shared" si="40"/>
        <v/>
      </c>
      <c r="Y86" s="52">
        <v>0</v>
      </c>
      <c r="Z86" s="56" t="str">
        <f t="shared" si="41"/>
        <v/>
      </c>
      <c r="AA86" s="56" t="str">
        <f t="shared" si="42"/>
        <v/>
      </c>
      <c r="AB86" s="56" t="str">
        <f t="shared" si="43"/>
        <v/>
      </c>
      <c r="AC86" s="56" t="str">
        <f t="shared" si="44"/>
        <v/>
      </c>
      <c r="AD86" s="56" t="str">
        <f t="shared" si="45"/>
        <v/>
      </c>
      <c r="AE86" s="40"/>
      <c r="AF86" s="40"/>
      <c r="AG86" s="40"/>
      <c r="AH86" s="56" t="str">
        <f t="shared" si="46"/>
        <v/>
      </c>
      <c r="AI86" s="54"/>
      <c r="AJ86" s="54"/>
      <c r="AK86" s="54"/>
      <c r="AL86" s="54"/>
      <c r="AM86" s="54"/>
    </row>
    <row r="87" spans="1:39">
      <c r="A87" s="45" t="str" cm="1">
        <f t="array" ref="A87">IF(H87="PROJECT", CHAR(10) &amp; "- " &amp; _xlfn.TEXTJOIN(CHAR(10) &amp; "- ", TRUE, _xlfn._xlws.FILTER($I$9:$I$1000, ($B$9:$B$1000=B87) * ($H$9:$H$1000="Topic"))), "")</f>
        <v/>
      </c>
      <c r="B87" s="45" t="str">
        <f t="shared" si="47"/>
        <v/>
      </c>
      <c r="C87" s="95"/>
      <c r="D87" s="46"/>
      <c r="E87" s="58"/>
      <c r="F87" s="67"/>
      <c r="G87" s="53"/>
      <c r="H87" s="53"/>
      <c r="I87" s="50"/>
      <c r="J87" s="51"/>
      <c r="K87" s="129" t="str">
        <f t="shared" si="48"/>
        <v/>
      </c>
      <c r="L87" s="103" t="str">
        <f t="shared" si="32"/>
        <v/>
      </c>
      <c r="M87" s="53">
        <v>0</v>
      </c>
      <c r="N87" s="102" t="str">
        <f t="shared" si="33"/>
        <v/>
      </c>
      <c r="O87" s="103" t="str">
        <f t="shared" si="34"/>
        <v/>
      </c>
      <c r="P87" s="53">
        <v>0</v>
      </c>
      <c r="Q87" s="102" t="str">
        <f t="shared" si="35"/>
        <v/>
      </c>
      <c r="R87" s="103" t="str">
        <f t="shared" si="36"/>
        <v/>
      </c>
      <c r="S87" s="53">
        <v>0</v>
      </c>
      <c r="T87" s="102" t="str">
        <f t="shared" si="37"/>
        <v/>
      </c>
      <c r="U87" s="103" t="str">
        <f t="shared" si="38"/>
        <v/>
      </c>
      <c r="V87" s="53">
        <v>0</v>
      </c>
      <c r="W87" s="87" t="str">
        <f t="shared" si="39"/>
        <v/>
      </c>
      <c r="X87" s="103" t="str">
        <f t="shared" si="40"/>
        <v/>
      </c>
      <c r="Y87" s="53">
        <v>0</v>
      </c>
      <c r="Z87" s="56" t="str">
        <f t="shared" si="41"/>
        <v/>
      </c>
      <c r="AA87" s="56" t="str">
        <f t="shared" si="42"/>
        <v/>
      </c>
      <c r="AB87" s="56" t="str">
        <f t="shared" si="43"/>
        <v/>
      </c>
      <c r="AC87" s="56" t="str">
        <f t="shared" si="44"/>
        <v/>
      </c>
      <c r="AD87" s="56" t="str">
        <f t="shared" si="45"/>
        <v/>
      </c>
      <c r="AE87" s="40"/>
      <c r="AF87" s="40"/>
      <c r="AG87" s="40"/>
      <c r="AH87" s="56" t="str">
        <f t="shared" si="46"/>
        <v/>
      </c>
      <c r="AI87" s="54"/>
      <c r="AJ87" s="54"/>
      <c r="AK87" s="54"/>
      <c r="AL87" s="54"/>
      <c r="AM87" s="54"/>
    </row>
    <row r="88" spans="1:39">
      <c r="A88" s="45" t="str" cm="1">
        <f t="array" ref="A88">IF(H88="PROJECT", CHAR(10) &amp; "- " &amp; _xlfn.TEXTJOIN(CHAR(10) &amp; "- ", TRUE, _xlfn._xlws.FILTER($I$9:$I$1000, ($B$9:$B$1000=B88) * ($H$9:$H$1000="Topic"))), "")</f>
        <v/>
      </c>
      <c r="B88" s="45" t="str">
        <f t="shared" si="47"/>
        <v/>
      </c>
      <c r="C88" s="95"/>
      <c r="D88" s="57"/>
      <c r="E88" s="58"/>
      <c r="F88" s="54"/>
      <c r="G88" s="52"/>
      <c r="H88" s="52"/>
      <c r="I88" s="61"/>
      <c r="J88" s="62"/>
      <c r="K88" s="129" t="str">
        <f t="shared" si="48"/>
        <v/>
      </c>
      <c r="L88" s="103" t="str">
        <f t="shared" si="32"/>
        <v/>
      </c>
      <c r="M88" s="52">
        <v>0</v>
      </c>
      <c r="N88" s="102" t="str">
        <f t="shared" si="33"/>
        <v/>
      </c>
      <c r="O88" s="103" t="str">
        <f t="shared" si="34"/>
        <v/>
      </c>
      <c r="P88" s="52">
        <v>0</v>
      </c>
      <c r="Q88" s="102" t="str">
        <f t="shared" si="35"/>
        <v/>
      </c>
      <c r="R88" s="103" t="str">
        <f t="shared" si="36"/>
        <v/>
      </c>
      <c r="S88" s="52">
        <v>0</v>
      </c>
      <c r="T88" s="102" t="str">
        <f t="shared" si="37"/>
        <v/>
      </c>
      <c r="U88" s="103" t="str">
        <f t="shared" si="38"/>
        <v/>
      </c>
      <c r="V88" s="52">
        <v>0</v>
      </c>
      <c r="W88" s="87" t="str">
        <f t="shared" si="39"/>
        <v/>
      </c>
      <c r="X88" s="103" t="str">
        <f t="shared" si="40"/>
        <v/>
      </c>
      <c r="Y88" s="52">
        <v>0</v>
      </c>
      <c r="Z88" s="56" t="str">
        <f t="shared" si="41"/>
        <v/>
      </c>
      <c r="AA88" s="56" t="str">
        <f t="shared" si="42"/>
        <v/>
      </c>
      <c r="AB88" s="56" t="str">
        <f t="shared" si="43"/>
        <v/>
      </c>
      <c r="AC88" s="56" t="str">
        <f t="shared" si="44"/>
        <v/>
      </c>
      <c r="AD88" s="56" t="str">
        <f t="shared" si="45"/>
        <v/>
      </c>
      <c r="AE88" s="40"/>
      <c r="AF88" s="40"/>
      <c r="AG88" s="40"/>
      <c r="AH88" s="56" t="str">
        <f t="shared" si="46"/>
        <v/>
      </c>
      <c r="AI88" s="54"/>
      <c r="AJ88" s="54"/>
      <c r="AK88" s="54"/>
      <c r="AL88" s="54"/>
      <c r="AM88" s="54"/>
    </row>
    <row r="89" spans="1:39">
      <c r="A89" s="45" t="str" cm="1">
        <f t="array" ref="A89">IF(H89="PROJECT", CHAR(10) &amp; "- " &amp; _xlfn.TEXTJOIN(CHAR(10) &amp; "- ", TRUE, _xlfn._xlws.FILTER($I$9:$I$1000, ($B$9:$B$1000=B89) * ($H$9:$H$1000="Topic"))), "")</f>
        <v/>
      </c>
      <c r="B89" s="45" t="str">
        <f t="shared" si="47"/>
        <v/>
      </c>
      <c r="C89" s="95"/>
      <c r="D89" s="46"/>
      <c r="E89" s="58"/>
      <c r="F89" s="67"/>
      <c r="G89" s="53"/>
      <c r="H89" s="53"/>
      <c r="I89" s="50"/>
      <c r="J89" s="51"/>
      <c r="K89" s="129" t="str">
        <f t="shared" si="48"/>
        <v/>
      </c>
      <c r="L89" s="103" t="str">
        <f t="shared" si="32"/>
        <v/>
      </c>
      <c r="M89" s="53">
        <v>0</v>
      </c>
      <c r="N89" s="102" t="str">
        <f t="shared" si="33"/>
        <v/>
      </c>
      <c r="O89" s="103" t="str">
        <f t="shared" si="34"/>
        <v/>
      </c>
      <c r="P89" s="53">
        <v>0</v>
      </c>
      <c r="Q89" s="102" t="str">
        <f t="shared" si="35"/>
        <v/>
      </c>
      <c r="R89" s="103" t="str">
        <f t="shared" si="36"/>
        <v/>
      </c>
      <c r="S89" s="53">
        <v>0</v>
      </c>
      <c r="T89" s="102" t="str">
        <f t="shared" si="37"/>
        <v/>
      </c>
      <c r="U89" s="103" t="str">
        <f t="shared" si="38"/>
        <v/>
      </c>
      <c r="V89" s="53">
        <v>0</v>
      </c>
      <c r="W89" s="87" t="str">
        <f t="shared" si="39"/>
        <v/>
      </c>
      <c r="X89" s="103" t="str">
        <f t="shared" si="40"/>
        <v/>
      </c>
      <c r="Y89" s="53">
        <v>0</v>
      </c>
      <c r="Z89" s="56" t="str">
        <f t="shared" si="41"/>
        <v/>
      </c>
      <c r="AA89" s="56" t="str">
        <f t="shared" si="42"/>
        <v/>
      </c>
      <c r="AB89" s="56" t="str">
        <f t="shared" si="43"/>
        <v/>
      </c>
      <c r="AC89" s="56" t="str">
        <f t="shared" si="44"/>
        <v/>
      </c>
      <c r="AD89" s="56" t="str">
        <f t="shared" si="45"/>
        <v/>
      </c>
      <c r="AE89" s="40"/>
      <c r="AF89" s="40"/>
      <c r="AG89" s="40"/>
      <c r="AH89" s="56" t="str">
        <f t="shared" si="46"/>
        <v/>
      </c>
      <c r="AI89" s="54"/>
      <c r="AJ89" s="54"/>
      <c r="AK89" s="54"/>
      <c r="AL89" s="54"/>
      <c r="AM89" s="54"/>
    </row>
    <row r="90" spans="1:39">
      <c r="A90" s="45" t="str" cm="1">
        <f t="array" ref="A90">IF(H90="PROJECT", CHAR(10) &amp; "- " &amp; _xlfn.TEXTJOIN(CHAR(10) &amp; "- ", TRUE, _xlfn._xlws.FILTER($I$9:$I$1000, ($B$9:$B$1000=B90) * ($H$9:$H$1000="Topic"))), "")</f>
        <v/>
      </c>
      <c r="B90" s="45" t="str">
        <f t="shared" si="47"/>
        <v/>
      </c>
      <c r="C90" s="95"/>
      <c r="D90" s="57"/>
      <c r="E90" s="58"/>
      <c r="F90" s="54"/>
      <c r="G90" s="52"/>
      <c r="H90" s="52"/>
      <c r="I90" s="61"/>
      <c r="J90" s="62"/>
      <c r="K90" s="129" t="str">
        <f t="shared" si="48"/>
        <v/>
      </c>
      <c r="L90" s="103" t="str">
        <f t="shared" si="32"/>
        <v/>
      </c>
      <c r="M90" s="52">
        <v>0</v>
      </c>
      <c r="N90" s="102" t="str">
        <f t="shared" si="33"/>
        <v/>
      </c>
      <c r="O90" s="103" t="str">
        <f t="shared" si="34"/>
        <v/>
      </c>
      <c r="P90" s="52">
        <v>0</v>
      </c>
      <c r="Q90" s="102" t="str">
        <f t="shared" si="35"/>
        <v/>
      </c>
      <c r="R90" s="103" t="str">
        <f t="shared" si="36"/>
        <v/>
      </c>
      <c r="S90" s="52">
        <v>0</v>
      </c>
      <c r="T90" s="102" t="str">
        <f t="shared" si="37"/>
        <v/>
      </c>
      <c r="U90" s="103" t="str">
        <f t="shared" si="38"/>
        <v/>
      </c>
      <c r="V90" s="52">
        <v>0</v>
      </c>
      <c r="W90" s="87" t="str">
        <f t="shared" si="39"/>
        <v/>
      </c>
      <c r="X90" s="103" t="str">
        <f t="shared" si="40"/>
        <v/>
      </c>
      <c r="Y90" s="52">
        <v>0</v>
      </c>
      <c r="Z90" s="56" t="str">
        <f t="shared" si="41"/>
        <v/>
      </c>
      <c r="AA90" s="56" t="str">
        <f t="shared" si="42"/>
        <v/>
      </c>
      <c r="AB90" s="56" t="str">
        <f t="shared" si="43"/>
        <v/>
      </c>
      <c r="AC90" s="56" t="str">
        <f t="shared" si="44"/>
        <v/>
      </c>
      <c r="AD90" s="56" t="str">
        <f t="shared" si="45"/>
        <v/>
      </c>
      <c r="AE90" s="40"/>
      <c r="AF90" s="40"/>
      <c r="AG90" s="40"/>
      <c r="AH90" s="56" t="str">
        <f t="shared" si="46"/>
        <v/>
      </c>
      <c r="AI90" s="54"/>
      <c r="AJ90" s="54"/>
      <c r="AK90" s="54"/>
      <c r="AL90" s="54"/>
      <c r="AM90" s="54"/>
    </row>
    <row r="91" spans="1:39">
      <c r="A91" s="45" t="str" cm="1">
        <f t="array" ref="A91">IF(H91="PROJECT", CHAR(10) &amp; "- " &amp; _xlfn.TEXTJOIN(CHAR(10) &amp; "- ", TRUE, _xlfn._xlws.FILTER($I$9:$I$1000, ($B$9:$B$1000=B91) * ($H$9:$H$1000="Topic"))), "")</f>
        <v/>
      </c>
      <c r="B91" s="45" t="str">
        <f t="shared" si="47"/>
        <v/>
      </c>
      <c r="C91" s="95"/>
      <c r="D91" s="46"/>
      <c r="E91" s="58"/>
      <c r="F91" s="67"/>
      <c r="G91" s="53"/>
      <c r="H91" s="53"/>
      <c r="I91" s="50"/>
      <c r="J91" s="51"/>
      <c r="K91" s="129" t="str">
        <f t="shared" si="48"/>
        <v/>
      </c>
      <c r="L91" s="103" t="str">
        <f t="shared" si="32"/>
        <v/>
      </c>
      <c r="M91" s="53">
        <v>0</v>
      </c>
      <c r="N91" s="102" t="str">
        <f t="shared" si="33"/>
        <v/>
      </c>
      <c r="O91" s="103" t="str">
        <f t="shared" si="34"/>
        <v/>
      </c>
      <c r="P91" s="53">
        <v>0</v>
      </c>
      <c r="Q91" s="102" t="str">
        <f t="shared" si="35"/>
        <v/>
      </c>
      <c r="R91" s="103" t="str">
        <f t="shared" si="36"/>
        <v/>
      </c>
      <c r="S91" s="53">
        <v>0</v>
      </c>
      <c r="T91" s="102" t="str">
        <f t="shared" si="37"/>
        <v/>
      </c>
      <c r="U91" s="103" t="str">
        <f t="shared" si="38"/>
        <v/>
      </c>
      <c r="V91" s="53">
        <v>0</v>
      </c>
      <c r="W91" s="87" t="str">
        <f t="shared" si="39"/>
        <v/>
      </c>
      <c r="X91" s="103" t="str">
        <f t="shared" si="40"/>
        <v/>
      </c>
      <c r="Y91" s="53">
        <v>0</v>
      </c>
      <c r="Z91" s="56" t="str">
        <f t="shared" si="41"/>
        <v/>
      </c>
      <c r="AA91" s="56" t="str">
        <f t="shared" si="42"/>
        <v/>
      </c>
      <c r="AB91" s="56" t="str">
        <f t="shared" si="43"/>
        <v/>
      </c>
      <c r="AC91" s="56" t="str">
        <f t="shared" si="44"/>
        <v/>
      </c>
      <c r="AD91" s="56" t="str">
        <f t="shared" si="45"/>
        <v/>
      </c>
      <c r="AE91" s="40"/>
      <c r="AF91" s="40"/>
      <c r="AG91" s="40"/>
      <c r="AH91" s="56" t="str">
        <f t="shared" si="46"/>
        <v/>
      </c>
      <c r="AI91" s="54"/>
      <c r="AJ91" s="54"/>
      <c r="AK91" s="54"/>
      <c r="AL91" s="54"/>
      <c r="AM91" s="54"/>
    </row>
    <row r="92" spans="1:39">
      <c r="A92" s="45" t="str" cm="1">
        <f t="array" ref="A92">IF(H92="PROJECT", CHAR(10) &amp; "- " &amp; _xlfn.TEXTJOIN(CHAR(10) &amp; "- ", TRUE, _xlfn._xlws.FILTER($I$9:$I$1000, ($B$9:$B$1000=B92) * ($H$9:$H$1000="Topic"))), "")</f>
        <v/>
      </c>
      <c r="B92" s="45" t="str">
        <f t="shared" si="47"/>
        <v/>
      </c>
      <c r="C92" s="95"/>
      <c r="D92" s="57"/>
      <c r="E92" s="58"/>
      <c r="F92" s="54"/>
      <c r="G92" s="52"/>
      <c r="H92" s="52"/>
      <c r="I92" s="61"/>
      <c r="J92" s="62"/>
      <c r="K92" s="129" t="str">
        <f t="shared" si="48"/>
        <v/>
      </c>
      <c r="L92" s="103" t="str">
        <f t="shared" si="32"/>
        <v/>
      </c>
      <c r="M92" s="52">
        <v>0</v>
      </c>
      <c r="N92" s="102" t="str">
        <f t="shared" si="33"/>
        <v/>
      </c>
      <c r="O92" s="103" t="str">
        <f t="shared" si="34"/>
        <v/>
      </c>
      <c r="P92" s="52">
        <v>0</v>
      </c>
      <c r="Q92" s="102" t="str">
        <f t="shared" si="35"/>
        <v/>
      </c>
      <c r="R92" s="103" t="str">
        <f t="shared" si="36"/>
        <v/>
      </c>
      <c r="S92" s="52">
        <v>0</v>
      </c>
      <c r="T92" s="102" t="str">
        <f t="shared" si="37"/>
        <v/>
      </c>
      <c r="U92" s="103" t="str">
        <f t="shared" si="38"/>
        <v/>
      </c>
      <c r="V92" s="52">
        <v>0</v>
      </c>
      <c r="W92" s="87" t="str">
        <f t="shared" si="39"/>
        <v/>
      </c>
      <c r="X92" s="103" t="str">
        <f t="shared" si="40"/>
        <v/>
      </c>
      <c r="Y92" s="52">
        <v>0</v>
      </c>
      <c r="Z92" s="56" t="str">
        <f t="shared" si="41"/>
        <v/>
      </c>
      <c r="AA92" s="56" t="str">
        <f t="shared" si="42"/>
        <v/>
      </c>
      <c r="AB92" s="56" t="str">
        <f t="shared" si="43"/>
        <v/>
      </c>
      <c r="AC92" s="56" t="str">
        <f t="shared" si="44"/>
        <v/>
      </c>
      <c r="AD92" s="56" t="str">
        <f t="shared" si="45"/>
        <v/>
      </c>
      <c r="AE92" s="40"/>
      <c r="AF92" s="40"/>
      <c r="AG92" s="40"/>
      <c r="AH92" s="56" t="str">
        <f t="shared" si="46"/>
        <v/>
      </c>
      <c r="AI92" s="54"/>
      <c r="AJ92" s="54"/>
      <c r="AK92" s="54"/>
      <c r="AL92" s="54"/>
      <c r="AM92" s="54"/>
    </row>
    <row r="93" spans="1:39">
      <c r="A93" s="45" t="str" cm="1">
        <f t="array" ref="A93">IF(H93="PROJECT", CHAR(10) &amp; "- " &amp; _xlfn.TEXTJOIN(CHAR(10) &amp; "- ", TRUE, _xlfn._xlws.FILTER($I$9:$I$1000, ($B$9:$B$1000=B93) * ($H$9:$H$1000="Topic"))), "")</f>
        <v/>
      </c>
      <c r="B93" s="45" t="str">
        <f t="shared" si="47"/>
        <v/>
      </c>
      <c r="C93" s="95"/>
      <c r="D93" s="46"/>
      <c r="E93" s="58"/>
      <c r="F93" s="67"/>
      <c r="G93" s="53"/>
      <c r="H93" s="53"/>
      <c r="I93" s="50"/>
      <c r="J93" s="51"/>
      <c r="K93" s="129" t="str">
        <f t="shared" si="48"/>
        <v/>
      </c>
      <c r="L93" s="103" t="str">
        <f t="shared" si="32"/>
        <v/>
      </c>
      <c r="M93" s="53">
        <v>0</v>
      </c>
      <c r="N93" s="102" t="str">
        <f t="shared" si="33"/>
        <v/>
      </c>
      <c r="O93" s="103" t="str">
        <f t="shared" si="34"/>
        <v/>
      </c>
      <c r="P93" s="53">
        <v>0</v>
      </c>
      <c r="Q93" s="102" t="str">
        <f t="shared" si="35"/>
        <v/>
      </c>
      <c r="R93" s="103" t="str">
        <f t="shared" si="36"/>
        <v/>
      </c>
      <c r="S93" s="53">
        <v>0</v>
      </c>
      <c r="T93" s="102" t="str">
        <f t="shared" si="37"/>
        <v/>
      </c>
      <c r="U93" s="103" t="str">
        <f t="shared" si="38"/>
        <v/>
      </c>
      <c r="V93" s="53">
        <v>0</v>
      </c>
      <c r="W93" s="87" t="str">
        <f t="shared" si="39"/>
        <v/>
      </c>
      <c r="X93" s="103" t="str">
        <f t="shared" si="40"/>
        <v/>
      </c>
      <c r="Y93" s="53">
        <v>0</v>
      </c>
      <c r="Z93" s="56" t="str">
        <f t="shared" si="41"/>
        <v/>
      </c>
      <c r="AA93" s="56" t="str">
        <f t="shared" si="42"/>
        <v/>
      </c>
      <c r="AB93" s="56" t="str">
        <f t="shared" si="43"/>
        <v/>
      </c>
      <c r="AC93" s="56" t="str">
        <f t="shared" si="44"/>
        <v/>
      </c>
      <c r="AD93" s="56" t="str">
        <f t="shared" si="45"/>
        <v/>
      </c>
      <c r="AE93" s="40"/>
      <c r="AF93" s="40"/>
      <c r="AG93" s="40"/>
      <c r="AH93" s="56" t="str">
        <f t="shared" si="46"/>
        <v/>
      </c>
      <c r="AI93" s="54"/>
      <c r="AJ93" s="54"/>
      <c r="AK93" s="54"/>
      <c r="AL93" s="54"/>
      <c r="AM93" s="54"/>
    </row>
    <row r="94" spans="1:39">
      <c r="A94" s="45" t="str" cm="1">
        <f t="array" ref="A94">IF(H94="PROJECT", CHAR(10) &amp; "- " &amp; _xlfn.TEXTJOIN(CHAR(10) &amp; "- ", TRUE, _xlfn._xlws.FILTER($I$9:$I$1000, ($B$9:$B$1000=B94) * ($H$9:$H$1000="Topic"))), "")</f>
        <v/>
      </c>
      <c r="B94" s="45" t="str">
        <f t="shared" si="47"/>
        <v/>
      </c>
      <c r="C94" s="95"/>
      <c r="D94" s="57"/>
      <c r="E94" s="58"/>
      <c r="F94" s="54"/>
      <c r="G94" s="52"/>
      <c r="H94" s="52"/>
      <c r="I94" s="61"/>
      <c r="J94" s="62"/>
      <c r="K94" s="129" t="str">
        <f t="shared" si="48"/>
        <v/>
      </c>
      <c r="L94" s="103" t="str">
        <f t="shared" si="32"/>
        <v/>
      </c>
      <c r="M94" s="52">
        <v>0</v>
      </c>
      <c r="N94" s="102" t="str">
        <f t="shared" si="33"/>
        <v/>
      </c>
      <c r="O94" s="103" t="str">
        <f t="shared" si="34"/>
        <v/>
      </c>
      <c r="P94" s="52">
        <v>0</v>
      </c>
      <c r="Q94" s="102" t="str">
        <f t="shared" si="35"/>
        <v/>
      </c>
      <c r="R94" s="103" t="str">
        <f t="shared" si="36"/>
        <v/>
      </c>
      <c r="S94" s="52">
        <v>0</v>
      </c>
      <c r="T94" s="102" t="str">
        <f t="shared" si="37"/>
        <v/>
      </c>
      <c r="U94" s="103" t="str">
        <f t="shared" si="38"/>
        <v/>
      </c>
      <c r="V94" s="52">
        <v>0</v>
      </c>
      <c r="W94" s="87" t="str">
        <f t="shared" si="39"/>
        <v/>
      </c>
      <c r="X94" s="103" t="str">
        <f t="shared" si="40"/>
        <v/>
      </c>
      <c r="Y94" s="52">
        <v>0</v>
      </c>
      <c r="Z94" s="56" t="str">
        <f t="shared" si="41"/>
        <v/>
      </c>
      <c r="AA94" s="56" t="str">
        <f t="shared" si="42"/>
        <v/>
      </c>
      <c r="AB94" s="56" t="str">
        <f t="shared" si="43"/>
        <v/>
      </c>
      <c r="AC94" s="56" t="str">
        <f t="shared" si="44"/>
        <v/>
      </c>
      <c r="AD94" s="56" t="str">
        <f t="shared" si="45"/>
        <v/>
      </c>
      <c r="AE94" s="40"/>
      <c r="AF94" s="40"/>
      <c r="AG94" s="40"/>
      <c r="AH94" s="56" t="str">
        <f t="shared" si="46"/>
        <v/>
      </c>
      <c r="AI94" s="54"/>
      <c r="AJ94" s="54"/>
      <c r="AK94" s="54"/>
      <c r="AL94" s="54"/>
      <c r="AM94" s="54"/>
    </row>
    <row r="95" spans="1:39">
      <c r="A95" s="45" t="str" cm="1">
        <f t="array" ref="A95">IF(H95="PROJECT", CHAR(10) &amp; "- " &amp; _xlfn.TEXTJOIN(CHAR(10) &amp; "- ", TRUE, _xlfn._xlws.FILTER($I$9:$I$1000, ($B$9:$B$1000=B95) * ($H$9:$H$1000="Topic"))), "")</f>
        <v/>
      </c>
      <c r="B95" s="45" t="str">
        <f t="shared" si="47"/>
        <v/>
      </c>
      <c r="C95" s="95"/>
      <c r="D95" s="46"/>
      <c r="E95" s="58"/>
      <c r="F95" s="67"/>
      <c r="G95" s="53"/>
      <c r="H95" s="53"/>
      <c r="I95" s="50"/>
      <c r="J95" s="51"/>
      <c r="K95" s="129" t="str">
        <f t="shared" si="48"/>
        <v/>
      </c>
      <c r="L95" s="103" t="str">
        <f t="shared" si="32"/>
        <v/>
      </c>
      <c r="M95" s="53">
        <v>0</v>
      </c>
      <c r="N95" s="102" t="str">
        <f t="shared" si="33"/>
        <v/>
      </c>
      <c r="O95" s="103" t="str">
        <f t="shared" si="34"/>
        <v/>
      </c>
      <c r="P95" s="53">
        <v>0</v>
      </c>
      <c r="Q95" s="102" t="str">
        <f t="shared" si="35"/>
        <v/>
      </c>
      <c r="R95" s="103" t="str">
        <f t="shared" si="36"/>
        <v/>
      </c>
      <c r="S95" s="53">
        <v>0</v>
      </c>
      <c r="T95" s="102" t="str">
        <f t="shared" si="37"/>
        <v/>
      </c>
      <c r="U95" s="103" t="str">
        <f t="shared" si="38"/>
        <v/>
      </c>
      <c r="V95" s="53">
        <v>0</v>
      </c>
      <c r="W95" s="87" t="str">
        <f t="shared" si="39"/>
        <v/>
      </c>
      <c r="X95" s="103" t="str">
        <f t="shared" si="40"/>
        <v/>
      </c>
      <c r="Y95" s="53">
        <v>0</v>
      </c>
      <c r="Z95" s="56" t="str">
        <f t="shared" si="41"/>
        <v/>
      </c>
      <c r="AA95" s="56" t="str">
        <f t="shared" si="42"/>
        <v/>
      </c>
      <c r="AB95" s="56" t="str">
        <f t="shared" si="43"/>
        <v/>
      </c>
      <c r="AC95" s="56" t="str">
        <f t="shared" si="44"/>
        <v/>
      </c>
      <c r="AD95" s="56" t="str">
        <f t="shared" si="45"/>
        <v/>
      </c>
      <c r="AE95" s="40"/>
      <c r="AF95" s="40"/>
      <c r="AG95" s="40"/>
      <c r="AH95" s="56" t="str">
        <f t="shared" si="46"/>
        <v/>
      </c>
      <c r="AI95" s="54"/>
      <c r="AJ95" s="54"/>
      <c r="AK95" s="54"/>
      <c r="AL95" s="54"/>
      <c r="AM95" s="54"/>
    </row>
    <row r="96" spans="1:39">
      <c r="A96" s="45" t="str" cm="1">
        <f t="array" ref="A96">IF(H96="PROJECT", CHAR(10) &amp; "- " &amp; _xlfn.TEXTJOIN(CHAR(10) &amp; "- ", TRUE, _xlfn._xlws.FILTER($I$9:$I$1000, ($B$9:$B$1000=B96) * ($H$9:$H$1000="Topic"))), "")</f>
        <v/>
      </c>
      <c r="B96" s="45" t="str">
        <f t="shared" si="47"/>
        <v/>
      </c>
      <c r="C96" s="95"/>
      <c r="D96" s="57"/>
      <c r="E96" s="58"/>
      <c r="F96" s="54"/>
      <c r="G96" s="52"/>
      <c r="H96" s="52"/>
      <c r="I96" s="61"/>
      <c r="J96" s="62"/>
      <c r="K96" s="129" t="str">
        <f t="shared" si="48"/>
        <v/>
      </c>
      <c r="L96" s="103" t="str">
        <f t="shared" si="32"/>
        <v/>
      </c>
      <c r="M96" s="52">
        <v>0</v>
      </c>
      <c r="N96" s="102" t="str">
        <f t="shared" si="33"/>
        <v/>
      </c>
      <c r="O96" s="103" t="str">
        <f t="shared" si="34"/>
        <v/>
      </c>
      <c r="P96" s="52">
        <v>0</v>
      </c>
      <c r="Q96" s="102" t="str">
        <f t="shared" si="35"/>
        <v/>
      </c>
      <c r="R96" s="103" t="str">
        <f t="shared" si="36"/>
        <v/>
      </c>
      <c r="S96" s="52">
        <v>0</v>
      </c>
      <c r="T96" s="102" t="str">
        <f t="shared" si="37"/>
        <v/>
      </c>
      <c r="U96" s="103" t="str">
        <f t="shared" si="38"/>
        <v/>
      </c>
      <c r="V96" s="52">
        <v>0</v>
      </c>
      <c r="W96" s="87" t="str">
        <f t="shared" si="39"/>
        <v/>
      </c>
      <c r="X96" s="103" t="str">
        <f t="shared" si="40"/>
        <v/>
      </c>
      <c r="Y96" s="52">
        <v>0</v>
      </c>
      <c r="Z96" s="56" t="str">
        <f t="shared" si="41"/>
        <v/>
      </c>
      <c r="AA96" s="56" t="str">
        <f t="shared" si="42"/>
        <v/>
      </c>
      <c r="AB96" s="56" t="str">
        <f t="shared" si="43"/>
        <v/>
      </c>
      <c r="AC96" s="56" t="str">
        <f t="shared" si="44"/>
        <v/>
      </c>
      <c r="AD96" s="56" t="str">
        <f t="shared" si="45"/>
        <v/>
      </c>
      <c r="AE96" s="40"/>
      <c r="AF96" s="40"/>
      <c r="AG96" s="40"/>
      <c r="AH96" s="56" t="str">
        <f t="shared" si="46"/>
        <v/>
      </c>
      <c r="AI96" s="54"/>
      <c r="AJ96" s="54"/>
      <c r="AK96" s="54"/>
      <c r="AL96" s="54"/>
      <c r="AM96" s="54"/>
    </row>
    <row r="97" spans="1:39">
      <c r="A97" s="45" t="str" cm="1">
        <f t="array" ref="A97">IF(H97="PROJECT", CHAR(10) &amp; "- " &amp; _xlfn.TEXTJOIN(CHAR(10) &amp; "- ", TRUE, _xlfn._xlws.FILTER($I$9:$I$1000, ($B$9:$B$1000=B97) * ($H$9:$H$1000="Topic"))), "")</f>
        <v/>
      </c>
      <c r="B97" s="45" t="str">
        <f t="shared" si="47"/>
        <v/>
      </c>
      <c r="C97" s="95"/>
      <c r="D97" s="46"/>
      <c r="E97" s="58"/>
      <c r="F97" s="67"/>
      <c r="G97" s="53"/>
      <c r="H97" s="53"/>
      <c r="I97" s="50"/>
      <c r="J97" s="51"/>
      <c r="K97" s="129" t="str">
        <f t="shared" si="48"/>
        <v/>
      </c>
      <c r="L97" s="103" t="str">
        <f t="shared" si="32"/>
        <v/>
      </c>
      <c r="M97" s="53">
        <v>0</v>
      </c>
      <c r="N97" s="102" t="str">
        <f t="shared" si="33"/>
        <v/>
      </c>
      <c r="O97" s="103" t="str">
        <f t="shared" si="34"/>
        <v/>
      </c>
      <c r="P97" s="53">
        <v>0</v>
      </c>
      <c r="Q97" s="102" t="str">
        <f t="shared" si="35"/>
        <v/>
      </c>
      <c r="R97" s="103" t="str">
        <f t="shared" si="36"/>
        <v/>
      </c>
      <c r="S97" s="53">
        <v>0</v>
      </c>
      <c r="T97" s="102" t="str">
        <f t="shared" si="37"/>
        <v/>
      </c>
      <c r="U97" s="103" t="str">
        <f t="shared" si="38"/>
        <v/>
      </c>
      <c r="V97" s="53">
        <v>0</v>
      </c>
      <c r="W97" s="87" t="str">
        <f t="shared" si="39"/>
        <v/>
      </c>
      <c r="X97" s="103" t="str">
        <f t="shared" si="40"/>
        <v/>
      </c>
      <c r="Y97" s="53">
        <v>0</v>
      </c>
      <c r="Z97" s="56" t="str">
        <f t="shared" si="41"/>
        <v/>
      </c>
      <c r="AA97" s="56" t="str">
        <f t="shared" si="42"/>
        <v/>
      </c>
      <c r="AB97" s="56" t="str">
        <f t="shared" si="43"/>
        <v/>
      </c>
      <c r="AC97" s="56" t="str">
        <f t="shared" si="44"/>
        <v/>
      </c>
      <c r="AD97" s="56" t="str">
        <f t="shared" si="45"/>
        <v/>
      </c>
      <c r="AE97" s="40"/>
      <c r="AF97" s="40"/>
      <c r="AG97" s="40"/>
      <c r="AH97" s="56" t="str">
        <f t="shared" si="46"/>
        <v/>
      </c>
      <c r="AI97" s="54"/>
      <c r="AJ97" s="54"/>
      <c r="AK97" s="54"/>
      <c r="AL97" s="54"/>
      <c r="AM97" s="54"/>
    </row>
    <row r="98" spans="1:39">
      <c r="A98" s="45" t="str" cm="1">
        <f t="array" ref="A98">IF(H98="PROJECT", CHAR(10) &amp; "- " &amp; _xlfn.TEXTJOIN(CHAR(10) &amp; "- ", TRUE, _xlfn._xlws.FILTER($I$9:$I$1000, ($B$9:$B$1000=B98) * ($H$9:$H$1000="Topic"))), "")</f>
        <v/>
      </c>
      <c r="B98" s="45" t="str">
        <f t="shared" si="47"/>
        <v/>
      </c>
      <c r="C98" s="95"/>
      <c r="D98" s="57"/>
      <c r="E98" s="58"/>
      <c r="F98" s="54"/>
      <c r="G98" s="52"/>
      <c r="H98" s="52"/>
      <c r="I98" s="61"/>
      <c r="J98" s="62"/>
      <c r="K98" s="129" t="str">
        <f t="shared" si="48"/>
        <v/>
      </c>
      <c r="L98" s="103" t="str">
        <f t="shared" si="32"/>
        <v/>
      </c>
      <c r="M98" s="52">
        <v>0</v>
      </c>
      <c r="N98" s="102" t="str">
        <f t="shared" si="33"/>
        <v/>
      </c>
      <c r="O98" s="103" t="str">
        <f t="shared" si="34"/>
        <v/>
      </c>
      <c r="P98" s="52">
        <v>0</v>
      </c>
      <c r="Q98" s="102" t="str">
        <f t="shared" si="35"/>
        <v/>
      </c>
      <c r="R98" s="103" t="str">
        <f t="shared" si="36"/>
        <v/>
      </c>
      <c r="S98" s="52">
        <v>0</v>
      </c>
      <c r="T98" s="102" t="str">
        <f t="shared" si="37"/>
        <v/>
      </c>
      <c r="U98" s="103" t="str">
        <f t="shared" si="38"/>
        <v/>
      </c>
      <c r="V98" s="52">
        <v>0</v>
      </c>
      <c r="W98" s="87" t="str">
        <f t="shared" si="39"/>
        <v/>
      </c>
      <c r="X98" s="103" t="str">
        <f t="shared" si="40"/>
        <v/>
      </c>
      <c r="Y98" s="52">
        <v>0</v>
      </c>
      <c r="Z98" s="56" t="str">
        <f t="shared" si="41"/>
        <v/>
      </c>
      <c r="AA98" s="56" t="str">
        <f t="shared" si="42"/>
        <v/>
      </c>
      <c r="AB98" s="56" t="str">
        <f t="shared" si="43"/>
        <v/>
      </c>
      <c r="AC98" s="56" t="str">
        <f t="shared" si="44"/>
        <v/>
      </c>
      <c r="AD98" s="56" t="str">
        <f t="shared" si="45"/>
        <v/>
      </c>
      <c r="AE98" s="40"/>
      <c r="AF98" s="40"/>
      <c r="AG98" s="40"/>
      <c r="AH98" s="56" t="str">
        <f t="shared" si="46"/>
        <v/>
      </c>
      <c r="AI98" s="54"/>
      <c r="AJ98" s="54"/>
      <c r="AK98" s="54"/>
      <c r="AL98" s="54"/>
      <c r="AM98" s="54"/>
    </row>
    <row r="99" spans="1:39">
      <c r="A99" s="45" t="str" cm="1">
        <f t="array" ref="A99">IF(H99="PROJECT", CHAR(10) &amp; "- " &amp; _xlfn.TEXTJOIN(CHAR(10) &amp; "- ", TRUE, _xlfn._xlws.FILTER($I$9:$I$1000, ($B$9:$B$1000=B99) * ($H$9:$H$1000="Topic"))), "")</f>
        <v/>
      </c>
      <c r="B99" s="45" t="str">
        <f t="shared" si="47"/>
        <v/>
      </c>
      <c r="C99" s="95"/>
      <c r="D99" s="46"/>
      <c r="E99" s="58"/>
      <c r="F99" s="67"/>
      <c r="G99" s="53"/>
      <c r="H99" s="53"/>
      <c r="I99" s="50"/>
      <c r="J99" s="51"/>
      <c r="K99" s="129" t="str">
        <f t="shared" si="48"/>
        <v/>
      </c>
      <c r="L99" s="103" t="str">
        <f t="shared" si="32"/>
        <v/>
      </c>
      <c r="M99" s="53">
        <v>0</v>
      </c>
      <c r="N99" s="102" t="str">
        <f t="shared" si="33"/>
        <v/>
      </c>
      <c r="O99" s="103" t="str">
        <f t="shared" si="34"/>
        <v/>
      </c>
      <c r="P99" s="53">
        <v>0</v>
      </c>
      <c r="Q99" s="102" t="str">
        <f t="shared" si="35"/>
        <v/>
      </c>
      <c r="R99" s="103" t="str">
        <f t="shared" si="36"/>
        <v/>
      </c>
      <c r="S99" s="53">
        <v>0</v>
      </c>
      <c r="T99" s="102" t="str">
        <f t="shared" si="37"/>
        <v/>
      </c>
      <c r="U99" s="103" t="str">
        <f t="shared" si="38"/>
        <v/>
      </c>
      <c r="V99" s="53">
        <v>0</v>
      </c>
      <c r="W99" s="87" t="str">
        <f t="shared" si="39"/>
        <v/>
      </c>
      <c r="X99" s="103" t="str">
        <f t="shared" si="40"/>
        <v/>
      </c>
      <c r="Y99" s="53">
        <v>0</v>
      </c>
      <c r="Z99" s="56" t="str">
        <f t="shared" si="41"/>
        <v/>
      </c>
      <c r="AA99" s="56" t="str">
        <f t="shared" si="42"/>
        <v/>
      </c>
      <c r="AB99" s="56" t="str">
        <f t="shared" si="43"/>
        <v/>
      </c>
      <c r="AC99" s="56" t="str">
        <f t="shared" si="44"/>
        <v/>
      </c>
      <c r="AD99" s="56" t="str">
        <f t="shared" si="45"/>
        <v/>
      </c>
      <c r="AE99" s="40"/>
      <c r="AF99" s="40"/>
      <c r="AG99" s="40"/>
      <c r="AH99" s="56" t="str">
        <f t="shared" si="46"/>
        <v/>
      </c>
      <c r="AI99" s="54"/>
      <c r="AJ99" s="54"/>
      <c r="AK99" s="54"/>
      <c r="AL99" s="54"/>
      <c r="AM99" s="54"/>
    </row>
    <row r="100" spans="1:39">
      <c r="A100" s="45" t="str" cm="1">
        <f t="array" ref="A100">IF(H100="PROJECT", CHAR(10) &amp; "- " &amp; _xlfn.TEXTJOIN(CHAR(10) &amp; "- ", TRUE, _xlfn._xlws.FILTER($I$9:$I$1000, ($B$9:$B$1000=B100) * ($H$9:$H$1000="Topic"))), "")</f>
        <v/>
      </c>
      <c r="B100" s="45" t="str">
        <f t="shared" si="47"/>
        <v/>
      </c>
      <c r="C100" s="95"/>
      <c r="D100" s="57"/>
      <c r="E100" s="58"/>
      <c r="F100" s="54"/>
      <c r="G100" s="52"/>
      <c r="H100" s="52"/>
      <c r="I100" s="61"/>
      <c r="J100" s="62"/>
      <c r="K100" s="129" t="str">
        <f t="shared" si="48"/>
        <v/>
      </c>
      <c r="L100" s="103" t="str">
        <f t="shared" si="32"/>
        <v/>
      </c>
      <c r="M100" s="52">
        <v>0</v>
      </c>
      <c r="N100" s="102" t="str">
        <f t="shared" si="33"/>
        <v/>
      </c>
      <c r="O100" s="103" t="str">
        <f t="shared" si="34"/>
        <v/>
      </c>
      <c r="P100" s="52">
        <v>0</v>
      </c>
      <c r="Q100" s="102" t="str">
        <f t="shared" si="35"/>
        <v/>
      </c>
      <c r="R100" s="103" t="str">
        <f t="shared" si="36"/>
        <v/>
      </c>
      <c r="S100" s="52">
        <v>0</v>
      </c>
      <c r="T100" s="102" t="str">
        <f t="shared" si="37"/>
        <v/>
      </c>
      <c r="U100" s="103" t="str">
        <f t="shared" si="38"/>
        <v/>
      </c>
      <c r="V100" s="52">
        <v>0</v>
      </c>
      <c r="W100" s="87" t="str">
        <f t="shared" si="39"/>
        <v/>
      </c>
      <c r="X100" s="103" t="str">
        <f t="shared" si="40"/>
        <v/>
      </c>
      <c r="Y100" s="52">
        <v>0</v>
      </c>
      <c r="Z100" s="56" t="str">
        <f t="shared" si="41"/>
        <v/>
      </c>
      <c r="AA100" s="56" t="str">
        <f t="shared" si="42"/>
        <v/>
      </c>
      <c r="AB100" s="56" t="str">
        <f t="shared" si="43"/>
        <v/>
      </c>
      <c r="AC100" s="56" t="str">
        <f t="shared" si="44"/>
        <v/>
      </c>
      <c r="AD100" s="56" t="str">
        <f t="shared" si="45"/>
        <v/>
      </c>
      <c r="AE100" s="40"/>
      <c r="AF100" s="40"/>
      <c r="AG100" s="40"/>
      <c r="AH100" s="56" t="str">
        <f t="shared" si="46"/>
        <v/>
      </c>
      <c r="AI100" s="54"/>
      <c r="AJ100" s="54"/>
      <c r="AK100" s="54"/>
      <c r="AL100" s="54"/>
      <c r="AM100" s="54"/>
    </row>
    <row r="101" spans="1:39">
      <c r="A101" s="45" t="str" cm="1">
        <f t="array" ref="A101">IF(H101="PROJECT", CHAR(10) &amp; "- " &amp; _xlfn.TEXTJOIN(CHAR(10) &amp; "- ", TRUE, _xlfn._xlws.FILTER($I$9:$I$1000, ($B$9:$B$1000=B101) * ($H$9:$H$1000="Topic"))), "")</f>
        <v/>
      </c>
      <c r="B101" s="45" t="str">
        <f t="shared" si="47"/>
        <v/>
      </c>
      <c r="C101" s="95"/>
      <c r="D101" s="46"/>
      <c r="E101" s="58"/>
      <c r="F101" s="67"/>
      <c r="G101" s="53"/>
      <c r="H101" s="53"/>
      <c r="I101" s="50"/>
      <c r="J101" s="51"/>
      <c r="K101" s="129" t="str">
        <f t="shared" si="48"/>
        <v/>
      </c>
      <c r="L101" s="103" t="str">
        <f t="shared" si="32"/>
        <v/>
      </c>
      <c r="M101" s="53">
        <v>0</v>
      </c>
      <c r="N101" s="102" t="str">
        <f t="shared" si="33"/>
        <v/>
      </c>
      <c r="O101" s="103" t="str">
        <f t="shared" si="34"/>
        <v/>
      </c>
      <c r="P101" s="53">
        <v>0</v>
      </c>
      <c r="Q101" s="102" t="str">
        <f t="shared" si="35"/>
        <v/>
      </c>
      <c r="R101" s="103" t="str">
        <f t="shared" si="36"/>
        <v/>
      </c>
      <c r="S101" s="53">
        <v>0</v>
      </c>
      <c r="T101" s="102" t="str">
        <f t="shared" si="37"/>
        <v/>
      </c>
      <c r="U101" s="103" t="str">
        <f t="shared" si="38"/>
        <v/>
      </c>
      <c r="V101" s="53">
        <v>0</v>
      </c>
      <c r="W101" s="87" t="str">
        <f t="shared" si="39"/>
        <v/>
      </c>
      <c r="X101" s="103" t="str">
        <f t="shared" si="40"/>
        <v/>
      </c>
      <c r="Y101" s="53">
        <v>0</v>
      </c>
      <c r="Z101" s="56" t="str">
        <f t="shared" si="41"/>
        <v/>
      </c>
      <c r="AA101" s="56" t="str">
        <f t="shared" si="42"/>
        <v/>
      </c>
      <c r="AB101" s="56" t="str">
        <f t="shared" si="43"/>
        <v/>
      </c>
      <c r="AC101" s="56" t="str">
        <f t="shared" si="44"/>
        <v/>
      </c>
      <c r="AD101" s="56" t="str">
        <f t="shared" si="45"/>
        <v/>
      </c>
      <c r="AE101" s="40"/>
      <c r="AF101" s="40"/>
      <c r="AG101" s="40"/>
      <c r="AH101" s="56" t="str">
        <f t="shared" si="46"/>
        <v/>
      </c>
      <c r="AI101" s="54"/>
      <c r="AJ101" s="54"/>
      <c r="AK101" s="54"/>
      <c r="AL101" s="54"/>
      <c r="AM101" s="54"/>
    </row>
    <row r="102" spans="1:39">
      <c r="A102" s="45" t="str" cm="1">
        <f t="array" ref="A102">IF(H102="PROJECT", CHAR(10) &amp; "- " &amp; _xlfn.TEXTJOIN(CHAR(10) &amp; "- ", TRUE, _xlfn._xlws.FILTER($I$9:$I$1000, ($B$9:$B$1000=B102) * ($H$9:$H$1000="Topic"))), "")</f>
        <v/>
      </c>
      <c r="B102" s="45" t="str">
        <f t="shared" si="47"/>
        <v/>
      </c>
      <c r="C102" s="95"/>
      <c r="D102" s="57"/>
      <c r="E102" s="58"/>
      <c r="F102" s="54"/>
      <c r="G102" s="52"/>
      <c r="H102" s="52"/>
      <c r="I102" s="61"/>
      <c r="J102" s="62"/>
      <c r="K102" s="129" t="str">
        <f t="shared" si="48"/>
        <v/>
      </c>
      <c r="L102" s="103" t="str">
        <f t="shared" si="32"/>
        <v/>
      </c>
      <c r="M102" s="52">
        <v>0</v>
      </c>
      <c r="N102" s="102" t="str">
        <f t="shared" si="33"/>
        <v/>
      </c>
      <c r="O102" s="103" t="str">
        <f t="shared" si="34"/>
        <v/>
      </c>
      <c r="P102" s="52">
        <v>0</v>
      </c>
      <c r="Q102" s="102" t="str">
        <f t="shared" si="35"/>
        <v/>
      </c>
      <c r="R102" s="103" t="str">
        <f t="shared" si="36"/>
        <v/>
      </c>
      <c r="S102" s="52">
        <v>0</v>
      </c>
      <c r="T102" s="102" t="str">
        <f t="shared" si="37"/>
        <v/>
      </c>
      <c r="U102" s="103" t="str">
        <f t="shared" si="38"/>
        <v/>
      </c>
      <c r="V102" s="52">
        <v>0</v>
      </c>
      <c r="W102" s="87" t="str">
        <f t="shared" si="39"/>
        <v/>
      </c>
      <c r="X102" s="103" t="str">
        <f t="shared" si="40"/>
        <v/>
      </c>
      <c r="Y102" s="52">
        <v>0</v>
      </c>
      <c r="Z102" s="56" t="str">
        <f t="shared" si="41"/>
        <v/>
      </c>
      <c r="AA102" s="56" t="str">
        <f t="shared" si="42"/>
        <v/>
      </c>
      <c r="AB102" s="56" t="str">
        <f t="shared" si="43"/>
        <v/>
      </c>
      <c r="AC102" s="56" t="str">
        <f t="shared" si="44"/>
        <v/>
      </c>
      <c r="AD102" s="56" t="str">
        <f t="shared" si="45"/>
        <v/>
      </c>
      <c r="AE102" s="40"/>
      <c r="AF102" s="40"/>
      <c r="AG102" s="40"/>
      <c r="AH102" s="56" t="str">
        <f t="shared" si="46"/>
        <v/>
      </c>
      <c r="AI102" s="54"/>
      <c r="AJ102" s="54"/>
      <c r="AK102" s="54"/>
      <c r="AL102" s="54"/>
      <c r="AM102" s="54"/>
    </row>
    <row r="103" spans="1:39">
      <c r="A103" s="45" t="str" cm="1">
        <f t="array" ref="A103">IF(H103="PROJECT", CHAR(10) &amp; "- " &amp; _xlfn.TEXTJOIN(CHAR(10) &amp; "- ", TRUE, _xlfn._xlws.FILTER($I$9:$I$1000, ($B$9:$B$1000=B103) * ($H$9:$H$1000="Topic"))), "")</f>
        <v/>
      </c>
      <c r="B103" s="45" t="str">
        <f t="shared" si="47"/>
        <v/>
      </c>
      <c r="C103" s="95"/>
      <c r="D103" s="46"/>
      <c r="E103" s="58"/>
      <c r="F103" s="67"/>
      <c r="G103" s="53"/>
      <c r="H103" s="53"/>
      <c r="I103" s="50"/>
      <c r="J103" s="51"/>
      <c r="K103" s="129" t="str">
        <f t="shared" si="48"/>
        <v/>
      </c>
      <c r="L103" s="103" t="str">
        <f t="shared" si="32"/>
        <v/>
      </c>
      <c r="M103" s="53">
        <v>0</v>
      </c>
      <c r="N103" s="102" t="str">
        <f t="shared" si="33"/>
        <v/>
      </c>
      <c r="O103" s="103" t="str">
        <f t="shared" si="34"/>
        <v/>
      </c>
      <c r="P103" s="53">
        <v>0</v>
      </c>
      <c r="Q103" s="102" t="str">
        <f t="shared" si="35"/>
        <v/>
      </c>
      <c r="R103" s="103" t="str">
        <f t="shared" si="36"/>
        <v/>
      </c>
      <c r="S103" s="53">
        <v>0</v>
      </c>
      <c r="T103" s="102" t="str">
        <f t="shared" si="37"/>
        <v/>
      </c>
      <c r="U103" s="103" t="str">
        <f t="shared" si="38"/>
        <v/>
      </c>
      <c r="V103" s="53">
        <v>0</v>
      </c>
      <c r="W103" s="87" t="str">
        <f t="shared" si="39"/>
        <v/>
      </c>
      <c r="X103" s="103" t="str">
        <f t="shared" si="40"/>
        <v/>
      </c>
      <c r="Y103" s="53">
        <v>0</v>
      </c>
      <c r="Z103" s="56" t="str">
        <f t="shared" si="41"/>
        <v/>
      </c>
      <c r="AA103" s="56" t="str">
        <f t="shared" si="42"/>
        <v/>
      </c>
      <c r="AB103" s="56" t="str">
        <f t="shared" si="43"/>
        <v/>
      </c>
      <c r="AC103" s="56" t="str">
        <f t="shared" si="44"/>
        <v/>
      </c>
      <c r="AD103" s="56" t="str">
        <f t="shared" si="45"/>
        <v/>
      </c>
      <c r="AE103" s="40"/>
      <c r="AF103" s="40"/>
      <c r="AG103" s="40"/>
      <c r="AH103" s="56" t="str">
        <f t="shared" si="46"/>
        <v/>
      </c>
      <c r="AI103" s="54"/>
      <c r="AJ103" s="54"/>
      <c r="AK103" s="54"/>
      <c r="AL103" s="54"/>
      <c r="AM103" s="54"/>
    </row>
    <row r="104" spans="1:39">
      <c r="A104" s="45" t="str" cm="1">
        <f t="array" ref="A104">IF(H104="PROJECT", CHAR(10) &amp; "- " &amp; _xlfn.TEXTJOIN(CHAR(10) &amp; "- ", TRUE, _xlfn._xlws.FILTER($I$9:$I$1000, ($B$9:$B$1000=B104) * ($H$9:$H$1000="Topic"))), "")</f>
        <v/>
      </c>
      <c r="B104" s="45" t="str">
        <f t="shared" si="47"/>
        <v/>
      </c>
      <c r="C104" s="95"/>
      <c r="D104" s="57"/>
      <c r="E104" s="58"/>
      <c r="F104" s="54"/>
      <c r="G104" s="52"/>
      <c r="H104" s="52"/>
      <c r="I104" s="61"/>
      <c r="J104" s="62"/>
      <c r="K104" s="129" t="str">
        <f t="shared" si="48"/>
        <v/>
      </c>
      <c r="L104" s="103" t="str">
        <f t="shared" si="32"/>
        <v/>
      </c>
      <c r="M104" s="52">
        <v>0</v>
      </c>
      <c r="N104" s="102" t="str">
        <f t="shared" si="33"/>
        <v/>
      </c>
      <c r="O104" s="103" t="str">
        <f t="shared" si="34"/>
        <v/>
      </c>
      <c r="P104" s="52">
        <v>0</v>
      </c>
      <c r="Q104" s="102" t="str">
        <f t="shared" si="35"/>
        <v/>
      </c>
      <c r="R104" s="103" t="str">
        <f t="shared" si="36"/>
        <v/>
      </c>
      <c r="S104" s="52">
        <v>0</v>
      </c>
      <c r="T104" s="102" t="str">
        <f t="shared" si="37"/>
        <v/>
      </c>
      <c r="U104" s="103" t="str">
        <f t="shared" si="38"/>
        <v/>
      </c>
      <c r="V104" s="52">
        <v>0</v>
      </c>
      <c r="W104" s="87" t="str">
        <f t="shared" si="39"/>
        <v/>
      </c>
      <c r="X104" s="103" t="str">
        <f t="shared" si="40"/>
        <v/>
      </c>
      <c r="Y104" s="52">
        <v>0</v>
      </c>
      <c r="Z104" s="56" t="str">
        <f t="shared" si="41"/>
        <v/>
      </c>
      <c r="AA104" s="56" t="str">
        <f t="shared" si="42"/>
        <v/>
      </c>
      <c r="AB104" s="56" t="str">
        <f t="shared" si="43"/>
        <v/>
      </c>
      <c r="AC104" s="56" t="str">
        <f t="shared" si="44"/>
        <v/>
      </c>
      <c r="AD104" s="56" t="str">
        <f t="shared" si="45"/>
        <v/>
      </c>
      <c r="AE104" s="40"/>
      <c r="AF104" s="40"/>
      <c r="AG104" s="40"/>
      <c r="AH104" s="56" t="str">
        <f t="shared" si="46"/>
        <v/>
      </c>
      <c r="AI104" s="54"/>
      <c r="AJ104" s="54"/>
      <c r="AK104" s="54"/>
      <c r="AL104" s="54"/>
      <c r="AM104" s="54"/>
    </row>
    <row r="105" spans="1:39">
      <c r="A105" s="45" t="str" cm="1">
        <f t="array" ref="A105">IF(H105="PROJECT", CHAR(10) &amp; "- " &amp; _xlfn.TEXTJOIN(CHAR(10) &amp; "- ", TRUE, _xlfn._xlws.FILTER($I$9:$I$1000, ($B$9:$B$1000=B105) * ($H$9:$H$1000="Topic"))), "")</f>
        <v/>
      </c>
      <c r="B105" s="45" t="str">
        <f t="shared" si="47"/>
        <v/>
      </c>
      <c r="C105" s="95"/>
      <c r="D105" s="46"/>
      <c r="E105" s="58"/>
      <c r="F105" s="67"/>
      <c r="G105" s="53"/>
      <c r="H105" s="53"/>
      <c r="I105" s="50"/>
      <c r="J105" s="51"/>
      <c r="K105" s="129" t="str">
        <f t="shared" si="48"/>
        <v/>
      </c>
      <c r="L105" s="103" t="str">
        <f t="shared" ref="L105:L136" si="49">IF(OR(H105="Topic", UPPER(H105)="PROJECT"),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IF(UPPER(H105)="PROJECT", "building a PROJECT: " &amp; I105 &amp; ". Topics applied in this project: " &amp; A105 &amp; ". Project objective: " &amp; J105, "learning: " &amp; I105 &amp; ". Topic details: " &amp; J105)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IF(G105="Beginner", "Evaluate based on basic class instantiation, attribute assignment, and simple method calls. Do NOT expect advanced inheritance or decorators unless explicitly demanded.", IF(G105="Intermediate", "Expect clean class definitions, proper encapsulation, instance initialization via init, and correct use of self. Enforce basic OOP principles.", "Expect advanced OOP architecture using abstract base classes (abc.ABC), inheritance, polymorphism, custom exceptions, and composition over inheritance.")) &amp; " | " &amp;
_xlfn._LONGTEXT("[CODE_QUALITY_POLICIES]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&amp; IF(AJ105&lt;&gt;"", "[MENTOR CONTEXT ALERT] Be aware of the following infrastructure limitation for this exercise: " &amp; AJ105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IF(UPPER(H105)="PROJECT",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IF(UPPER(H105)="PROJECT",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IF(UPPER(H105)="PROJECT", "Project #", "Topic #") &amp; F105 &amp; " | Practice | " &amp; IF($I$3="", $I$2, $I$2&amp; " - " &amp;$I$3) &amp; " | 📊 Level: " &amp; G105 &amp; CHAR(10) &amp; "**" &amp; IF(UPPER(H105)="PROJECT", "Project", "Topic") &amp; ":** " &amp; I105 &amp; CHAR(10) &amp; "---" &amp; CHAR(10) &amp; " | " &amp;
"[FOOTER RULE - STRICT] End your response with: '--- ⚡ *Coding5s Mentor System — Eliminating Epistemic Debt*' | ","")</f>
        <v/>
      </c>
      <c r="M105" s="53">
        <v>0</v>
      </c>
      <c r="N105" s="102" t="str">
        <f t="shared" ref="N105:N136" si="50">IF(H105="Topic",
"[ROLE] Careless " &amp; $I$2 &amp; " Developer | " &amp;
"[TASK] Generate debugging challenges in " &amp; $I$2 &amp; " | | " &amp;
"[TOPIC] " &amp; I105 &amp; " | | " &amp;
"[LEVEL] " &amp; G105 &amp; " | | " &amp;
"[COUNT] " &amp; D105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F105 &amp; " | Stage 2 🐛 Debug | " &amp; IF($I$3="", $I$2, $I$2&amp; " - " &amp;$I$3) &amp; " | 📊 Level: " &amp; G105 &amp; " | 🌐 Coding5s.com" &amp; CHAR(10) &amp; "Concept: " &amp; J105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native assert statements or standard unittest.TestCase classes. | " &amp;
"[DEPENDENCY_MANAGEMENT_RULE] Requires customtkinter library. Standalone scripts must assume customtkinter is installed via pip. | " &amp;
"[CODE CONSTRAINTS] Each challenge MUST include: EXACTLY 1 class definition, 1 init method, at least 1 instance method, and 1 class instantiation with method call. - " &amp; IF(G105="Beginner", "5–15", IF(G105="Intermediate", "10–25", "15–35")) &amp; " lines of EXECUTABLE broken Python code per challenge (STRICT: Do NOT count blank lines). All logic MUST be encapsulated inside class methods.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D105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IF(H105="PROJECT", AA105, ""))</f>
        <v/>
      </c>
      <c r="O105" s="103" t="str">
        <f t="shared" ref="O105:O136" si="51">IF(OR(H105="Topic", UPPER(H105)="PROJECT"),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IF(UPPER(H105)="PROJECT", "PROJECT: " &amp; I105 &amp; ". Topics involved: " &amp; A105 &amp; ". Project objective: " &amp; J105, "TOPIC: " &amp; I105 &amp; ". Topic details: " &amp; J105)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IF(UPPER(H105)="PROJECT", "Project #", "Topic #") &amp; F105 &amp; " | Debug | " &amp; IF($I$3="", $I$2, $I$2&amp; " - " &amp;$I$3) &amp; " | 📊 Level: " &amp; G105 &amp; CHAR(10) &amp; "**" &amp; IF(UPPER(H105)="PROJECT", "Project", "Topic") &amp; ":** " &amp; I105 &amp; CHAR(10) &amp; "---" &amp; CHAR(10) &amp; " | " &amp;
_xlfn._LONGTEXT("[CORE_QUALITY_POLICY]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05" s="53">
        <v>0</v>
      </c>
      <c r="Q105" s="102" t="str">
        <f t="shared" ref="Q105:Q136" si="52">IF(H105="Topic",
"[ROLE] Tech Lead | " &amp;
"[TASK] Assign incomplete " &amp; $I$2 &amp; " script challenges | " &amp;
"[TOPIC] " &amp; I105 &amp; " | " &amp;
"[LEVEL] " &amp; G105 &amp; " | " &amp;
"[COUNT] " &amp; D105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F105 &amp; " | Stage 3 🧩 Complete | " &amp; IF($I$3="", $I$2, $I$2&amp; " - " &amp;$I$3) &amp; " | 📊 Level: " &amp; G105 &amp; " | 🌐 Coding5s.com" &amp; CHAR(10) &amp; "**Concept:** " &amp; J105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Requires 'customtkinter' as the core UI dependency across all topics. | " &amp;
"[TESTING_FRAMEWORK_PROTOCOL] Simple console output verification via standard print() statements. | " &amp;
"[CHALLENGE_CONSTRAINTS_POLICY] For Beginner level, # TODO MUST be atomic (1-2 simple lines max, e.g., basic attribute assignment, primitive print call, or direct comparison). NO complex buffer redirections or string parsing. - " &amp; IF(G105="Beginner","5–15", IF(G105="Intermediate","10–25","15–35")) &amp; " 5–15 lines of EXECUTABLE base code. Code outside # TODO MUST be 100% valid and readable. All code MUST be encapsulated within a class structure; NEVER use flat linear scripts.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D105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I105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IF(G105="Beginner", "Clear explicit hint (no code) | ", IF(G105="Intermediate",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IF(H105="PROJECT", AB105, ""))</f>
        <v/>
      </c>
      <c r="R105" s="103" t="str">
        <f t="shared" ref="R105:R136" si="53">IF(OR(H105="Topic", UPPER(H105)="PROJECT"),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IF(UPPER(H105)="PROJECT", "PROJECT: " &amp; I105 &amp; ". Topics involved: " &amp; A105 &amp; ". Project objective: " &amp; J105, "TOPIC: " &amp; I105 &amp; ". Topic details: " &amp; J105)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IF(UPPER(H105)="PROJECT", "Project #", "Topic #") &amp; F105 &amp; " | Complete | " &amp; IF($I$3="", $I$2, $I$2&amp; " - " &amp;$I$3) &amp; " | 📊 Level: " &amp; G105 &amp; CHAR(10) &amp; "**" &amp; IF(UPPER(H105)="PROJECT", "Project", "Topic") &amp; ":** " &amp; I105 &amp; CHAR(10) &amp; "---" &amp; CHAR(10) &amp; " | " &amp;
_xlfn._LONGTEXT("[CORE_QUALITY_POLICY]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05" s="53">
        <v>0</v>
      </c>
      <c r="T105" s="102" t="str">
        <f t="shared" ref="T105:T136" si="54">IF(H105="Topic",
"[ROLE] Tech Lead | " &amp;
"[TASK] Provide intentionally messy but functional code for learning debugging and improvement | " &amp;
"[TOPIC] " &amp; I105 &amp; " | " &amp;
"[LEVEL] " &amp; G105 &amp; " | " &amp;
"[COUNT] " &amp; D105 &amp; " challenges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F105 &amp; " | Stage 4 🧹 Refactor | " &amp; IF($I$3="", $I$2, $I$2&amp; " - " &amp;$I$3) &amp; " | 📊 Level: " &amp; G105 &amp; " | 🌐 Coding5s.com" &amp; CHAR(10) &amp; "**Concept:** " &amp; J105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D105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IF(G105="Beginner", "5–15", IF(G105="Intermediate",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IF(H105="PROJECT", AC105, ""))</f>
        <v/>
      </c>
      <c r="U105" s="103" t="str">
        <f t="shared" ref="U105:U136" si="55">IF(OR(H105="Topic", UPPER(H105)="PROJECT"),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IF(UPPER(H105)="PROJECT", "PROJECT: " &amp; I105 &amp; ". Topics involved: " &amp; A105 &amp; ". Project objective: " &amp; J105, "TOPIC: " &amp; I105 &amp; ". Topic details: " &amp; J105)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IF(UPPER(H105)="PROJECT", "Project #", "Topic #") &amp; F105 &amp; " | Refactor | " &amp; IF($I$3="", $I$2, $I$2&amp; " - " &amp;$I$3) &amp; " | 📊 Level: " &amp; G105 &amp; CHAR(10) &amp; "**" &amp; IF(UPPER(H105)="PROJECT", "Project", "Topic") &amp; ":** " &amp; I105 &amp; CHAR(10) &amp; "---" &amp; CHAR(10) &amp; " | " &amp;
"[PYTHON QUALITY RULE - STRICT] Code MUST adhere strictly to PEP 8 guidelines. Use PascalCase for Classes, snake_case for methods/variables. Enforce solid OOP patterns: encapsulation, inheritance, and object composition.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05" s="53">
        <v>0</v>
      </c>
      <c r="W105" s="87" t="str">
        <f t="shared" ref="W105:W136" si="56">IF(H105="Topic",
"[ROLE] Tech Product Manager assigning a " &amp; $I$2 &amp; " Jira Ticket | " &amp;
"[TASK] Provide a guided implementation exercise with full solution for learning purposes | " &amp;
"[TOPIC] " &amp; I105 &amp; " | " &amp;
"[LEVEL] " &amp; G105 &amp; "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F105 &amp; " | Stage 5 | " &amp; IF($I$3="", $I$2, $I$2&amp; " - " &amp;$I$3) &amp; " | 📊 Level: " &amp; G105 &amp; " | 🌐 Coding5s.com" &amp; CHAR(10) &amp; "**Concept:** " &amp; J105 &amp; CHAR(10) &amp; "---" &amp; CHAR(10) &amp; " | " &amp;
"[FUNCTIONAL_STRUCTURE_POLICY] Rule: " &amp; IF(G105="Beginner", "Use simple scripts or minimal functions. ", IF(G105="Intermediate",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IF(G105="Beginner", "10–20", IF(G105="Intermediate", "15–30", "25–40")) &amp; " lines of EXECUTABLE code (STRICT) - V1.1 MUST be between " &amp; IF(G105="Beginner", "15–30", IF(G105="Intermediate",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IF(H105="PROJECT", AD105, ""))</f>
        <v/>
      </c>
      <c r="X105" s="103" t="str">
        <f t="shared" ref="X105:X136" si="57">IF(OR(H105="Topic", UPPER(H105)="PROJECT"),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IF(UPPER(H105)="PROJECT", "PROJECT: " &amp; I105 &amp; ". Topics integrated: " &amp; A105 &amp; ". Business Goal: " &amp; J105, "TOPIC: " &amp; I105 &amp; ". Goal: " &amp; J105)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IF(UPPER(H105)="PROJECT", "Project #", "Topic #") &amp; F105 &amp; " | Extend | " &amp; IF($I$3="", $I$2, $I$2&amp; " - " &amp;$I$3) &amp; " | 📊 Level: " &amp; G105 &amp; CHAR(10) &amp; "**" &amp; IF(UPPER(H105)="PROJECT", "Project", "Topic") &amp; ":** " &amp; I105 &amp; CHAR(10) &amp; "---" &amp; CHAR(10) &amp; " | " &amp;
_xlfn._LONGTEXT("[CODE_QUALITY_PROTOCOL] Code MUST adhere strictly to PEP 8 guidelines. Use PascalCase for Classes, snake_case for methods/variables. Enforce robust OOP architecture, design patterns (Factory, Strategy, Singleton), and abstract base classes using the abc m","odule.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05" s="53">
        <v>0</v>
      </c>
      <c r="Z105" s="56" t="str">
        <f t="shared" ref="Z105:Z136" si="58">IF(H105&lt;&gt;"PROJECT","",
"[TASK] Teach through a practical " &amp; $I$2 &amp; " - " &amp; $I$3 &amp; " project following the micro-learning methodology, acting as a supportive tutor, creating a project about  " &amp; I105 &amp; " | " &amp;
"[TOPICS USED] " &amp; A105 &amp; " | " &amp;
"[LEVEL] " &amp; G105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Must include 'import customtkinter as ctk' on a separate top-level line before any class declaration.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 &amp;
"[DATA ROBUSTNESS RULE] Handle real-world data safely | " &amp;
"[CODE CONSTRAINTS] MUST be between " &amp; IF(G105="Beginner", "25–40", IF(G105="Intermediate",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F105 &amp; " | Stage 1 | " &amp; IF($I$3="", $I$2, $I$2&amp; " - " &amp;$I$3) &amp; " | 📊 Level: " &amp; G105 &amp; " | 🌐 Coding5s.com" &amp; CHAR(10) &amp; "**Project:** " &amp; J105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5" s="56" t="str">
        <f t="shared" ref="AA105:AA136" si="59">IF(H105&lt;&gt;"PROJECT","",
"[ROLE] Careless " &amp; $I$2 &amp; " Developer | " &amp;
"[TASK] Generate debugging project in " &amp; $I$2 &amp; " | " &amp;
"[PROJECT] " &amp; I105 &amp; " | " &amp;
"[TOPICS USED] " &amp; A105 &amp; " | " &amp;
"[LEVEL] " &amp; G105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F105 &amp; " | Stage 2 | " &amp; IF($I$3="", $I$2, $I$2&amp; " - " &amp;$I$3) &amp; " | 📊 Level: " &amp; G105 &amp; " | 🌐 Coding5s.com" &amp; CHAR(10) &amp; "Project: " &amp; J105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AE103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IF(G105="Beginner", "25–40", IF(G105="Intermediate", "30–60", "40–100")) &amp; " lines of EXECUTABLE code (STRICT: Do NOT count blank lines towards this limit) - Multi-step flow - 2–4 functions ONLY - main() as entry point " &amp; IF(G105&lt;&gt;"Advanced",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5" s="56" t="str">
        <f t="shared" ref="AB105:AB136" si="60">IF(H105&lt;&gt;"PROJECT","",
"[ROLE] Tech Lead | " &amp;
"[TASK] Assign incomplete project script | " &amp;
"[PROJECT] " &amp; I105 &amp; " | " &amp;
"[TOPICS USED] " &amp; A105 &amp; " | " &amp;
"[LEVEL] " &amp; G105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F105 &amp; " | Stage 3 | " &amp; IF($I$3="", $I$2, $I$2&amp; " - " &amp;$I$3) &amp; " | 📊 Level: " &amp; G105 &amp; " | 🌐 Coding5s.com" &amp; CHAR(10) &amp; "**Project:** " &amp; J105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IF(G105="Beginner","25–40", IF(G105="Intermediate","30–60","40–100")) &amp; " Class-based object architecture. Require at least 1 class with internal state management. Logic integration located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5" s="56" t="str">
        <f t="shared" ref="AC105:AC136" si="61">IF(H105&lt;&gt;"PROJECT","",
"[ROLE] Tech Lead | " &amp;
"[TASK] Provide a messy but functional project for refactoring | " &amp;
"[PROJECT] " &amp; I105 &amp; " | " &amp;
"[TOPICS USED] " &amp; A105 &amp; " | " &amp;
"[LEVEL] " &amp; G105 &amp; " | " &amp;
"[PERSONA RULE] Act as a Tech Lead. A junior wrote this working but messy code. Tone: professional but exhausted | " &amp;
"[HEADER RULE - STRICT] You MUST start your entire response EXACTLY with this markdown block (do not print anything before it):" &amp; CHAR(10) &amp; "### 🚀 Project #" &amp; F105 &amp; " | Stage 4 | " &amp; IF($I$3="", $I$2, $I$2&amp; " - " &amp;$I$3) &amp; " | 📊 Level: " &amp; G105 &amp; " | 🌐 Coding5s.com" &amp; CHAR(10) &amp; "**Project:** " &amp; J105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IF(G105="Beginner", "25–40", IF(G105="Intermediate",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5" s="56" t="str">
        <f t="shared" ref="AD105:AD136" si="62">IF(H105&lt;&gt;"PROJECT","",
"[ROLE] Tech Product Manager assigning a " &amp; $I$2 &amp; " Jira Ticket | " &amp;
"[TASK] Provide a guided project implementation with full solution | " &amp;
"[PROJECT] " &amp; I105 &amp; " | " &amp;
"[TOPICS USED] " &amp; A105 &amp; " | " &amp;
"[LEVEL] " &amp; G105 &amp; " | " &amp;
"[PERSONA RULE] Act as a professional Tech Product Manager defining a project ticket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"[HEADER RULE - STRICT] You MUST start your entire response EXACTLY with this markdown block (do not print anything before it):" &amp; CHAR(10) &amp; "### 🚀 Project #" &amp; F105 &amp; " | Stage 5 | " &amp; IF($I$3="", $I$2, $I$2&amp; " - " &amp;$I$3) &amp; " | 📊 Level: " &amp; G105 &amp; " | 🌐 Coding5s.com" &amp; CHAR(10) &amp; "**Project:** " &amp; J105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IF(G105="Beginner", "20–35", IF(G105="Intermediate", "30–50", "45–70")) &amp; " lines of EXECUTABLE code (STRICT) - V1.1 MUST be between " &amp; IF(G105="Beginner", "30–50", IF(G105="Intermediate",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IF(G105="Beginner", "Avoid complex structure. ", IF(G105="Intermediate",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5" s="40"/>
      <c r="AF105" s="40"/>
      <c r="AG105" s="40"/>
      <c r="AH105" s="56" t="str">
        <f t="shared" ref="AH105:AH136" si="63">IF(AE105=$B$6,AG105,"")</f>
        <v/>
      </c>
      <c r="AI105" s="54"/>
      <c r="AJ105" s="54"/>
      <c r="AK105" s="54"/>
      <c r="AL105" s="54"/>
      <c r="AM105" s="54"/>
    </row>
    <row r="106" spans="1:39">
      <c r="A106" s="45" t="str" cm="1">
        <f t="array" ref="A106">IF(H106="PROJECT", CHAR(10) &amp; "- " &amp; _xlfn.TEXTJOIN(CHAR(10) &amp; "- ", TRUE, _xlfn._xlws.FILTER($I$9:$I$1000, ($B$9:$B$1000=B106) * ($H$9:$H$1000="Topic"))), "")</f>
        <v/>
      </c>
      <c r="B106" s="45" t="str">
        <f t="shared" si="47"/>
        <v/>
      </c>
      <c r="C106" s="95"/>
      <c r="D106" s="57"/>
      <c r="E106" s="58"/>
      <c r="F106" s="54"/>
      <c r="G106" s="52"/>
      <c r="H106" s="52"/>
      <c r="I106" s="61"/>
      <c r="J106" s="62"/>
      <c r="K106" s="129" t="str">
        <f t="shared" si="48"/>
        <v/>
      </c>
      <c r="L106" s="103" t="str">
        <f t="shared" si="49"/>
        <v/>
      </c>
      <c r="M106" s="52">
        <v>0</v>
      </c>
      <c r="N106" s="102" t="str">
        <f t="shared" si="50"/>
        <v/>
      </c>
      <c r="O106" s="103" t="str">
        <f t="shared" si="51"/>
        <v/>
      </c>
      <c r="P106" s="52">
        <v>0</v>
      </c>
      <c r="Q106" s="102" t="str">
        <f t="shared" si="52"/>
        <v/>
      </c>
      <c r="R106" s="103" t="str">
        <f t="shared" si="53"/>
        <v/>
      </c>
      <c r="S106" s="52">
        <v>0</v>
      </c>
      <c r="T106" s="102" t="str">
        <f t="shared" si="54"/>
        <v/>
      </c>
      <c r="U106" s="103" t="str">
        <f t="shared" si="55"/>
        <v/>
      </c>
      <c r="V106" s="52">
        <v>0</v>
      </c>
      <c r="W106" s="87" t="str">
        <f t="shared" si="56"/>
        <v/>
      </c>
      <c r="X106" s="103" t="str">
        <f t="shared" si="57"/>
        <v/>
      </c>
      <c r="Y106" s="52">
        <v>0</v>
      </c>
      <c r="Z106" s="56" t="str">
        <f t="shared" si="58"/>
        <v/>
      </c>
      <c r="AA106" s="56" t="str">
        <f t="shared" si="59"/>
        <v/>
      </c>
      <c r="AB106" s="56" t="str">
        <f t="shared" si="60"/>
        <v/>
      </c>
      <c r="AC106" s="56" t="str">
        <f t="shared" si="61"/>
        <v/>
      </c>
      <c r="AD106" s="56" t="str">
        <f t="shared" si="62"/>
        <v/>
      </c>
      <c r="AE106" s="40"/>
      <c r="AF106" s="40"/>
      <c r="AG106" s="40"/>
      <c r="AH106" s="56" t="str">
        <f t="shared" si="63"/>
        <v/>
      </c>
      <c r="AI106" s="54"/>
      <c r="AJ106" s="54"/>
      <c r="AK106" s="54"/>
      <c r="AL106" s="54"/>
      <c r="AM106" s="54"/>
    </row>
    <row r="107" spans="1:39">
      <c r="A107" s="45" t="str" cm="1">
        <f t="array" ref="A107">IF(H107="PROJECT", CHAR(10) &amp; "- " &amp; _xlfn.TEXTJOIN(CHAR(10) &amp; "- ", TRUE, _xlfn._xlws.FILTER($I$9:$I$1000, ($B$9:$B$1000=B107) * ($H$9:$H$1000="Topic"))), "")</f>
        <v/>
      </c>
      <c r="B107" s="45" t="str">
        <f t="shared" si="47"/>
        <v/>
      </c>
      <c r="C107" s="95"/>
      <c r="D107" s="46"/>
      <c r="E107" s="58"/>
      <c r="F107" s="67"/>
      <c r="G107" s="53"/>
      <c r="H107" s="53"/>
      <c r="I107" s="50"/>
      <c r="J107" s="51"/>
      <c r="K107" s="129" t="str">
        <f t="shared" si="48"/>
        <v/>
      </c>
      <c r="L107" s="103" t="str">
        <f t="shared" si="49"/>
        <v/>
      </c>
      <c r="M107" s="53">
        <v>0</v>
      </c>
      <c r="N107" s="102" t="str">
        <f t="shared" si="50"/>
        <v/>
      </c>
      <c r="O107" s="103" t="str">
        <f t="shared" si="51"/>
        <v/>
      </c>
      <c r="P107" s="53">
        <v>0</v>
      </c>
      <c r="Q107" s="102" t="str">
        <f t="shared" si="52"/>
        <v/>
      </c>
      <c r="R107" s="103" t="str">
        <f t="shared" si="53"/>
        <v/>
      </c>
      <c r="S107" s="53">
        <v>0</v>
      </c>
      <c r="T107" s="102" t="str">
        <f t="shared" si="54"/>
        <v/>
      </c>
      <c r="U107" s="103" t="str">
        <f t="shared" si="55"/>
        <v/>
      </c>
      <c r="V107" s="53">
        <v>0</v>
      </c>
      <c r="W107" s="87" t="str">
        <f t="shared" si="56"/>
        <v/>
      </c>
      <c r="X107" s="103" t="str">
        <f t="shared" si="57"/>
        <v/>
      </c>
      <c r="Y107" s="53">
        <v>0</v>
      </c>
      <c r="Z107" s="56" t="str">
        <f t="shared" si="58"/>
        <v/>
      </c>
      <c r="AA107" s="56" t="str">
        <f t="shared" si="59"/>
        <v/>
      </c>
      <c r="AB107" s="56" t="str">
        <f t="shared" si="60"/>
        <v/>
      </c>
      <c r="AC107" s="56" t="str">
        <f t="shared" si="61"/>
        <v/>
      </c>
      <c r="AD107" s="56" t="str">
        <f t="shared" si="62"/>
        <v/>
      </c>
      <c r="AE107" s="40"/>
      <c r="AF107" s="40"/>
      <c r="AG107" s="40"/>
      <c r="AH107" s="56" t="str">
        <f t="shared" si="63"/>
        <v/>
      </c>
      <c r="AI107" s="54"/>
      <c r="AJ107" s="54"/>
      <c r="AK107" s="54"/>
      <c r="AL107" s="54"/>
      <c r="AM107" s="54"/>
    </row>
    <row r="108" spans="1:39">
      <c r="A108" s="45" t="str" cm="1">
        <f t="array" ref="A108">IF(H108="PROJECT", CHAR(10) &amp; "- " &amp; _xlfn.TEXTJOIN(CHAR(10) &amp; "- ", TRUE, _xlfn._xlws.FILTER($I$9:$I$1000, ($B$9:$B$1000=B108) * ($H$9:$H$1000="Topic"))), "")</f>
        <v/>
      </c>
      <c r="B108" s="45" t="str">
        <f t="shared" si="47"/>
        <v/>
      </c>
      <c r="C108" s="95"/>
      <c r="D108" s="57"/>
      <c r="E108" s="58"/>
      <c r="F108" s="54"/>
      <c r="G108" s="52"/>
      <c r="H108" s="52"/>
      <c r="I108" s="61"/>
      <c r="J108" s="62"/>
      <c r="K108" s="129" t="str">
        <f t="shared" si="48"/>
        <v/>
      </c>
      <c r="L108" s="103" t="str">
        <f t="shared" si="49"/>
        <v/>
      </c>
      <c r="M108" s="52">
        <v>0</v>
      </c>
      <c r="N108" s="102" t="str">
        <f t="shared" si="50"/>
        <v/>
      </c>
      <c r="O108" s="103" t="str">
        <f t="shared" si="51"/>
        <v/>
      </c>
      <c r="P108" s="52">
        <v>0</v>
      </c>
      <c r="Q108" s="102" t="str">
        <f t="shared" si="52"/>
        <v/>
      </c>
      <c r="R108" s="103" t="str">
        <f t="shared" si="53"/>
        <v/>
      </c>
      <c r="S108" s="52">
        <v>0</v>
      </c>
      <c r="T108" s="102" t="str">
        <f t="shared" si="54"/>
        <v/>
      </c>
      <c r="U108" s="103" t="str">
        <f t="shared" si="55"/>
        <v/>
      </c>
      <c r="V108" s="52">
        <v>0</v>
      </c>
      <c r="W108" s="87" t="str">
        <f t="shared" si="56"/>
        <v/>
      </c>
      <c r="X108" s="103" t="str">
        <f t="shared" si="57"/>
        <v/>
      </c>
      <c r="Y108" s="52">
        <v>0</v>
      </c>
      <c r="Z108" s="56" t="str">
        <f t="shared" si="58"/>
        <v/>
      </c>
      <c r="AA108" s="56" t="str">
        <f t="shared" si="59"/>
        <v/>
      </c>
      <c r="AB108" s="56" t="str">
        <f t="shared" si="60"/>
        <v/>
      </c>
      <c r="AC108" s="56" t="str">
        <f t="shared" si="61"/>
        <v/>
      </c>
      <c r="AD108" s="56" t="str">
        <f t="shared" si="62"/>
        <v/>
      </c>
      <c r="AE108" s="40"/>
      <c r="AF108" s="40"/>
      <c r="AG108" s="40"/>
      <c r="AH108" s="56" t="str">
        <f t="shared" si="63"/>
        <v/>
      </c>
      <c r="AI108" s="54"/>
      <c r="AJ108" s="54"/>
      <c r="AK108" s="54"/>
      <c r="AL108" s="54"/>
      <c r="AM108" s="54"/>
    </row>
    <row r="109" spans="1:39">
      <c r="A109" s="45" t="str" cm="1">
        <f t="array" ref="A109">IF(H109="PROJECT", CHAR(10) &amp; "- " &amp; _xlfn.TEXTJOIN(CHAR(10) &amp; "- ", TRUE, _xlfn._xlws.FILTER($I$9:$I$1000, ($B$9:$B$1000=B109) * ($H$9:$H$1000="Topic"))), "")</f>
        <v/>
      </c>
      <c r="B109" s="45" t="str">
        <f t="shared" si="47"/>
        <v/>
      </c>
      <c r="C109" s="95"/>
      <c r="D109" s="46"/>
      <c r="E109" s="58"/>
      <c r="F109" s="67"/>
      <c r="G109" s="53"/>
      <c r="H109" s="53"/>
      <c r="I109" s="50"/>
      <c r="J109" s="51"/>
      <c r="K109" s="129" t="str">
        <f t="shared" si="48"/>
        <v/>
      </c>
      <c r="L109" s="103" t="str">
        <f t="shared" si="49"/>
        <v/>
      </c>
      <c r="M109" s="53">
        <v>0</v>
      </c>
      <c r="N109" s="102" t="str">
        <f t="shared" si="50"/>
        <v/>
      </c>
      <c r="O109" s="103" t="str">
        <f t="shared" si="51"/>
        <v/>
      </c>
      <c r="P109" s="53">
        <v>0</v>
      </c>
      <c r="Q109" s="102" t="str">
        <f t="shared" si="52"/>
        <v/>
      </c>
      <c r="R109" s="103" t="str">
        <f t="shared" si="53"/>
        <v/>
      </c>
      <c r="S109" s="53">
        <v>0</v>
      </c>
      <c r="T109" s="102" t="str">
        <f t="shared" si="54"/>
        <v/>
      </c>
      <c r="U109" s="103" t="str">
        <f t="shared" si="55"/>
        <v/>
      </c>
      <c r="V109" s="53">
        <v>0</v>
      </c>
      <c r="W109" s="87" t="str">
        <f t="shared" si="56"/>
        <v/>
      </c>
      <c r="X109" s="103" t="str">
        <f t="shared" si="57"/>
        <v/>
      </c>
      <c r="Y109" s="53">
        <v>0</v>
      </c>
      <c r="Z109" s="56" t="str">
        <f t="shared" si="58"/>
        <v/>
      </c>
      <c r="AA109" s="56" t="str">
        <f t="shared" si="59"/>
        <v/>
      </c>
      <c r="AB109" s="56" t="str">
        <f t="shared" si="60"/>
        <v/>
      </c>
      <c r="AC109" s="56" t="str">
        <f t="shared" si="61"/>
        <v/>
      </c>
      <c r="AD109" s="56" t="str">
        <f t="shared" si="62"/>
        <v/>
      </c>
      <c r="AE109" s="40"/>
      <c r="AF109" s="40"/>
      <c r="AG109" s="40"/>
      <c r="AH109" s="56" t="str">
        <f t="shared" si="63"/>
        <v/>
      </c>
      <c r="AI109" s="54"/>
      <c r="AJ109" s="54"/>
      <c r="AK109" s="54"/>
      <c r="AL109" s="54"/>
      <c r="AM109" s="54"/>
    </row>
    <row r="110" spans="1:39">
      <c r="A110" s="45" t="str" cm="1">
        <f t="array" ref="A110">IF(H110="PROJECT", CHAR(10) &amp; "- " &amp; _xlfn.TEXTJOIN(CHAR(10) &amp; "- ", TRUE, _xlfn._xlws.FILTER($I$9:$I$1000, ($B$9:$B$1000=B110) * ($H$9:$H$1000="Topic"))), "")</f>
        <v/>
      </c>
      <c r="B110" s="45" t="str">
        <f t="shared" si="47"/>
        <v/>
      </c>
      <c r="C110" s="95"/>
      <c r="D110" s="57"/>
      <c r="E110" s="58"/>
      <c r="F110" s="54"/>
      <c r="G110" s="52"/>
      <c r="H110" s="52"/>
      <c r="I110" s="61"/>
      <c r="J110" s="62"/>
      <c r="K110" s="129" t="str">
        <f t="shared" si="48"/>
        <v/>
      </c>
      <c r="L110" s="103" t="str">
        <f t="shared" si="49"/>
        <v/>
      </c>
      <c r="M110" s="52">
        <v>0</v>
      </c>
      <c r="N110" s="102" t="str">
        <f t="shared" si="50"/>
        <v/>
      </c>
      <c r="O110" s="103" t="str">
        <f t="shared" si="51"/>
        <v/>
      </c>
      <c r="P110" s="52">
        <v>0</v>
      </c>
      <c r="Q110" s="102" t="str">
        <f t="shared" si="52"/>
        <v/>
      </c>
      <c r="R110" s="103" t="str">
        <f t="shared" si="53"/>
        <v/>
      </c>
      <c r="S110" s="52">
        <v>0</v>
      </c>
      <c r="T110" s="102" t="str">
        <f t="shared" si="54"/>
        <v/>
      </c>
      <c r="U110" s="103" t="str">
        <f t="shared" si="55"/>
        <v/>
      </c>
      <c r="V110" s="52">
        <v>0</v>
      </c>
      <c r="W110" s="87" t="str">
        <f t="shared" si="56"/>
        <v/>
      </c>
      <c r="X110" s="103" t="str">
        <f t="shared" si="57"/>
        <v/>
      </c>
      <c r="Y110" s="52">
        <v>0</v>
      </c>
      <c r="Z110" s="56" t="str">
        <f t="shared" si="58"/>
        <v/>
      </c>
      <c r="AA110" s="56" t="str">
        <f t="shared" si="59"/>
        <v/>
      </c>
      <c r="AB110" s="56" t="str">
        <f t="shared" si="60"/>
        <v/>
      </c>
      <c r="AC110" s="56" t="str">
        <f t="shared" si="61"/>
        <v/>
      </c>
      <c r="AD110" s="56" t="str">
        <f t="shared" si="62"/>
        <v/>
      </c>
      <c r="AE110" s="40"/>
      <c r="AF110" s="40"/>
      <c r="AG110" s="40"/>
      <c r="AH110" s="56" t="str">
        <f t="shared" si="63"/>
        <v/>
      </c>
      <c r="AI110" s="54"/>
      <c r="AJ110" s="54"/>
      <c r="AK110" s="54"/>
      <c r="AL110" s="54"/>
      <c r="AM110" s="54"/>
    </row>
    <row r="111" spans="1:39">
      <c r="A111" s="45" t="str" cm="1">
        <f t="array" ref="A111">IF(H111="PROJECT", CHAR(10) &amp; "- " &amp; _xlfn.TEXTJOIN(CHAR(10) &amp; "- ", TRUE, _xlfn._xlws.FILTER($I$9:$I$1000, ($B$9:$B$1000=B111) * ($H$9:$H$1000="Topic"))), "")</f>
        <v/>
      </c>
      <c r="B111" s="45" t="str">
        <f t="shared" si="47"/>
        <v/>
      </c>
      <c r="C111" s="95"/>
      <c r="D111" s="46"/>
      <c r="E111" s="58"/>
      <c r="F111" s="67"/>
      <c r="G111" s="53"/>
      <c r="H111" s="53"/>
      <c r="I111" s="50"/>
      <c r="J111" s="51"/>
      <c r="K111" s="129" t="str">
        <f t="shared" si="48"/>
        <v/>
      </c>
      <c r="L111" s="103" t="str">
        <f t="shared" si="49"/>
        <v/>
      </c>
      <c r="M111" s="53">
        <v>0</v>
      </c>
      <c r="N111" s="102" t="str">
        <f t="shared" si="50"/>
        <v/>
      </c>
      <c r="O111" s="103" t="str">
        <f t="shared" si="51"/>
        <v/>
      </c>
      <c r="P111" s="53">
        <v>0</v>
      </c>
      <c r="Q111" s="102" t="str">
        <f t="shared" si="52"/>
        <v/>
      </c>
      <c r="R111" s="103" t="str">
        <f t="shared" si="53"/>
        <v/>
      </c>
      <c r="S111" s="53">
        <v>0</v>
      </c>
      <c r="T111" s="102" t="str">
        <f t="shared" si="54"/>
        <v/>
      </c>
      <c r="U111" s="103" t="str">
        <f t="shared" si="55"/>
        <v/>
      </c>
      <c r="V111" s="53">
        <v>0</v>
      </c>
      <c r="W111" s="87" t="str">
        <f t="shared" si="56"/>
        <v/>
      </c>
      <c r="X111" s="103" t="str">
        <f t="shared" si="57"/>
        <v/>
      </c>
      <c r="Y111" s="53">
        <v>0</v>
      </c>
      <c r="Z111" s="56" t="str">
        <f t="shared" si="58"/>
        <v/>
      </c>
      <c r="AA111" s="56" t="str">
        <f t="shared" si="59"/>
        <v/>
      </c>
      <c r="AB111" s="56" t="str">
        <f t="shared" si="60"/>
        <v/>
      </c>
      <c r="AC111" s="56" t="str">
        <f t="shared" si="61"/>
        <v/>
      </c>
      <c r="AD111" s="56" t="str">
        <f t="shared" si="62"/>
        <v/>
      </c>
      <c r="AE111" s="40"/>
      <c r="AF111" s="40"/>
      <c r="AG111" s="40"/>
      <c r="AH111" s="56" t="str">
        <f t="shared" si="63"/>
        <v/>
      </c>
      <c r="AI111" s="54"/>
      <c r="AJ111" s="54"/>
      <c r="AK111" s="54"/>
      <c r="AL111" s="54"/>
      <c r="AM111" s="54"/>
    </row>
    <row r="112" spans="1:39">
      <c r="A112" s="45" t="str" cm="1">
        <f t="array" ref="A112">IF(H112="PROJECT", CHAR(10) &amp; "- " &amp; _xlfn.TEXTJOIN(CHAR(10) &amp; "- ", TRUE, _xlfn._xlws.FILTER($I$9:$I$1000, ($B$9:$B$1000=B112) * ($H$9:$H$1000="Topic"))), "")</f>
        <v/>
      </c>
      <c r="B112" s="45" t="str">
        <f t="shared" si="47"/>
        <v/>
      </c>
      <c r="C112" s="95"/>
      <c r="D112" s="57"/>
      <c r="E112" s="58"/>
      <c r="F112" s="54"/>
      <c r="G112" s="52"/>
      <c r="H112" s="52"/>
      <c r="I112" s="61"/>
      <c r="J112" s="62"/>
      <c r="K112" s="129" t="str">
        <f t="shared" si="48"/>
        <v/>
      </c>
      <c r="L112" s="103" t="str">
        <f t="shared" si="49"/>
        <v/>
      </c>
      <c r="M112" s="52">
        <v>0</v>
      </c>
      <c r="N112" s="102" t="str">
        <f t="shared" si="50"/>
        <v/>
      </c>
      <c r="O112" s="103" t="str">
        <f t="shared" si="51"/>
        <v/>
      </c>
      <c r="P112" s="52">
        <v>0</v>
      </c>
      <c r="Q112" s="102" t="str">
        <f t="shared" si="52"/>
        <v/>
      </c>
      <c r="R112" s="103" t="str">
        <f t="shared" si="53"/>
        <v/>
      </c>
      <c r="S112" s="52">
        <v>0</v>
      </c>
      <c r="T112" s="102" t="str">
        <f t="shared" si="54"/>
        <v/>
      </c>
      <c r="U112" s="103" t="str">
        <f t="shared" si="55"/>
        <v/>
      </c>
      <c r="V112" s="52">
        <v>0</v>
      </c>
      <c r="W112" s="87" t="str">
        <f t="shared" si="56"/>
        <v/>
      </c>
      <c r="X112" s="103" t="str">
        <f t="shared" si="57"/>
        <v/>
      </c>
      <c r="Y112" s="52">
        <v>0</v>
      </c>
      <c r="Z112" s="56" t="str">
        <f t="shared" si="58"/>
        <v/>
      </c>
      <c r="AA112" s="56" t="str">
        <f t="shared" si="59"/>
        <v/>
      </c>
      <c r="AB112" s="56" t="str">
        <f t="shared" si="60"/>
        <v/>
      </c>
      <c r="AC112" s="56" t="str">
        <f t="shared" si="61"/>
        <v/>
      </c>
      <c r="AD112" s="56" t="str">
        <f t="shared" si="62"/>
        <v/>
      </c>
      <c r="AE112" s="40"/>
      <c r="AF112" s="40"/>
      <c r="AG112" s="40"/>
      <c r="AH112" s="56" t="str">
        <f t="shared" si="63"/>
        <v/>
      </c>
      <c r="AI112" s="54"/>
      <c r="AJ112" s="54"/>
      <c r="AK112" s="54"/>
      <c r="AL112" s="54"/>
      <c r="AM112" s="54"/>
    </row>
    <row r="113" spans="1:39">
      <c r="A113" s="45" t="str" cm="1">
        <f t="array" ref="A113">IF(H113="PROJECT", CHAR(10) &amp; "- " &amp; _xlfn.TEXTJOIN(CHAR(10) &amp; "- ", TRUE, _xlfn._xlws.FILTER($I$9:$I$1000, ($B$9:$B$1000=B113) * ($H$9:$H$1000="Topic"))), "")</f>
        <v/>
      </c>
      <c r="B113" s="45" t="str">
        <f t="shared" si="47"/>
        <v/>
      </c>
      <c r="C113" s="95"/>
      <c r="D113" s="46"/>
      <c r="E113" s="58"/>
      <c r="F113" s="67"/>
      <c r="G113" s="53"/>
      <c r="H113" s="53"/>
      <c r="I113" s="50"/>
      <c r="J113" s="51"/>
      <c r="K113" s="129" t="str">
        <f t="shared" si="48"/>
        <v/>
      </c>
      <c r="L113" s="103" t="str">
        <f t="shared" si="49"/>
        <v/>
      </c>
      <c r="M113" s="53">
        <v>0</v>
      </c>
      <c r="N113" s="102" t="str">
        <f t="shared" si="50"/>
        <v/>
      </c>
      <c r="O113" s="103" t="str">
        <f t="shared" si="51"/>
        <v/>
      </c>
      <c r="P113" s="53">
        <v>0</v>
      </c>
      <c r="Q113" s="102" t="str">
        <f t="shared" si="52"/>
        <v/>
      </c>
      <c r="R113" s="103" t="str">
        <f t="shared" si="53"/>
        <v/>
      </c>
      <c r="S113" s="53">
        <v>0</v>
      </c>
      <c r="T113" s="102" t="str">
        <f t="shared" si="54"/>
        <v/>
      </c>
      <c r="U113" s="103" t="str">
        <f t="shared" si="55"/>
        <v/>
      </c>
      <c r="V113" s="53">
        <v>0</v>
      </c>
      <c r="W113" s="87" t="str">
        <f t="shared" si="56"/>
        <v/>
      </c>
      <c r="X113" s="103" t="str">
        <f t="shared" si="57"/>
        <v/>
      </c>
      <c r="Y113" s="53">
        <v>0</v>
      </c>
      <c r="Z113" s="56" t="str">
        <f t="shared" si="58"/>
        <v/>
      </c>
      <c r="AA113" s="56" t="str">
        <f t="shared" si="59"/>
        <v/>
      </c>
      <c r="AB113" s="56" t="str">
        <f t="shared" si="60"/>
        <v/>
      </c>
      <c r="AC113" s="56" t="str">
        <f t="shared" si="61"/>
        <v/>
      </c>
      <c r="AD113" s="56" t="str">
        <f t="shared" si="62"/>
        <v/>
      </c>
      <c r="AE113" s="40"/>
      <c r="AF113" s="40"/>
      <c r="AG113" s="40"/>
      <c r="AH113" s="56" t="str">
        <f t="shared" si="63"/>
        <v/>
      </c>
      <c r="AI113" s="54"/>
      <c r="AJ113" s="54"/>
      <c r="AK113" s="54"/>
      <c r="AL113" s="54"/>
      <c r="AM113" s="54"/>
    </row>
    <row r="114" spans="1:39">
      <c r="A114" s="45" t="str" cm="1">
        <f t="array" ref="A114">IF(H114="PROJECT", CHAR(10) &amp; "- " &amp; _xlfn.TEXTJOIN(CHAR(10) &amp; "- ", TRUE, _xlfn._xlws.FILTER($I$9:$I$1000, ($B$9:$B$1000=B114) * ($H$9:$H$1000="Topic"))), "")</f>
        <v/>
      </c>
      <c r="B114" s="45" t="str">
        <f t="shared" si="47"/>
        <v/>
      </c>
      <c r="C114" s="95"/>
      <c r="D114" s="57"/>
      <c r="E114" s="58"/>
      <c r="F114" s="54"/>
      <c r="G114" s="52"/>
      <c r="H114" s="52"/>
      <c r="I114" s="61"/>
      <c r="J114" s="62"/>
      <c r="K114" s="129" t="str">
        <f t="shared" si="48"/>
        <v/>
      </c>
      <c r="L114" s="103" t="str">
        <f t="shared" si="49"/>
        <v/>
      </c>
      <c r="M114" s="52">
        <v>0</v>
      </c>
      <c r="N114" s="102" t="str">
        <f t="shared" si="50"/>
        <v/>
      </c>
      <c r="O114" s="103" t="str">
        <f t="shared" si="51"/>
        <v/>
      </c>
      <c r="P114" s="52">
        <v>0</v>
      </c>
      <c r="Q114" s="102" t="str">
        <f t="shared" si="52"/>
        <v/>
      </c>
      <c r="R114" s="103" t="str">
        <f t="shared" si="53"/>
        <v/>
      </c>
      <c r="S114" s="52">
        <v>0</v>
      </c>
      <c r="T114" s="102" t="str">
        <f t="shared" si="54"/>
        <v/>
      </c>
      <c r="U114" s="103" t="str">
        <f t="shared" si="55"/>
        <v/>
      </c>
      <c r="V114" s="52">
        <v>0</v>
      </c>
      <c r="W114" s="87" t="str">
        <f t="shared" si="56"/>
        <v/>
      </c>
      <c r="X114" s="103" t="str">
        <f t="shared" si="57"/>
        <v/>
      </c>
      <c r="Y114" s="52">
        <v>0</v>
      </c>
      <c r="Z114" s="56" t="str">
        <f t="shared" si="58"/>
        <v/>
      </c>
      <c r="AA114" s="56" t="str">
        <f t="shared" si="59"/>
        <v/>
      </c>
      <c r="AB114" s="56" t="str">
        <f t="shared" si="60"/>
        <v/>
      </c>
      <c r="AC114" s="56" t="str">
        <f t="shared" si="61"/>
        <v/>
      </c>
      <c r="AD114" s="56" t="str">
        <f t="shared" si="62"/>
        <v/>
      </c>
      <c r="AE114" s="40"/>
      <c r="AF114" s="40"/>
      <c r="AG114" s="40"/>
      <c r="AH114" s="56" t="str">
        <f t="shared" si="63"/>
        <v/>
      </c>
      <c r="AI114" s="54"/>
      <c r="AJ114" s="54"/>
      <c r="AK114" s="54"/>
      <c r="AL114" s="54"/>
      <c r="AM114" s="54"/>
    </row>
    <row r="115" spans="1:39">
      <c r="A115" s="45" t="str" cm="1">
        <f t="array" ref="A115">IF(H115="PROJECT", CHAR(10) &amp; "- " &amp; _xlfn.TEXTJOIN(CHAR(10) &amp; "- ", TRUE, _xlfn._xlws.FILTER($I$9:$I$1000, ($B$9:$B$1000=B115) * ($H$9:$H$1000="Topic"))), "")</f>
        <v/>
      </c>
      <c r="B115" s="45" t="str">
        <f t="shared" si="47"/>
        <v/>
      </c>
      <c r="C115" s="95"/>
      <c r="D115" s="46"/>
      <c r="E115" s="58"/>
      <c r="F115" s="67"/>
      <c r="G115" s="53"/>
      <c r="H115" s="53"/>
      <c r="I115" s="50"/>
      <c r="J115" s="51"/>
      <c r="K115" s="129" t="str">
        <f t="shared" si="48"/>
        <v/>
      </c>
      <c r="L115" s="103" t="str">
        <f t="shared" si="49"/>
        <v/>
      </c>
      <c r="M115" s="53">
        <v>0</v>
      </c>
      <c r="N115" s="102" t="str">
        <f t="shared" si="50"/>
        <v/>
      </c>
      <c r="O115" s="103" t="str">
        <f t="shared" si="51"/>
        <v/>
      </c>
      <c r="P115" s="53">
        <v>0</v>
      </c>
      <c r="Q115" s="102" t="str">
        <f t="shared" si="52"/>
        <v/>
      </c>
      <c r="R115" s="103" t="str">
        <f t="shared" si="53"/>
        <v/>
      </c>
      <c r="S115" s="53">
        <v>0</v>
      </c>
      <c r="T115" s="102" t="str">
        <f t="shared" si="54"/>
        <v/>
      </c>
      <c r="U115" s="103" t="str">
        <f t="shared" si="55"/>
        <v/>
      </c>
      <c r="V115" s="53">
        <v>0</v>
      </c>
      <c r="W115" s="87" t="str">
        <f t="shared" si="56"/>
        <v/>
      </c>
      <c r="X115" s="103" t="str">
        <f t="shared" si="57"/>
        <v/>
      </c>
      <c r="Y115" s="53">
        <v>0</v>
      </c>
      <c r="Z115" s="56" t="str">
        <f t="shared" si="58"/>
        <v/>
      </c>
      <c r="AA115" s="56" t="str">
        <f t="shared" si="59"/>
        <v/>
      </c>
      <c r="AB115" s="56" t="str">
        <f t="shared" si="60"/>
        <v/>
      </c>
      <c r="AC115" s="56" t="str">
        <f t="shared" si="61"/>
        <v/>
      </c>
      <c r="AD115" s="56" t="str">
        <f t="shared" si="62"/>
        <v/>
      </c>
      <c r="AE115" s="40"/>
      <c r="AF115" s="40"/>
      <c r="AG115" s="40"/>
      <c r="AH115" s="56" t="str">
        <f t="shared" si="63"/>
        <v/>
      </c>
      <c r="AI115" s="54"/>
      <c r="AJ115" s="54"/>
      <c r="AK115" s="54"/>
      <c r="AL115" s="54"/>
      <c r="AM115" s="54"/>
    </row>
    <row r="116" spans="1:39">
      <c r="A116" s="45" t="str" cm="1">
        <f t="array" ref="A116">IF(H116="PROJECT", CHAR(10) &amp; "- " &amp; _xlfn.TEXTJOIN(CHAR(10) &amp; "- ", TRUE, _xlfn._xlws.FILTER($I$9:$I$1000, ($B$9:$B$1000=B116) * ($H$9:$H$1000="Topic"))), "")</f>
        <v/>
      </c>
      <c r="B116" s="45" t="str">
        <f t="shared" si="47"/>
        <v/>
      </c>
      <c r="C116" s="95"/>
      <c r="D116" s="57"/>
      <c r="E116" s="58"/>
      <c r="F116" s="54"/>
      <c r="G116" s="52"/>
      <c r="H116" s="52"/>
      <c r="I116" s="61"/>
      <c r="J116" s="62"/>
      <c r="K116" s="129" t="str">
        <f t="shared" si="48"/>
        <v/>
      </c>
      <c r="L116" s="103" t="str">
        <f t="shared" si="49"/>
        <v/>
      </c>
      <c r="M116" s="52">
        <v>0</v>
      </c>
      <c r="N116" s="102" t="str">
        <f t="shared" si="50"/>
        <v/>
      </c>
      <c r="O116" s="103" t="str">
        <f t="shared" si="51"/>
        <v/>
      </c>
      <c r="P116" s="52">
        <v>0</v>
      </c>
      <c r="Q116" s="102" t="str">
        <f t="shared" si="52"/>
        <v/>
      </c>
      <c r="R116" s="103" t="str">
        <f t="shared" si="53"/>
        <v/>
      </c>
      <c r="S116" s="52">
        <v>0</v>
      </c>
      <c r="T116" s="102" t="str">
        <f t="shared" si="54"/>
        <v/>
      </c>
      <c r="U116" s="103" t="str">
        <f t="shared" si="55"/>
        <v/>
      </c>
      <c r="V116" s="52">
        <v>0</v>
      </c>
      <c r="W116" s="87" t="str">
        <f t="shared" si="56"/>
        <v/>
      </c>
      <c r="X116" s="103" t="str">
        <f t="shared" si="57"/>
        <v/>
      </c>
      <c r="Y116" s="52">
        <v>0</v>
      </c>
      <c r="Z116" s="56" t="str">
        <f t="shared" si="58"/>
        <v/>
      </c>
      <c r="AA116" s="56" t="str">
        <f t="shared" si="59"/>
        <v/>
      </c>
      <c r="AB116" s="56" t="str">
        <f t="shared" si="60"/>
        <v/>
      </c>
      <c r="AC116" s="56" t="str">
        <f t="shared" si="61"/>
        <v/>
      </c>
      <c r="AD116" s="56" t="str">
        <f t="shared" si="62"/>
        <v/>
      </c>
      <c r="AE116" s="40"/>
      <c r="AF116" s="40"/>
      <c r="AG116" s="40"/>
      <c r="AH116" s="56" t="str">
        <f t="shared" si="63"/>
        <v/>
      </c>
      <c r="AI116" s="54"/>
      <c r="AJ116" s="54"/>
      <c r="AK116" s="54"/>
      <c r="AL116" s="54"/>
      <c r="AM116" s="54"/>
    </row>
    <row r="117" spans="1:39">
      <c r="A117" s="45" t="str" cm="1">
        <f t="array" ref="A117">IF(H117="PROJECT", CHAR(10) &amp; "- " &amp; _xlfn.TEXTJOIN(CHAR(10) &amp; "- ", TRUE, _xlfn._xlws.FILTER($I$9:$I$1000, ($B$9:$B$1000=B117) * ($H$9:$H$1000="Topic"))), "")</f>
        <v/>
      </c>
      <c r="B117" s="45" t="str">
        <f t="shared" si="47"/>
        <v/>
      </c>
      <c r="C117" s="95"/>
      <c r="D117" s="46"/>
      <c r="E117" s="58"/>
      <c r="F117" s="67"/>
      <c r="G117" s="53"/>
      <c r="H117" s="53"/>
      <c r="I117" s="50"/>
      <c r="J117" s="51"/>
      <c r="K117" s="129" t="str">
        <f t="shared" si="48"/>
        <v/>
      </c>
      <c r="L117" s="103" t="str">
        <f t="shared" si="49"/>
        <v/>
      </c>
      <c r="M117" s="53">
        <v>0</v>
      </c>
      <c r="N117" s="102" t="str">
        <f t="shared" si="50"/>
        <v/>
      </c>
      <c r="O117" s="103" t="str">
        <f t="shared" si="51"/>
        <v/>
      </c>
      <c r="P117" s="53">
        <v>0</v>
      </c>
      <c r="Q117" s="102" t="str">
        <f t="shared" si="52"/>
        <v/>
      </c>
      <c r="R117" s="103" t="str">
        <f t="shared" si="53"/>
        <v/>
      </c>
      <c r="S117" s="53">
        <v>0</v>
      </c>
      <c r="T117" s="102" t="str">
        <f t="shared" si="54"/>
        <v/>
      </c>
      <c r="U117" s="103" t="str">
        <f t="shared" si="55"/>
        <v/>
      </c>
      <c r="V117" s="53">
        <v>0</v>
      </c>
      <c r="W117" s="87" t="str">
        <f t="shared" si="56"/>
        <v/>
      </c>
      <c r="X117" s="103" t="str">
        <f t="shared" si="57"/>
        <v/>
      </c>
      <c r="Y117" s="53">
        <v>0</v>
      </c>
      <c r="Z117" s="56" t="str">
        <f t="shared" si="58"/>
        <v/>
      </c>
      <c r="AA117" s="56" t="str">
        <f t="shared" si="59"/>
        <v/>
      </c>
      <c r="AB117" s="56" t="str">
        <f t="shared" si="60"/>
        <v/>
      </c>
      <c r="AC117" s="56" t="str">
        <f t="shared" si="61"/>
        <v/>
      </c>
      <c r="AD117" s="56" t="str">
        <f t="shared" si="62"/>
        <v/>
      </c>
      <c r="AE117" s="40"/>
      <c r="AF117" s="40"/>
      <c r="AG117" s="40"/>
      <c r="AH117" s="56" t="str">
        <f t="shared" si="63"/>
        <v/>
      </c>
      <c r="AI117" s="54"/>
      <c r="AJ117" s="54"/>
      <c r="AK117" s="54"/>
      <c r="AL117" s="54"/>
      <c r="AM117" s="54"/>
    </row>
    <row r="118" spans="1:39">
      <c r="A118" s="45" t="str" cm="1">
        <f t="array" ref="A118">IF(H118="PROJECT", CHAR(10) &amp; "- " &amp; _xlfn.TEXTJOIN(CHAR(10) &amp; "- ", TRUE, _xlfn._xlws.FILTER($I$9:$I$1000, ($B$9:$B$1000=B118) * ($H$9:$H$1000="Topic"))), "")</f>
        <v/>
      </c>
      <c r="B118" s="45" t="str">
        <f t="shared" si="47"/>
        <v/>
      </c>
      <c r="C118" s="95"/>
      <c r="D118" s="57"/>
      <c r="E118" s="58"/>
      <c r="F118" s="54"/>
      <c r="G118" s="52"/>
      <c r="H118" s="52"/>
      <c r="I118" s="61"/>
      <c r="J118" s="62"/>
      <c r="K118" s="129" t="str">
        <f t="shared" si="48"/>
        <v/>
      </c>
      <c r="L118" s="103" t="str">
        <f t="shared" si="49"/>
        <v/>
      </c>
      <c r="M118" s="52">
        <v>0</v>
      </c>
      <c r="N118" s="102" t="str">
        <f t="shared" si="50"/>
        <v/>
      </c>
      <c r="O118" s="103" t="str">
        <f t="shared" si="51"/>
        <v/>
      </c>
      <c r="P118" s="52">
        <v>0</v>
      </c>
      <c r="Q118" s="102" t="str">
        <f t="shared" si="52"/>
        <v/>
      </c>
      <c r="R118" s="103" t="str">
        <f t="shared" si="53"/>
        <v/>
      </c>
      <c r="S118" s="52">
        <v>0</v>
      </c>
      <c r="T118" s="102" t="str">
        <f t="shared" si="54"/>
        <v/>
      </c>
      <c r="U118" s="103" t="str">
        <f t="shared" si="55"/>
        <v/>
      </c>
      <c r="V118" s="52">
        <v>0</v>
      </c>
      <c r="W118" s="87" t="str">
        <f t="shared" si="56"/>
        <v/>
      </c>
      <c r="X118" s="103" t="str">
        <f t="shared" si="57"/>
        <v/>
      </c>
      <c r="Y118" s="52">
        <v>0</v>
      </c>
      <c r="Z118" s="56" t="str">
        <f t="shared" si="58"/>
        <v/>
      </c>
      <c r="AA118" s="56" t="str">
        <f t="shared" si="59"/>
        <v/>
      </c>
      <c r="AB118" s="56" t="str">
        <f t="shared" si="60"/>
        <v/>
      </c>
      <c r="AC118" s="56" t="str">
        <f t="shared" si="61"/>
        <v/>
      </c>
      <c r="AD118" s="56" t="str">
        <f t="shared" si="62"/>
        <v/>
      </c>
      <c r="AE118" s="40"/>
      <c r="AF118" s="40"/>
      <c r="AG118" s="40"/>
      <c r="AH118" s="56" t="str">
        <f t="shared" si="63"/>
        <v/>
      </c>
      <c r="AI118" s="54"/>
      <c r="AJ118" s="54"/>
      <c r="AK118" s="54"/>
      <c r="AL118" s="54"/>
      <c r="AM118" s="54"/>
    </row>
    <row r="119" spans="1:39">
      <c r="A119" s="45" t="str" cm="1">
        <f t="array" ref="A119">IF(H119="PROJECT", CHAR(10) &amp; "- " &amp; _xlfn.TEXTJOIN(CHAR(10) &amp; "- ", TRUE, _xlfn._xlws.FILTER($I$9:$I$1000, ($B$9:$B$1000=B119) * ($H$9:$H$1000="Topic"))), "")</f>
        <v/>
      </c>
      <c r="B119" s="45" t="str">
        <f t="shared" si="47"/>
        <v/>
      </c>
      <c r="C119" s="95"/>
      <c r="D119" s="46"/>
      <c r="E119" s="58"/>
      <c r="F119" s="67"/>
      <c r="G119" s="53"/>
      <c r="H119" s="53"/>
      <c r="I119" s="50"/>
      <c r="J119" s="51"/>
      <c r="K119" s="129" t="str">
        <f t="shared" si="48"/>
        <v/>
      </c>
      <c r="L119" s="103" t="str">
        <f t="shared" si="49"/>
        <v/>
      </c>
      <c r="M119" s="53">
        <v>0</v>
      </c>
      <c r="N119" s="102" t="str">
        <f t="shared" si="50"/>
        <v/>
      </c>
      <c r="O119" s="103" t="str">
        <f t="shared" si="51"/>
        <v/>
      </c>
      <c r="P119" s="53">
        <v>0</v>
      </c>
      <c r="Q119" s="102" t="str">
        <f t="shared" si="52"/>
        <v/>
      </c>
      <c r="R119" s="103" t="str">
        <f t="shared" si="53"/>
        <v/>
      </c>
      <c r="S119" s="53">
        <v>0</v>
      </c>
      <c r="T119" s="102" t="str">
        <f t="shared" si="54"/>
        <v/>
      </c>
      <c r="U119" s="103" t="str">
        <f t="shared" si="55"/>
        <v/>
      </c>
      <c r="V119" s="53">
        <v>0</v>
      </c>
      <c r="W119" s="87" t="str">
        <f t="shared" si="56"/>
        <v/>
      </c>
      <c r="X119" s="103" t="str">
        <f t="shared" si="57"/>
        <v/>
      </c>
      <c r="Y119" s="53">
        <v>0</v>
      </c>
      <c r="Z119" s="56" t="str">
        <f t="shared" si="58"/>
        <v/>
      </c>
      <c r="AA119" s="56" t="str">
        <f t="shared" si="59"/>
        <v/>
      </c>
      <c r="AB119" s="56" t="str">
        <f t="shared" si="60"/>
        <v/>
      </c>
      <c r="AC119" s="56" t="str">
        <f t="shared" si="61"/>
        <v/>
      </c>
      <c r="AD119" s="56" t="str">
        <f t="shared" si="62"/>
        <v/>
      </c>
      <c r="AE119" s="40"/>
      <c r="AF119" s="40"/>
      <c r="AG119" s="40"/>
      <c r="AH119" s="56" t="str">
        <f t="shared" si="63"/>
        <v/>
      </c>
      <c r="AI119" s="54"/>
      <c r="AJ119" s="54"/>
      <c r="AK119" s="54"/>
      <c r="AL119" s="54"/>
      <c r="AM119" s="54"/>
    </row>
    <row r="120" spans="1:39">
      <c r="A120" s="45" t="str" cm="1">
        <f t="array" ref="A120">IF(H120="PROJECT", CHAR(10) &amp; "- " &amp; _xlfn.TEXTJOIN(CHAR(10) &amp; "- ", TRUE, _xlfn._xlws.FILTER($I$9:$I$1000, ($B$9:$B$1000=B120) * ($H$9:$H$1000="Topic"))), "")</f>
        <v/>
      </c>
      <c r="B120" s="45" t="str">
        <f t="shared" si="47"/>
        <v/>
      </c>
      <c r="C120" s="95"/>
      <c r="D120" s="57"/>
      <c r="E120" s="58"/>
      <c r="F120" s="54"/>
      <c r="G120" s="52"/>
      <c r="H120" s="52"/>
      <c r="I120" s="61"/>
      <c r="J120" s="62"/>
      <c r="K120" s="129" t="str">
        <f t="shared" si="48"/>
        <v/>
      </c>
      <c r="L120" s="103" t="str">
        <f t="shared" si="49"/>
        <v/>
      </c>
      <c r="M120" s="52">
        <v>0</v>
      </c>
      <c r="N120" s="102" t="str">
        <f t="shared" si="50"/>
        <v/>
      </c>
      <c r="O120" s="103" t="str">
        <f t="shared" si="51"/>
        <v/>
      </c>
      <c r="P120" s="52">
        <v>0</v>
      </c>
      <c r="Q120" s="102" t="str">
        <f t="shared" si="52"/>
        <v/>
      </c>
      <c r="R120" s="103" t="str">
        <f t="shared" si="53"/>
        <v/>
      </c>
      <c r="S120" s="52">
        <v>0</v>
      </c>
      <c r="T120" s="102" t="str">
        <f t="shared" si="54"/>
        <v/>
      </c>
      <c r="U120" s="103" t="str">
        <f t="shared" si="55"/>
        <v/>
      </c>
      <c r="V120" s="52">
        <v>0</v>
      </c>
      <c r="W120" s="87" t="str">
        <f t="shared" si="56"/>
        <v/>
      </c>
      <c r="X120" s="103" t="str">
        <f t="shared" si="57"/>
        <v/>
      </c>
      <c r="Y120" s="52">
        <v>0</v>
      </c>
      <c r="Z120" s="56" t="str">
        <f t="shared" si="58"/>
        <v/>
      </c>
      <c r="AA120" s="56" t="str">
        <f t="shared" si="59"/>
        <v/>
      </c>
      <c r="AB120" s="56" t="str">
        <f t="shared" si="60"/>
        <v/>
      </c>
      <c r="AC120" s="56" t="str">
        <f t="shared" si="61"/>
        <v/>
      </c>
      <c r="AD120" s="56" t="str">
        <f t="shared" si="62"/>
        <v/>
      </c>
      <c r="AE120" s="40"/>
      <c r="AF120" s="40"/>
      <c r="AG120" s="40"/>
      <c r="AH120" s="56" t="str">
        <f t="shared" si="63"/>
        <v/>
      </c>
      <c r="AI120" s="54"/>
      <c r="AJ120" s="54"/>
      <c r="AK120" s="54"/>
      <c r="AL120" s="54"/>
      <c r="AM120" s="54"/>
    </row>
    <row r="121" spans="1:39">
      <c r="A121" s="45" t="str" cm="1">
        <f t="array" ref="A121">IF(H121="PROJECT", CHAR(10) &amp; "- " &amp; _xlfn.TEXTJOIN(CHAR(10) &amp; "- ", TRUE, _xlfn._xlws.FILTER($I$9:$I$1000, ($B$9:$B$1000=B121) * ($H$9:$H$1000="Topic"))), "")</f>
        <v/>
      </c>
      <c r="B121" s="45" t="str">
        <f t="shared" si="47"/>
        <v/>
      </c>
      <c r="C121" s="95"/>
      <c r="D121" s="46"/>
      <c r="E121" s="58"/>
      <c r="F121" s="67"/>
      <c r="G121" s="53"/>
      <c r="H121" s="53"/>
      <c r="I121" s="50"/>
      <c r="J121" s="51"/>
      <c r="K121" s="129" t="str">
        <f t="shared" si="48"/>
        <v/>
      </c>
      <c r="L121" s="103" t="str">
        <f t="shared" si="49"/>
        <v/>
      </c>
      <c r="M121" s="53">
        <v>0</v>
      </c>
      <c r="N121" s="102" t="str">
        <f t="shared" si="50"/>
        <v/>
      </c>
      <c r="O121" s="103" t="str">
        <f t="shared" si="51"/>
        <v/>
      </c>
      <c r="P121" s="53">
        <v>0</v>
      </c>
      <c r="Q121" s="102" t="str">
        <f t="shared" si="52"/>
        <v/>
      </c>
      <c r="R121" s="103" t="str">
        <f t="shared" si="53"/>
        <v/>
      </c>
      <c r="S121" s="53">
        <v>0</v>
      </c>
      <c r="T121" s="102" t="str">
        <f t="shared" si="54"/>
        <v/>
      </c>
      <c r="U121" s="103" t="str">
        <f t="shared" si="55"/>
        <v/>
      </c>
      <c r="V121" s="53">
        <v>0</v>
      </c>
      <c r="W121" s="87" t="str">
        <f t="shared" si="56"/>
        <v/>
      </c>
      <c r="X121" s="103" t="str">
        <f t="shared" si="57"/>
        <v/>
      </c>
      <c r="Y121" s="53">
        <v>0</v>
      </c>
      <c r="Z121" s="56" t="str">
        <f t="shared" si="58"/>
        <v/>
      </c>
      <c r="AA121" s="56" t="str">
        <f t="shared" si="59"/>
        <v/>
      </c>
      <c r="AB121" s="56" t="str">
        <f t="shared" si="60"/>
        <v/>
      </c>
      <c r="AC121" s="56" t="str">
        <f t="shared" si="61"/>
        <v/>
      </c>
      <c r="AD121" s="56" t="str">
        <f t="shared" si="62"/>
        <v/>
      </c>
      <c r="AE121" s="40"/>
      <c r="AF121" s="40"/>
      <c r="AG121" s="40"/>
      <c r="AH121" s="56" t="str">
        <f t="shared" si="63"/>
        <v/>
      </c>
      <c r="AI121" s="54"/>
      <c r="AJ121" s="54"/>
      <c r="AK121" s="54"/>
      <c r="AL121" s="54"/>
      <c r="AM121" s="54"/>
    </row>
    <row r="122" spans="1:39">
      <c r="A122" s="45" t="str" cm="1">
        <f t="array" ref="A122">IF(H122="PROJECT", CHAR(10) &amp; "- " &amp; _xlfn.TEXTJOIN(CHAR(10) &amp; "- ", TRUE, _xlfn._xlws.FILTER($I$9:$I$1000, ($B$9:$B$1000=B122) * ($H$9:$H$1000="Topic"))), "")</f>
        <v/>
      </c>
      <c r="B122" s="45" t="str">
        <f t="shared" si="47"/>
        <v/>
      </c>
      <c r="C122" s="95"/>
      <c r="D122" s="57"/>
      <c r="E122" s="58"/>
      <c r="F122" s="54"/>
      <c r="G122" s="52"/>
      <c r="H122" s="52"/>
      <c r="I122" s="61"/>
      <c r="J122" s="62"/>
      <c r="K122" s="129" t="str">
        <f t="shared" si="48"/>
        <v/>
      </c>
      <c r="L122" s="103" t="str">
        <f t="shared" si="49"/>
        <v/>
      </c>
      <c r="M122" s="52">
        <v>0</v>
      </c>
      <c r="N122" s="102" t="str">
        <f t="shared" si="50"/>
        <v/>
      </c>
      <c r="O122" s="103" t="str">
        <f t="shared" si="51"/>
        <v/>
      </c>
      <c r="P122" s="52">
        <v>0</v>
      </c>
      <c r="Q122" s="102" t="str">
        <f t="shared" si="52"/>
        <v/>
      </c>
      <c r="R122" s="103" t="str">
        <f t="shared" si="53"/>
        <v/>
      </c>
      <c r="S122" s="52">
        <v>0</v>
      </c>
      <c r="T122" s="102" t="str">
        <f t="shared" si="54"/>
        <v/>
      </c>
      <c r="U122" s="103" t="str">
        <f t="shared" si="55"/>
        <v/>
      </c>
      <c r="V122" s="52">
        <v>0</v>
      </c>
      <c r="W122" s="87" t="str">
        <f t="shared" si="56"/>
        <v/>
      </c>
      <c r="X122" s="103" t="str">
        <f t="shared" si="57"/>
        <v/>
      </c>
      <c r="Y122" s="52">
        <v>0</v>
      </c>
      <c r="Z122" s="56" t="str">
        <f t="shared" si="58"/>
        <v/>
      </c>
      <c r="AA122" s="56" t="str">
        <f t="shared" si="59"/>
        <v/>
      </c>
      <c r="AB122" s="56" t="str">
        <f t="shared" si="60"/>
        <v/>
      </c>
      <c r="AC122" s="56" t="str">
        <f t="shared" si="61"/>
        <v/>
      </c>
      <c r="AD122" s="56" t="str">
        <f t="shared" si="62"/>
        <v/>
      </c>
      <c r="AE122" s="40"/>
      <c r="AF122" s="40"/>
      <c r="AG122" s="40"/>
      <c r="AH122" s="56" t="str">
        <f t="shared" si="63"/>
        <v/>
      </c>
      <c r="AI122" s="54"/>
      <c r="AJ122" s="54"/>
      <c r="AK122" s="54"/>
      <c r="AL122" s="54"/>
      <c r="AM122" s="54"/>
    </row>
    <row r="123" spans="1:39">
      <c r="A123" s="45" t="str" cm="1">
        <f t="array" ref="A123">IF(H123="PROJECT", CHAR(10) &amp; "- " &amp; _xlfn.TEXTJOIN(CHAR(10) &amp; "- ", TRUE, _xlfn._xlws.FILTER($I$9:$I$1000, ($B$9:$B$1000=B123) * ($H$9:$H$1000="Topic"))), "")</f>
        <v/>
      </c>
      <c r="B123" s="45" t="str">
        <f t="shared" si="47"/>
        <v/>
      </c>
      <c r="C123" s="95"/>
      <c r="D123" s="46"/>
      <c r="E123" s="58"/>
      <c r="F123" s="67"/>
      <c r="G123" s="53"/>
      <c r="H123" s="53"/>
      <c r="I123" s="50"/>
      <c r="J123" s="51"/>
      <c r="K123" s="129" t="str">
        <f t="shared" si="48"/>
        <v/>
      </c>
      <c r="L123" s="103" t="str">
        <f t="shared" si="49"/>
        <v/>
      </c>
      <c r="M123" s="53">
        <v>0</v>
      </c>
      <c r="N123" s="102" t="str">
        <f t="shared" si="50"/>
        <v/>
      </c>
      <c r="O123" s="103" t="str">
        <f t="shared" si="51"/>
        <v/>
      </c>
      <c r="P123" s="53">
        <v>0</v>
      </c>
      <c r="Q123" s="102" t="str">
        <f t="shared" si="52"/>
        <v/>
      </c>
      <c r="R123" s="103" t="str">
        <f t="shared" si="53"/>
        <v/>
      </c>
      <c r="S123" s="53">
        <v>0</v>
      </c>
      <c r="T123" s="102" t="str">
        <f t="shared" si="54"/>
        <v/>
      </c>
      <c r="U123" s="103" t="str">
        <f t="shared" si="55"/>
        <v/>
      </c>
      <c r="V123" s="53">
        <v>0</v>
      </c>
      <c r="W123" s="87" t="str">
        <f t="shared" si="56"/>
        <v/>
      </c>
      <c r="X123" s="103" t="str">
        <f t="shared" si="57"/>
        <v/>
      </c>
      <c r="Y123" s="53">
        <v>0</v>
      </c>
      <c r="Z123" s="56" t="str">
        <f t="shared" si="58"/>
        <v/>
      </c>
      <c r="AA123" s="56" t="str">
        <f t="shared" si="59"/>
        <v/>
      </c>
      <c r="AB123" s="56" t="str">
        <f t="shared" si="60"/>
        <v/>
      </c>
      <c r="AC123" s="56" t="str">
        <f t="shared" si="61"/>
        <v/>
      </c>
      <c r="AD123" s="56" t="str">
        <f t="shared" si="62"/>
        <v/>
      </c>
      <c r="AE123" s="40"/>
      <c r="AF123" s="40"/>
      <c r="AG123" s="40"/>
      <c r="AH123" s="56" t="str">
        <f t="shared" si="63"/>
        <v/>
      </c>
      <c r="AI123" s="54"/>
      <c r="AJ123" s="54"/>
      <c r="AK123" s="54"/>
      <c r="AL123" s="54"/>
      <c r="AM123" s="54"/>
    </row>
    <row r="124" spans="1:39">
      <c r="A124" s="45" t="str" cm="1">
        <f t="array" ref="A124">IF(H124="PROJECT", CHAR(10) &amp; "- " &amp; _xlfn.TEXTJOIN(CHAR(10) &amp; "- ", TRUE, _xlfn._xlws.FILTER($I$9:$I$1000, ($B$9:$B$1000=B124) * ($H$9:$H$1000="Topic"))), "")</f>
        <v/>
      </c>
      <c r="B124" s="45" t="str">
        <f t="shared" si="47"/>
        <v/>
      </c>
      <c r="C124" s="95"/>
      <c r="D124" s="57"/>
      <c r="E124" s="58"/>
      <c r="F124" s="54"/>
      <c r="G124" s="52"/>
      <c r="H124" s="52"/>
      <c r="I124" s="61"/>
      <c r="J124" s="62"/>
      <c r="K124" s="129" t="str">
        <f t="shared" si="48"/>
        <v/>
      </c>
      <c r="L124" s="103" t="str">
        <f t="shared" si="49"/>
        <v/>
      </c>
      <c r="M124" s="52">
        <v>0</v>
      </c>
      <c r="N124" s="102" t="str">
        <f t="shared" si="50"/>
        <v/>
      </c>
      <c r="O124" s="103" t="str">
        <f t="shared" si="51"/>
        <v/>
      </c>
      <c r="P124" s="52">
        <v>0</v>
      </c>
      <c r="Q124" s="102" t="str">
        <f t="shared" si="52"/>
        <v/>
      </c>
      <c r="R124" s="103" t="str">
        <f t="shared" si="53"/>
        <v/>
      </c>
      <c r="S124" s="52">
        <v>0</v>
      </c>
      <c r="T124" s="102" t="str">
        <f t="shared" si="54"/>
        <v/>
      </c>
      <c r="U124" s="103" t="str">
        <f t="shared" si="55"/>
        <v/>
      </c>
      <c r="V124" s="52">
        <v>0</v>
      </c>
      <c r="W124" s="87" t="str">
        <f t="shared" si="56"/>
        <v/>
      </c>
      <c r="X124" s="103" t="str">
        <f t="shared" si="57"/>
        <v/>
      </c>
      <c r="Y124" s="52">
        <v>0</v>
      </c>
      <c r="Z124" s="56" t="str">
        <f t="shared" si="58"/>
        <v/>
      </c>
      <c r="AA124" s="56" t="str">
        <f t="shared" si="59"/>
        <v/>
      </c>
      <c r="AB124" s="56" t="str">
        <f t="shared" si="60"/>
        <v/>
      </c>
      <c r="AC124" s="56" t="str">
        <f t="shared" si="61"/>
        <v/>
      </c>
      <c r="AD124" s="56" t="str">
        <f t="shared" si="62"/>
        <v/>
      </c>
      <c r="AE124" s="40"/>
      <c r="AF124" s="40"/>
      <c r="AG124" s="40"/>
      <c r="AH124" s="56" t="str">
        <f t="shared" si="63"/>
        <v/>
      </c>
      <c r="AI124" s="54"/>
      <c r="AJ124" s="54"/>
      <c r="AK124" s="54"/>
      <c r="AL124" s="54"/>
      <c r="AM124" s="54"/>
    </row>
    <row r="125" spans="1:39">
      <c r="A125" s="45" t="str" cm="1">
        <f t="array" ref="A125">IF(H125="PROJECT", CHAR(10) &amp; "- " &amp; _xlfn.TEXTJOIN(CHAR(10) &amp; "- ", TRUE, _xlfn._xlws.FILTER($I$9:$I$1000, ($B$9:$B$1000=B125) * ($H$9:$H$1000="Topic"))), "")</f>
        <v/>
      </c>
      <c r="B125" s="45" t="str">
        <f t="shared" si="47"/>
        <v/>
      </c>
      <c r="C125" s="95"/>
      <c r="D125" s="46"/>
      <c r="E125" s="58"/>
      <c r="F125" s="67"/>
      <c r="G125" s="53"/>
      <c r="H125" s="53"/>
      <c r="I125" s="50"/>
      <c r="J125" s="51"/>
      <c r="K125" s="129" t="str">
        <f t="shared" si="48"/>
        <v/>
      </c>
      <c r="L125" s="103" t="str">
        <f t="shared" si="49"/>
        <v/>
      </c>
      <c r="M125" s="53">
        <v>0</v>
      </c>
      <c r="N125" s="102" t="str">
        <f t="shared" si="50"/>
        <v/>
      </c>
      <c r="O125" s="103" t="str">
        <f t="shared" si="51"/>
        <v/>
      </c>
      <c r="P125" s="53">
        <v>0</v>
      </c>
      <c r="Q125" s="102" t="str">
        <f t="shared" si="52"/>
        <v/>
      </c>
      <c r="R125" s="103" t="str">
        <f t="shared" si="53"/>
        <v/>
      </c>
      <c r="S125" s="53">
        <v>0</v>
      </c>
      <c r="T125" s="102" t="str">
        <f t="shared" si="54"/>
        <v/>
      </c>
      <c r="U125" s="103" t="str">
        <f t="shared" si="55"/>
        <v/>
      </c>
      <c r="V125" s="53">
        <v>0</v>
      </c>
      <c r="W125" s="87" t="str">
        <f t="shared" si="56"/>
        <v/>
      </c>
      <c r="X125" s="103" t="str">
        <f t="shared" si="57"/>
        <v/>
      </c>
      <c r="Y125" s="53">
        <v>0</v>
      </c>
      <c r="Z125" s="56" t="str">
        <f t="shared" si="58"/>
        <v/>
      </c>
      <c r="AA125" s="56" t="str">
        <f t="shared" si="59"/>
        <v/>
      </c>
      <c r="AB125" s="56" t="str">
        <f t="shared" si="60"/>
        <v/>
      </c>
      <c r="AC125" s="56" t="str">
        <f t="shared" si="61"/>
        <v/>
      </c>
      <c r="AD125" s="56" t="str">
        <f t="shared" si="62"/>
        <v/>
      </c>
      <c r="AE125" s="40"/>
      <c r="AF125" s="40"/>
      <c r="AG125" s="40"/>
      <c r="AH125" s="56" t="str">
        <f t="shared" si="63"/>
        <v/>
      </c>
      <c r="AI125" s="54"/>
      <c r="AJ125" s="54"/>
      <c r="AK125" s="54"/>
      <c r="AL125" s="54"/>
      <c r="AM125" s="54"/>
    </row>
    <row r="126" spans="1:39">
      <c r="A126" s="45" t="str" cm="1">
        <f t="array" ref="A126">IF(H126="PROJECT", CHAR(10) &amp; "- " &amp; _xlfn.TEXTJOIN(CHAR(10) &amp; "- ", TRUE, _xlfn._xlws.FILTER($I$9:$I$1000, ($B$9:$B$1000=B126) * ($H$9:$H$1000="Topic"))), "")</f>
        <v/>
      </c>
      <c r="B126" s="45" t="str">
        <f t="shared" si="47"/>
        <v/>
      </c>
      <c r="C126" s="95"/>
      <c r="D126" s="57"/>
      <c r="E126" s="58"/>
      <c r="F126" s="54"/>
      <c r="G126" s="52"/>
      <c r="H126" s="52"/>
      <c r="I126" s="61"/>
      <c r="J126" s="62"/>
      <c r="K126" s="129" t="str">
        <f t="shared" si="48"/>
        <v/>
      </c>
      <c r="L126" s="103" t="str">
        <f t="shared" si="49"/>
        <v/>
      </c>
      <c r="M126" s="52">
        <v>0</v>
      </c>
      <c r="N126" s="102" t="str">
        <f t="shared" si="50"/>
        <v/>
      </c>
      <c r="O126" s="103" t="str">
        <f t="shared" si="51"/>
        <v/>
      </c>
      <c r="P126" s="52">
        <v>0</v>
      </c>
      <c r="Q126" s="102" t="str">
        <f t="shared" si="52"/>
        <v/>
      </c>
      <c r="R126" s="103" t="str">
        <f t="shared" si="53"/>
        <v/>
      </c>
      <c r="S126" s="52">
        <v>0</v>
      </c>
      <c r="T126" s="102" t="str">
        <f t="shared" si="54"/>
        <v/>
      </c>
      <c r="U126" s="103" t="str">
        <f t="shared" si="55"/>
        <v/>
      </c>
      <c r="V126" s="52">
        <v>0</v>
      </c>
      <c r="W126" s="87" t="str">
        <f t="shared" si="56"/>
        <v/>
      </c>
      <c r="X126" s="103" t="str">
        <f t="shared" si="57"/>
        <v/>
      </c>
      <c r="Y126" s="52">
        <v>0</v>
      </c>
      <c r="Z126" s="56" t="str">
        <f t="shared" si="58"/>
        <v/>
      </c>
      <c r="AA126" s="56" t="str">
        <f t="shared" si="59"/>
        <v/>
      </c>
      <c r="AB126" s="56" t="str">
        <f t="shared" si="60"/>
        <v/>
      </c>
      <c r="AC126" s="56" t="str">
        <f t="shared" si="61"/>
        <v/>
      </c>
      <c r="AD126" s="56" t="str">
        <f t="shared" si="62"/>
        <v/>
      </c>
      <c r="AE126" s="40"/>
      <c r="AF126" s="40"/>
      <c r="AG126" s="40"/>
      <c r="AH126" s="56" t="str">
        <f t="shared" si="63"/>
        <v/>
      </c>
      <c r="AI126" s="54"/>
      <c r="AJ126" s="54"/>
      <c r="AK126" s="54"/>
      <c r="AL126" s="54"/>
      <c r="AM126" s="54"/>
    </row>
    <row r="127" spans="1:39">
      <c r="A127" s="45" t="str" cm="1">
        <f t="array" ref="A127">IF(H127="PROJECT", CHAR(10) &amp; "- " &amp; _xlfn.TEXTJOIN(CHAR(10) &amp; "- ", TRUE, _xlfn._xlws.FILTER($I$9:$I$1000, ($B$9:$B$1000=B127) * ($H$9:$H$1000="Topic"))), "")</f>
        <v/>
      </c>
      <c r="B127" s="45" t="str">
        <f t="shared" si="47"/>
        <v/>
      </c>
      <c r="C127" s="95"/>
      <c r="D127" s="46"/>
      <c r="E127" s="58"/>
      <c r="F127" s="67"/>
      <c r="G127" s="53"/>
      <c r="H127" s="53"/>
      <c r="I127" s="50"/>
      <c r="J127" s="51"/>
      <c r="K127" s="129" t="str">
        <f t="shared" si="48"/>
        <v/>
      </c>
      <c r="L127" s="103" t="str">
        <f t="shared" si="49"/>
        <v/>
      </c>
      <c r="M127" s="53">
        <v>0</v>
      </c>
      <c r="N127" s="102" t="str">
        <f t="shared" si="50"/>
        <v/>
      </c>
      <c r="O127" s="103" t="str">
        <f t="shared" si="51"/>
        <v/>
      </c>
      <c r="P127" s="53">
        <v>0</v>
      </c>
      <c r="Q127" s="102" t="str">
        <f t="shared" si="52"/>
        <v/>
      </c>
      <c r="R127" s="103" t="str">
        <f t="shared" si="53"/>
        <v/>
      </c>
      <c r="S127" s="53">
        <v>0</v>
      </c>
      <c r="T127" s="102" t="str">
        <f t="shared" si="54"/>
        <v/>
      </c>
      <c r="U127" s="103" t="str">
        <f t="shared" si="55"/>
        <v/>
      </c>
      <c r="V127" s="53">
        <v>0</v>
      </c>
      <c r="W127" s="87" t="str">
        <f t="shared" si="56"/>
        <v/>
      </c>
      <c r="X127" s="103" t="str">
        <f t="shared" si="57"/>
        <v/>
      </c>
      <c r="Y127" s="53">
        <v>0</v>
      </c>
      <c r="Z127" s="56" t="str">
        <f t="shared" si="58"/>
        <v/>
      </c>
      <c r="AA127" s="56" t="str">
        <f t="shared" si="59"/>
        <v/>
      </c>
      <c r="AB127" s="56" t="str">
        <f t="shared" si="60"/>
        <v/>
      </c>
      <c r="AC127" s="56" t="str">
        <f t="shared" si="61"/>
        <v/>
      </c>
      <c r="AD127" s="56" t="str">
        <f t="shared" si="62"/>
        <v/>
      </c>
      <c r="AE127" s="40"/>
      <c r="AF127" s="40"/>
      <c r="AG127" s="40"/>
      <c r="AH127" s="56" t="str">
        <f t="shared" si="63"/>
        <v/>
      </c>
      <c r="AI127" s="54"/>
      <c r="AJ127" s="54"/>
      <c r="AK127" s="54"/>
      <c r="AL127" s="54"/>
      <c r="AM127" s="54"/>
    </row>
    <row r="128" spans="1:39">
      <c r="A128" s="45" t="str" cm="1">
        <f t="array" ref="A128">IF(H128="PROJECT", CHAR(10) &amp; "- " &amp; _xlfn.TEXTJOIN(CHAR(10) &amp; "- ", TRUE, _xlfn._xlws.FILTER($I$9:$I$1000, ($B$9:$B$1000=B128) * ($H$9:$H$1000="Topic"))), "")</f>
        <v/>
      </c>
      <c r="B128" s="45" t="str">
        <f t="shared" si="47"/>
        <v/>
      </c>
      <c r="C128" s="95"/>
      <c r="D128" s="57"/>
      <c r="E128" s="58"/>
      <c r="F128" s="54"/>
      <c r="G128" s="52"/>
      <c r="H128" s="52"/>
      <c r="I128" s="61"/>
      <c r="J128" s="62"/>
      <c r="K128" s="129" t="str">
        <f t="shared" si="48"/>
        <v/>
      </c>
      <c r="L128" s="103" t="str">
        <f t="shared" si="49"/>
        <v/>
      </c>
      <c r="M128" s="52">
        <v>0</v>
      </c>
      <c r="N128" s="102" t="str">
        <f t="shared" si="50"/>
        <v/>
      </c>
      <c r="O128" s="103" t="str">
        <f t="shared" si="51"/>
        <v/>
      </c>
      <c r="P128" s="52">
        <v>0</v>
      </c>
      <c r="Q128" s="102" t="str">
        <f t="shared" si="52"/>
        <v/>
      </c>
      <c r="R128" s="103" t="str">
        <f t="shared" si="53"/>
        <v/>
      </c>
      <c r="S128" s="52">
        <v>0</v>
      </c>
      <c r="T128" s="102" t="str">
        <f t="shared" si="54"/>
        <v/>
      </c>
      <c r="U128" s="103" t="str">
        <f t="shared" si="55"/>
        <v/>
      </c>
      <c r="V128" s="52">
        <v>0</v>
      </c>
      <c r="W128" s="87" t="str">
        <f t="shared" si="56"/>
        <v/>
      </c>
      <c r="X128" s="103" t="str">
        <f t="shared" si="57"/>
        <v/>
      </c>
      <c r="Y128" s="52">
        <v>0</v>
      </c>
      <c r="Z128" s="56" t="str">
        <f t="shared" si="58"/>
        <v/>
      </c>
      <c r="AA128" s="56" t="str">
        <f t="shared" si="59"/>
        <v/>
      </c>
      <c r="AB128" s="56" t="str">
        <f t="shared" si="60"/>
        <v/>
      </c>
      <c r="AC128" s="56" t="str">
        <f t="shared" si="61"/>
        <v/>
      </c>
      <c r="AD128" s="56" t="str">
        <f t="shared" si="62"/>
        <v/>
      </c>
      <c r="AE128" s="40"/>
      <c r="AF128" s="40"/>
      <c r="AG128" s="40"/>
      <c r="AH128" s="56" t="str">
        <f t="shared" si="63"/>
        <v/>
      </c>
      <c r="AI128" s="54"/>
      <c r="AJ128" s="54"/>
      <c r="AK128" s="54"/>
      <c r="AL128" s="54"/>
      <c r="AM128" s="54"/>
    </row>
    <row r="129" spans="1:39">
      <c r="A129" s="45" t="str" cm="1">
        <f t="array" ref="A129">IF(H129="PROJECT", CHAR(10) &amp; "- " &amp; _xlfn.TEXTJOIN(CHAR(10) &amp; "- ", TRUE, _xlfn._xlws.FILTER($I$9:$I$1000, ($B$9:$B$1000=B129) * ($H$9:$H$1000="Topic"))), "")</f>
        <v/>
      </c>
      <c r="B129" s="45" t="str">
        <f t="shared" si="47"/>
        <v/>
      </c>
      <c r="C129" s="95"/>
      <c r="D129" s="46"/>
      <c r="E129" s="58"/>
      <c r="F129" s="67"/>
      <c r="G129" s="53"/>
      <c r="H129" s="53"/>
      <c r="I129" s="50"/>
      <c r="J129" s="51"/>
      <c r="K129" s="129" t="str">
        <f t="shared" si="48"/>
        <v/>
      </c>
      <c r="L129" s="103" t="str">
        <f t="shared" si="49"/>
        <v/>
      </c>
      <c r="M129" s="53">
        <v>0</v>
      </c>
      <c r="N129" s="102" t="str">
        <f t="shared" si="50"/>
        <v/>
      </c>
      <c r="O129" s="103" t="str">
        <f t="shared" si="51"/>
        <v/>
      </c>
      <c r="P129" s="53">
        <v>0</v>
      </c>
      <c r="Q129" s="102" t="str">
        <f t="shared" si="52"/>
        <v/>
      </c>
      <c r="R129" s="103" t="str">
        <f t="shared" si="53"/>
        <v/>
      </c>
      <c r="S129" s="53">
        <v>0</v>
      </c>
      <c r="T129" s="102" t="str">
        <f t="shared" si="54"/>
        <v/>
      </c>
      <c r="U129" s="103" t="str">
        <f t="shared" si="55"/>
        <v/>
      </c>
      <c r="V129" s="53">
        <v>0</v>
      </c>
      <c r="W129" s="87" t="str">
        <f t="shared" si="56"/>
        <v/>
      </c>
      <c r="X129" s="103" t="str">
        <f t="shared" si="57"/>
        <v/>
      </c>
      <c r="Y129" s="53">
        <v>0</v>
      </c>
      <c r="Z129" s="56" t="str">
        <f t="shared" si="58"/>
        <v/>
      </c>
      <c r="AA129" s="56" t="str">
        <f t="shared" si="59"/>
        <v/>
      </c>
      <c r="AB129" s="56" t="str">
        <f t="shared" si="60"/>
        <v/>
      </c>
      <c r="AC129" s="56" t="str">
        <f t="shared" si="61"/>
        <v/>
      </c>
      <c r="AD129" s="56" t="str">
        <f t="shared" si="62"/>
        <v/>
      </c>
      <c r="AE129" s="40"/>
      <c r="AF129" s="40"/>
      <c r="AG129" s="40"/>
      <c r="AH129" s="56" t="str">
        <f t="shared" si="63"/>
        <v/>
      </c>
      <c r="AI129" s="54"/>
      <c r="AJ129" s="54"/>
      <c r="AK129" s="54"/>
      <c r="AL129" s="54"/>
      <c r="AM129" s="54"/>
    </row>
    <row r="130" spans="1:39">
      <c r="A130" s="45" t="str" cm="1">
        <f t="array" ref="A130">IF(H130="PROJECT", CHAR(10) &amp; "- " &amp; _xlfn.TEXTJOIN(CHAR(10) &amp; "- ", TRUE, _xlfn._xlws.FILTER($I$9:$I$1000, ($B$9:$B$1000=B130) * ($H$9:$H$1000="Topic"))), "")</f>
        <v/>
      </c>
      <c r="B130" s="45" t="str">
        <f t="shared" si="47"/>
        <v/>
      </c>
      <c r="C130" s="95"/>
      <c r="D130" s="57"/>
      <c r="E130" s="58"/>
      <c r="F130" s="54"/>
      <c r="G130" s="52"/>
      <c r="H130" s="52"/>
      <c r="I130" s="61"/>
      <c r="J130" s="62"/>
      <c r="K130" s="129" t="str">
        <f t="shared" si="48"/>
        <v/>
      </c>
      <c r="L130" s="103" t="str">
        <f t="shared" si="49"/>
        <v/>
      </c>
      <c r="M130" s="52">
        <v>0</v>
      </c>
      <c r="N130" s="102" t="str">
        <f t="shared" si="50"/>
        <v/>
      </c>
      <c r="O130" s="103" t="str">
        <f t="shared" si="51"/>
        <v/>
      </c>
      <c r="P130" s="52">
        <v>0</v>
      </c>
      <c r="Q130" s="102" t="str">
        <f t="shared" si="52"/>
        <v/>
      </c>
      <c r="R130" s="103" t="str">
        <f t="shared" si="53"/>
        <v/>
      </c>
      <c r="S130" s="52">
        <v>0</v>
      </c>
      <c r="T130" s="102" t="str">
        <f t="shared" si="54"/>
        <v/>
      </c>
      <c r="U130" s="103" t="str">
        <f t="shared" si="55"/>
        <v/>
      </c>
      <c r="V130" s="52">
        <v>0</v>
      </c>
      <c r="W130" s="87" t="str">
        <f t="shared" si="56"/>
        <v/>
      </c>
      <c r="X130" s="103" t="str">
        <f t="shared" si="57"/>
        <v/>
      </c>
      <c r="Y130" s="52">
        <v>0</v>
      </c>
      <c r="Z130" s="56" t="str">
        <f t="shared" si="58"/>
        <v/>
      </c>
      <c r="AA130" s="56" t="str">
        <f t="shared" si="59"/>
        <v/>
      </c>
      <c r="AB130" s="56" t="str">
        <f t="shared" si="60"/>
        <v/>
      </c>
      <c r="AC130" s="56" t="str">
        <f t="shared" si="61"/>
        <v/>
      </c>
      <c r="AD130" s="56" t="str">
        <f t="shared" si="62"/>
        <v/>
      </c>
      <c r="AE130" s="40"/>
      <c r="AF130" s="40"/>
      <c r="AG130" s="40"/>
      <c r="AH130" s="56" t="str">
        <f t="shared" si="63"/>
        <v/>
      </c>
      <c r="AI130" s="54"/>
      <c r="AJ130" s="54"/>
      <c r="AK130" s="54"/>
      <c r="AL130" s="54"/>
      <c r="AM130" s="54"/>
    </row>
    <row r="131" spans="1:39">
      <c r="A131" s="45" t="str" cm="1">
        <f t="array" ref="A131">IF(H131="PROJECT", CHAR(10) &amp; "- " &amp; _xlfn.TEXTJOIN(CHAR(10) &amp; "- ", TRUE, _xlfn._xlws.FILTER($I$9:$I$1000, ($B$9:$B$1000=B131) * ($H$9:$H$1000="Topic"))), "")</f>
        <v/>
      </c>
      <c r="B131" s="45" t="str">
        <f t="shared" si="47"/>
        <v/>
      </c>
      <c r="C131" s="95"/>
      <c r="D131" s="46"/>
      <c r="E131" s="58"/>
      <c r="F131" s="67"/>
      <c r="G131" s="53"/>
      <c r="H131" s="53"/>
      <c r="I131" s="50"/>
      <c r="J131" s="51"/>
      <c r="K131" s="129" t="str">
        <f t="shared" si="48"/>
        <v/>
      </c>
      <c r="L131" s="103" t="str">
        <f t="shared" si="49"/>
        <v/>
      </c>
      <c r="M131" s="53">
        <v>0</v>
      </c>
      <c r="N131" s="102" t="str">
        <f t="shared" si="50"/>
        <v/>
      </c>
      <c r="O131" s="103" t="str">
        <f t="shared" si="51"/>
        <v/>
      </c>
      <c r="P131" s="53">
        <v>0</v>
      </c>
      <c r="Q131" s="102" t="str">
        <f t="shared" si="52"/>
        <v/>
      </c>
      <c r="R131" s="103" t="str">
        <f t="shared" si="53"/>
        <v/>
      </c>
      <c r="S131" s="53">
        <v>0</v>
      </c>
      <c r="T131" s="102" t="str">
        <f t="shared" si="54"/>
        <v/>
      </c>
      <c r="U131" s="103" t="str">
        <f t="shared" si="55"/>
        <v/>
      </c>
      <c r="V131" s="53">
        <v>0</v>
      </c>
      <c r="W131" s="87" t="str">
        <f t="shared" si="56"/>
        <v/>
      </c>
      <c r="X131" s="103" t="str">
        <f t="shared" si="57"/>
        <v/>
      </c>
      <c r="Y131" s="53">
        <v>0</v>
      </c>
      <c r="Z131" s="56" t="str">
        <f t="shared" si="58"/>
        <v/>
      </c>
      <c r="AA131" s="56" t="str">
        <f t="shared" si="59"/>
        <v/>
      </c>
      <c r="AB131" s="56" t="str">
        <f t="shared" si="60"/>
        <v/>
      </c>
      <c r="AC131" s="56" t="str">
        <f t="shared" si="61"/>
        <v/>
      </c>
      <c r="AD131" s="56" t="str">
        <f t="shared" si="62"/>
        <v/>
      </c>
      <c r="AE131" s="40"/>
      <c r="AF131" s="40"/>
      <c r="AG131" s="40"/>
      <c r="AH131" s="56" t="str">
        <f t="shared" si="63"/>
        <v/>
      </c>
      <c r="AI131" s="54"/>
      <c r="AJ131" s="54"/>
      <c r="AK131" s="54"/>
      <c r="AL131" s="54"/>
      <c r="AM131" s="54"/>
    </row>
    <row r="132" spans="1:39">
      <c r="A132" s="45" t="str" cm="1">
        <f t="array" ref="A132">IF(H132="PROJECT", CHAR(10) &amp; "- " &amp; _xlfn.TEXTJOIN(CHAR(10) &amp; "- ", TRUE, _xlfn._xlws.FILTER($I$9:$I$1000, ($B$9:$B$1000=B132) * ($H$9:$H$1000="Topic"))), "")</f>
        <v/>
      </c>
      <c r="B132" s="45" t="str">
        <f t="shared" si="47"/>
        <v/>
      </c>
      <c r="C132" s="95"/>
      <c r="D132" s="57"/>
      <c r="E132" s="58"/>
      <c r="F132" s="54"/>
      <c r="G132" s="52"/>
      <c r="H132" s="52"/>
      <c r="I132" s="61"/>
      <c r="J132" s="62"/>
      <c r="K132" s="129" t="str">
        <f t="shared" si="48"/>
        <v/>
      </c>
      <c r="L132" s="103" t="str">
        <f t="shared" si="49"/>
        <v/>
      </c>
      <c r="M132" s="52">
        <v>0</v>
      </c>
      <c r="N132" s="102" t="str">
        <f t="shared" si="50"/>
        <v/>
      </c>
      <c r="O132" s="103" t="str">
        <f t="shared" si="51"/>
        <v/>
      </c>
      <c r="P132" s="52">
        <v>0</v>
      </c>
      <c r="Q132" s="102" t="str">
        <f t="shared" si="52"/>
        <v/>
      </c>
      <c r="R132" s="103" t="str">
        <f t="shared" si="53"/>
        <v/>
      </c>
      <c r="S132" s="52">
        <v>0</v>
      </c>
      <c r="T132" s="102" t="str">
        <f t="shared" si="54"/>
        <v/>
      </c>
      <c r="U132" s="103" t="str">
        <f t="shared" si="55"/>
        <v/>
      </c>
      <c r="V132" s="52">
        <v>0</v>
      </c>
      <c r="W132" s="87" t="str">
        <f t="shared" si="56"/>
        <v/>
      </c>
      <c r="X132" s="103" t="str">
        <f t="shared" si="57"/>
        <v/>
      </c>
      <c r="Y132" s="52">
        <v>0</v>
      </c>
      <c r="Z132" s="56" t="str">
        <f t="shared" si="58"/>
        <v/>
      </c>
      <c r="AA132" s="56" t="str">
        <f t="shared" si="59"/>
        <v/>
      </c>
      <c r="AB132" s="56" t="str">
        <f t="shared" si="60"/>
        <v/>
      </c>
      <c r="AC132" s="56" t="str">
        <f t="shared" si="61"/>
        <v/>
      </c>
      <c r="AD132" s="56" t="str">
        <f t="shared" si="62"/>
        <v/>
      </c>
      <c r="AE132" s="40"/>
      <c r="AF132" s="40"/>
      <c r="AG132" s="40"/>
      <c r="AH132" s="56" t="str">
        <f t="shared" si="63"/>
        <v/>
      </c>
      <c r="AI132" s="54"/>
      <c r="AJ132" s="54"/>
      <c r="AK132" s="54"/>
      <c r="AL132" s="54"/>
      <c r="AM132" s="54"/>
    </row>
    <row r="133" spans="1:39">
      <c r="A133" s="45" t="str" cm="1">
        <f t="array" ref="A133">IF(H133="PROJECT", CHAR(10) &amp; "- " &amp; _xlfn.TEXTJOIN(CHAR(10) &amp; "- ", TRUE, _xlfn._xlws.FILTER($I$9:$I$1000, ($B$9:$B$1000=B133) * ($H$9:$H$1000="Topic"))), "")</f>
        <v/>
      </c>
      <c r="B133" s="45" t="str">
        <f t="shared" si="47"/>
        <v/>
      </c>
      <c r="C133" s="95"/>
      <c r="D133" s="46"/>
      <c r="E133" s="58"/>
      <c r="F133" s="67"/>
      <c r="G133" s="53"/>
      <c r="H133" s="53"/>
      <c r="I133" s="50"/>
      <c r="J133" s="51"/>
      <c r="K133" s="129" t="str">
        <f t="shared" si="48"/>
        <v/>
      </c>
      <c r="L133" s="103" t="str">
        <f t="shared" si="49"/>
        <v/>
      </c>
      <c r="M133" s="53">
        <v>0</v>
      </c>
      <c r="N133" s="102" t="str">
        <f t="shared" si="50"/>
        <v/>
      </c>
      <c r="O133" s="103" t="str">
        <f t="shared" si="51"/>
        <v/>
      </c>
      <c r="P133" s="53">
        <v>0</v>
      </c>
      <c r="Q133" s="102" t="str">
        <f t="shared" si="52"/>
        <v/>
      </c>
      <c r="R133" s="103" t="str">
        <f t="shared" si="53"/>
        <v/>
      </c>
      <c r="S133" s="53">
        <v>0</v>
      </c>
      <c r="T133" s="102" t="str">
        <f t="shared" si="54"/>
        <v/>
      </c>
      <c r="U133" s="103" t="str">
        <f t="shared" si="55"/>
        <v/>
      </c>
      <c r="V133" s="53">
        <v>0</v>
      </c>
      <c r="W133" s="87" t="str">
        <f t="shared" si="56"/>
        <v/>
      </c>
      <c r="X133" s="103" t="str">
        <f t="shared" si="57"/>
        <v/>
      </c>
      <c r="Y133" s="53">
        <v>0</v>
      </c>
      <c r="Z133" s="56" t="str">
        <f t="shared" si="58"/>
        <v/>
      </c>
      <c r="AA133" s="56" t="str">
        <f t="shared" si="59"/>
        <v/>
      </c>
      <c r="AB133" s="56" t="str">
        <f t="shared" si="60"/>
        <v/>
      </c>
      <c r="AC133" s="56" t="str">
        <f t="shared" si="61"/>
        <v/>
      </c>
      <c r="AD133" s="56" t="str">
        <f t="shared" si="62"/>
        <v/>
      </c>
      <c r="AE133" s="40"/>
      <c r="AF133" s="40"/>
      <c r="AG133" s="40"/>
      <c r="AH133" s="56" t="str">
        <f t="shared" si="63"/>
        <v/>
      </c>
      <c r="AI133" s="54"/>
      <c r="AJ133" s="54"/>
      <c r="AK133" s="54"/>
      <c r="AL133" s="54"/>
      <c r="AM133" s="54"/>
    </row>
    <row r="134" spans="1:39">
      <c r="A134" s="45" t="str" cm="1">
        <f t="array" ref="A134">IF(H134="PROJECT", CHAR(10) &amp; "- " &amp; _xlfn.TEXTJOIN(CHAR(10) &amp; "- ", TRUE, _xlfn._xlws.FILTER($I$9:$I$1000, ($B$9:$B$1000=B134) * ($H$9:$H$1000="Topic"))), "")</f>
        <v/>
      </c>
      <c r="B134" s="45" t="str">
        <f t="shared" si="47"/>
        <v/>
      </c>
      <c r="C134" s="95"/>
      <c r="D134" s="57"/>
      <c r="E134" s="58"/>
      <c r="F134" s="54"/>
      <c r="G134" s="52"/>
      <c r="H134" s="52"/>
      <c r="I134" s="61"/>
      <c r="J134" s="62"/>
      <c r="K134" s="129" t="str">
        <f t="shared" si="48"/>
        <v/>
      </c>
      <c r="L134" s="103" t="str">
        <f t="shared" si="49"/>
        <v/>
      </c>
      <c r="M134" s="52">
        <v>0</v>
      </c>
      <c r="N134" s="102" t="str">
        <f t="shared" si="50"/>
        <v/>
      </c>
      <c r="O134" s="103" t="str">
        <f t="shared" si="51"/>
        <v/>
      </c>
      <c r="P134" s="52">
        <v>0</v>
      </c>
      <c r="Q134" s="102" t="str">
        <f t="shared" si="52"/>
        <v/>
      </c>
      <c r="R134" s="103" t="str">
        <f t="shared" si="53"/>
        <v/>
      </c>
      <c r="S134" s="52">
        <v>0</v>
      </c>
      <c r="T134" s="102" t="str">
        <f t="shared" si="54"/>
        <v/>
      </c>
      <c r="U134" s="103" t="str">
        <f t="shared" si="55"/>
        <v/>
      </c>
      <c r="V134" s="52">
        <v>0</v>
      </c>
      <c r="W134" s="87" t="str">
        <f t="shared" si="56"/>
        <v/>
      </c>
      <c r="X134" s="103" t="str">
        <f t="shared" si="57"/>
        <v/>
      </c>
      <c r="Y134" s="52">
        <v>0</v>
      </c>
      <c r="Z134" s="56" t="str">
        <f t="shared" si="58"/>
        <v/>
      </c>
      <c r="AA134" s="56" t="str">
        <f t="shared" si="59"/>
        <v/>
      </c>
      <c r="AB134" s="56" t="str">
        <f t="shared" si="60"/>
        <v/>
      </c>
      <c r="AC134" s="56" t="str">
        <f t="shared" si="61"/>
        <v/>
      </c>
      <c r="AD134" s="56" t="str">
        <f t="shared" si="62"/>
        <v/>
      </c>
      <c r="AE134" s="40"/>
      <c r="AF134" s="40"/>
      <c r="AG134" s="40"/>
      <c r="AH134" s="56" t="str">
        <f t="shared" si="63"/>
        <v/>
      </c>
      <c r="AI134" s="54"/>
      <c r="AJ134" s="54"/>
      <c r="AK134" s="54"/>
      <c r="AL134" s="54"/>
      <c r="AM134" s="54"/>
    </row>
    <row r="135" spans="1:39">
      <c r="A135" s="45" t="str" cm="1">
        <f t="array" ref="A135">IF(H135="PROJECT", CHAR(10) &amp; "- " &amp; _xlfn.TEXTJOIN(CHAR(10) &amp; "- ", TRUE, _xlfn._xlws.FILTER($I$9:$I$1000, ($B$9:$B$1000=B135) * ($H$9:$H$1000="Topic"))), "")</f>
        <v/>
      </c>
      <c r="B135" s="45" t="str">
        <f t="shared" si="47"/>
        <v/>
      </c>
      <c r="C135" s="95"/>
      <c r="D135" s="46"/>
      <c r="E135" s="58"/>
      <c r="F135" s="67"/>
      <c r="G135" s="53"/>
      <c r="H135" s="53"/>
      <c r="I135" s="50"/>
      <c r="J135" s="51"/>
      <c r="K135" s="129" t="str">
        <f t="shared" si="48"/>
        <v/>
      </c>
      <c r="L135" s="103" t="str">
        <f t="shared" si="49"/>
        <v/>
      </c>
      <c r="M135" s="53">
        <v>0</v>
      </c>
      <c r="N135" s="102" t="str">
        <f t="shared" si="50"/>
        <v/>
      </c>
      <c r="O135" s="103" t="str">
        <f t="shared" si="51"/>
        <v/>
      </c>
      <c r="P135" s="53">
        <v>0</v>
      </c>
      <c r="Q135" s="102" t="str">
        <f t="shared" si="52"/>
        <v/>
      </c>
      <c r="R135" s="103" t="str">
        <f t="shared" si="53"/>
        <v/>
      </c>
      <c r="S135" s="53">
        <v>0</v>
      </c>
      <c r="T135" s="102" t="str">
        <f t="shared" si="54"/>
        <v/>
      </c>
      <c r="U135" s="103" t="str">
        <f t="shared" si="55"/>
        <v/>
      </c>
      <c r="V135" s="53">
        <v>0</v>
      </c>
      <c r="W135" s="87" t="str">
        <f t="shared" si="56"/>
        <v/>
      </c>
      <c r="X135" s="103" t="str">
        <f t="shared" si="57"/>
        <v/>
      </c>
      <c r="Y135" s="53">
        <v>0</v>
      </c>
      <c r="Z135" s="56" t="str">
        <f t="shared" si="58"/>
        <v/>
      </c>
      <c r="AA135" s="56" t="str">
        <f t="shared" si="59"/>
        <v/>
      </c>
      <c r="AB135" s="56" t="str">
        <f t="shared" si="60"/>
        <v/>
      </c>
      <c r="AC135" s="56" t="str">
        <f t="shared" si="61"/>
        <v/>
      </c>
      <c r="AD135" s="56" t="str">
        <f t="shared" si="62"/>
        <v/>
      </c>
      <c r="AE135" s="40"/>
      <c r="AF135" s="40"/>
      <c r="AG135" s="40"/>
      <c r="AH135" s="56" t="str">
        <f t="shared" si="63"/>
        <v/>
      </c>
      <c r="AI135" s="54"/>
      <c r="AJ135" s="54"/>
      <c r="AK135" s="54"/>
      <c r="AL135" s="54"/>
      <c r="AM135" s="54"/>
    </row>
    <row r="136" spans="1:39">
      <c r="A136" s="45" t="str" cm="1">
        <f t="array" ref="A136">IF(H136="PROJECT", CHAR(10) &amp; "- " &amp; _xlfn.TEXTJOIN(CHAR(10) &amp; "- ", TRUE, _xlfn._xlws.FILTER($I$9:$I$1000, ($B$9:$B$1000=B136) * ($H$9:$H$1000="Topic"))), "")</f>
        <v/>
      </c>
      <c r="B136" s="45" t="str">
        <f t="shared" si="47"/>
        <v/>
      </c>
      <c r="C136" s="95"/>
      <c r="D136" s="57"/>
      <c r="E136" s="58"/>
      <c r="F136" s="54"/>
      <c r="G136" s="52"/>
      <c r="H136" s="52"/>
      <c r="I136" s="61"/>
      <c r="J136" s="62"/>
      <c r="K136" s="129" t="str">
        <f t="shared" si="48"/>
        <v/>
      </c>
      <c r="L136" s="103" t="str">
        <f t="shared" si="49"/>
        <v/>
      </c>
      <c r="M136" s="52">
        <v>0</v>
      </c>
      <c r="N136" s="102" t="str">
        <f t="shared" si="50"/>
        <v/>
      </c>
      <c r="O136" s="103" t="str">
        <f t="shared" si="51"/>
        <v/>
      </c>
      <c r="P136" s="52">
        <v>0</v>
      </c>
      <c r="Q136" s="102" t="str">
        <f t="shared" si="52"/>
        <v/>
      </c>
      <c r="R136" s="103" t="str">
        <f t="shared" si="53"/>
        <v/>
      </c>
      <c r="S136" s="52">
        <v>0</v>
      </c>
      <c r="T136" s="102" t="str">
        <f t="shared" si="54"/>
        <v/>
      </c>
      <c r="U136" s="103" t="str">
        <f t="shared" si="55"/>
        <v/>
      </c>
      <c r="V136" s="52">
        <v>0</v>
      </c>
      <c r="W136" s="87" t="str">
        <f t="shared" si="56"/>
        <v/>
      </c>
      <c r="X136" s="103" t="str">
        <f t="shared" si="57"/>
        <v/>
      </c>
      <c r="Y136" s="52">
        <v>0</v>
      </c>
      <c r="Z136" s="56" t="str">
        <f t="shared" si="58"/>
        <v/>
      </c>
      <c r="AA136" s="56" t="str">
        <f t="shared" si="59"/>
        <v/>
      </c>
      <c r="AB136" s="56" t="str">
        <f t="shared" si="60"/>
        <v/>
      </c>
      <c r="AC136" s="56" t="str">
        <f t="shared" si="61"/>
        <v/>
      </c>
      <c r="AD136" s="56" t="str">
        <f t="shared" si="62"/>
        <v/>
      </c>
      <c r="AE136" s="40"/>
      <c r="AF136" s="40"/>
      <c r="AG136" s="40"/>
      <c r="AH136" s="56" t="str">
        <f t="shared" si="63"/>
        <v/>
      </c>
      <c r="AI136" s="54"/>
      <c r="AJ136" s="54"/>
      <c r="AK136" s="54"/>
      <c r="AL136" s="54"/>
      <c r="AM136" s="54"/>
    </row>
    <row r="137" spans="1:39">
      <c r="A137" s="45" t="str" cm="1">
        <f t="array" ref="A137">IF(H137="PROJECT", CHAR(10) &amp; "- " &amp; _xlfn.TEXTJOIN(CHAR(10) &amp; "- ", TRUE, _xlfn._xlws.FILTER($I$9:$I$1000, ($B$9:$B$1000=B137) * ($H$9:$H$1000="Topic"))), "")</f>
        <v/>
      </c>
      <c r="B137" s="45" t="str">
        <f t="shared" si="47"/>
        <v/>
      </c>
      <c r="C137" s="95"/>
      <c r="D137" s="46"/>
      <c r="E137" s="58"/>
      <c r="F137" s="67"/>
      <c r="G137" s="53"/>
      <c r="H137" s="53"/>
      <c r="I137" s="50"/>
      <c r="J137" s="51"/>
      <c r="K137" s="129" t="str">
        <f t="shared" si="48"/>
        <v/>
      </c>
      <c r="L137" s="103" t="str">
        <f t="shared" ref="L137:L168" si="64">IF(OR(H137="Topic", UPPER(H137)="PROJECT"),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IF(UPPER(H137)="PROJECT", "building a PROJECT: " &amp; I137 &amp; ". Topics applied in this project: " &amp; A137 &amp; ". Project objective: " &amp; J137, "learning: " &amp; I137 &amp; ". Topic details: " &amp; J137)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IF(G137="Beginner", "Evaluate based on basic class instantiation, attribute assignment, and simple method calls. Do NOT expect advanced inheritance or decorators unless explicitly demanded.", IF(G137="Intermediate", "Expect clean class definitions, proper encapsulation, instance initialization via init, and correct use of self. Enforce basic OOP principles.", "Expect advanced OOP architecture using abstract base classes (abc.ABC), inheritance, polymorphism, custom exceptions, and composition over inheritance.")) &amp; " | " &amp;
_xlfn._LONGTEXT("[CODE_QUALITY_POLICIES]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&amp; IF(AJ137&lt;&gt;"", "[MENTOR CONTEXT ALERT] Be aware of the following infrastructure limitation for this exercise: " &amp; AJ137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IF(UPPER(H137)="PROJECT",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IF(UPPER(H137)="PROJECT",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IF(UPPER(H137)="PROJECT", "Project #", "Topic #") &amp; F137 &amp; " | Practice | " &amp; IF($I$3="", $I$2, $I$2&amp; " - " &amp;$I$3) &amp; " | 📊 Level: " &amp; G137 &amp; CHAR(10) &amp; "**" &amp; IF(UPPER(H137)="PROJECT", "Project", "Topic") &amp; ":** " &amp; I137 &amp; CHAR(10) &amp; "---" &amp; CHAR(10) &amp; " | " &amp;
"[FOOTER RULE - STRICT] End your response with: '--- ⚡ *Coding5s Mentor System — Eliminating Epistemic Debt*' | ","")</f>
        <v/>
      </c>
      <c r="M137" s="53">
        <v>0</v>
      </c>
      <c r="N137" s="102" t="str">
        <f t="shared" ref="N137:N168" si="65">IF(H137="Topic",
"[ROLE] Careless " &amp; $I$2 &amp; " Developer | " &amp;
"[TASK] Generate debugging challenges in " &amp; $I$2 &amp; " | | " &amp;
"[TOPIC] " &amp; I137 &amp; " | | " &amp;
"[LEVEL] " &amp; G137 &amp; " | | " &amp;
"[COUNT] " &amp; D137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F137 &amp; " | Stage 2 🐛 Debug | " &amp; IF($I$3="", $I$2, $I$2&amp; " - " &amp;$I$3) &amp; " | 📊 Level: " &amp; G137 &amp; " | 🌐 Coding5s.com" &amp; CHAR(10) &amp; "Concept: " &amp; J137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native assert statements or standard unittest.TestCase classes. | " &amp;
"[DEPENDENCY_MANAGEMENT_RULE] Requires customtkinter library. Standalone scripts must assume customtkinter is installed via pip. | " &amp;
"[CODE CONSTRAINTS] Each challenge MUST include: EXACTLY 1 class definition, 1 init method, at least 1 instance method, and 1 class instantiation with method call. - " &amp; IF(G137="Beginner", "5–15", IF(G137="Intermediate", "10–25", "15–35")) &amp; " lines of EXECUTABLE broken Python code per challenge (STRICT: Do NOT count blank lines). All logic MUST be encapsulated inside class methods.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D137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IF(H137="PROJECT", AA137, ""))</f>
        <v/>
      </c>
      <c r="O137" s="103" t="str">
        <f t="shared" ref="O137:O168" si="66">IF(OR(H137="Topic", UPPER(H137)="PROJECT"),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IF(UPPER(H137)="PROJECT", "PROJECT: " &amp; I137 &amp; ". Topics involved: " &amp; A137 &amp; ". Project objective: " &amp; J137, "TOPIC: " &amp; I137 &amp; ". Topic details: " &amp; J137)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IF(UPPER(H137)="PROJECT", "Project #", "Topic #") &amp; F137 &amp; " | Debug | " &amp; IF($I$3="", $I$2, $I$2&amp; " - " &amp;$I$3) &amp; " | 📊 Level: " &amp; G137 &amp; CHAR(10) &amp; "**" &amp; IF(UPPER(H137)="PROJECT", "Project", "Topic") &amp; ":** " &amp; I137 &amp; CHAR(10) &amp; "---" &amp; CHAR(10) &amp; " | " &amp;
_xlfn._LONGTEXT("[CORE_QUALITY_POLICY]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7" s="53">
        <v>0</v>
      </c>
      <c r="Q137" s="102" t="str">
        <f t="shared" ref="Q137:Q168" si="67">IF(H137="Topic",
"[ROLE] Tech Lead | " &amp;
"[TASK] Assign incomplete " &amp; $I$2 &amp; " script challenges | " &amp;
"[TOPIC] " &amp; I137 &amp; " | " &amp;
"[LEVEL] " &amp; G137 &amp; " | " &amp;
"[COUNT] " &amp; D137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F137 &amp; " | Stage 3 🧩 Complete | " &amp; IF($I$3="", $I$2, $I$2&amp; " - " &amp;$I$3) &amp; " | 📊 Level: " &amp; G137 &amp; " | 🌐 Coding5s.com" &amp; CHAR(10) &amp; "**Concept:** " &amp; J137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Requires 'customtkinter' as the core UI dependency across all topics. | " &amp;
"[TESTING_FRAMEWORK_PROTOCOL] Simple console output verification via standard print() statements. | " &amp;
"[CHALLENGE_CONSTRAINTS_POLICY] For Beginner level, # TODO MUST be atomic (1-2 simple lines max, e.g., basic attribute assignment, primitive print call, or direct comparison). NO complex buffer redirections or string parsing. - " &amp; IF(G137="Beginner","5–15", IF(G137="Intermediate","10–25","15–35")) &amp; " 5–15 lines of EXECUTABLE base code. Code outside # TODO MUST be 100% valid and readable. All code MUST be encapsulated within a class structure; NEVER use flat linear scripts.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D137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I137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IF(G137="Beginner", "Clear explicit hint (no code) | ", IF(G137="Intermediate",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IF(H137="PROJECT", AB137, ""))</f>
        <v/>
      </c>
      <c r="R137" s="103" t="str">
        <f t="shared" ref="R137:R168" si="68">IF(OR(H137="Topic", UPPER(H137)="PROJECT"),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IF(UPPER(H137)="PROJECT", "PROJECT: " &amp; I137 &amp; ". Topics involved: " &amp; A137 &amp; ". Project objective: " &amp; J137, "TOPIC: " &amp; I137 &amp; ". Topic details: " &amp; J137)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IF(UPPER(H137)="PROJECT", "Project #", "Topic #") &amp; F137 &amp; " | Complete | " &amp; IF($I$3="", $I$2, $I$2&amp; " - " &amp;$I$3) &amp; " | 📊 Level: " &amp; G137 &amp; CHAR(10) &amp; "**" &amp; IF(UPPER(H137)="PROJECT", "Project", "Topic") &amp; ":** " &amp; I137 &amp; CHAR(10) &amp; "---" &amp; CHAR(10) &amp; " | " &amp;
_xlfn._LONGTEXT("[CORE_QUALITY_POLICY]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7" s="53">
        <v>0</v>
      </c>
      <c r="T137" s="102" t="str">
        <f t="shared" ref="T137:T168" si="69">IF(H137="Topic",
"[ROLE] Tech Lead | " &amp;
"[TASK] Provide intentionally messy but functional code for learning debugging and improvement | " &amp;
"[TOPIC] " &amp; I137 &amp; " | " &amp;
"[LEVEL] " &amp; G137 &amp; " | " &amp;
"[COUNT] " &amp; D137 &amp; " challenges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F137 &amp; " | Stage 4 🧹 Refactor | " &amp; IF($I$3="", $I$2, $I$2&amp; " - " &amp;$I$3) &amp; " | 📊 Level: " &amp; G137 &amp; " | 🌐 Coding5s.com" &amp; CHAR(10) &amp; "**Concept:** " &amp; J137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D137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IF(G137="Beginner", "5–15", IF(G137="Intermediate",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IF(H137="PROJECT", AC137, ""))</f>
        <v/>
      </c>
      <c r="U137" s="103" t="str">
        <f t="shared" ref="U137:U168" si="70">IF(OR(H137="Topic", UPPER(H137)="PROJECT"),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IF(UPPER(H137)="PROJECT", "PROJECT: " &amp; I137 &amp; ". Topics involved: " &amp; A137 &amp; ". Project objective: " &amp; J137, "TOPIC: " &amp; I137 &amp; ". Topic details: " &amp; J137)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IF(UPPER(H137)="PROJECT", "Project #", "Topic #") &amp; F137 &amp; " | Refactor | " &amp; IF($I$3="", $I$2, $I$2&amp; " - " &amp;$I$3) &amp; " | 📊 Level: " &amp; G137 &amp; CHAR(10) &amp; "**" &amp; IF(UPPER(H137)="PROJECT", "Project", "Topic") &amp; ":** " &amp; I137 &amp; CHAR(10) &amp; "---" &amp; CHAR(10) &amp; " | " &amp;
"[PYTHON QUALITY RULE - STRICT] Code MUST adhere strictly to PEP 8 guidelines. Use PascalCase for Classes, snake_case for methods/variables. Enforce solid OOP patterns: encapsulation, inheritance, and object composition.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7" s="53">
        <v>0</v>
      </c>
      <c r="W137" s="87" t="str">
        <f t="shared" ref="W137:W168" si="71">IF(H137="Topic",
"[ROLE] Tech Product Manager assigning a " &amp; $I$2 &amp; " Jira Ticket | " &amp;
"[TASK] Provide a guided implementation exercise with full solution for learning purposes | " &amp;
"[TOPIC] " &amp; I137 &amp; " | " &amp;
"[LEVEL] " &amp; G137 &amp; "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F137 &amp; " | Stage 5 | " &amp; IF($I$3="", $I$2, $I$2&amp; " - " &amp;$I$3) &amp; " | 📊 Level: " &amp; G137 &amp; " | 🌐 Coding5s.com" &amp; CHAR(10) &amp; "**Concept:** " &amp; J137 &amp; CHAR(10) &amp; "---" &amp; CHAR(10) &amp; " | " &amp;
"[FUNCTIONAL_STRUCTURE_POLICY] Rule: " &amp; IF(G137="Beginner", "Use simple scripts or minimal functions. ", IF(G137="Intermediate",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IF(G137="Beginner", "10–20", IF(G137="Intermediate", "15–30", "25–40")) &amp; " lines of EXECUTABLE code (STRICT) - V1.1 MUST be between " &amp; IF(G137="Beginner", "15–30", IF(G137="Intermediate",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IF(H137="PROJECT", AD137, ""))</f>
        <v/>
      </c>
      <c r="X137" s="103" t="str">
        <f t="shared" ref="X137:X168" si="72">IF(OR(H137="Topic", UPPER(H137)="PROJECT"),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IF(UPPER(H137)="PROJECT", "PROJECT: " &amp; I137 &amp; ". Topics integrated: " &amp; A137 &amp; ". Business Goal: " &amp; J137, "TOPIC: " &amp; I137 &amp; ". Goal: " &amp; J137)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IF(UPPER(H137)="PROJECT", "Project #", "Topic #") &amp; F137 &amp; " | Extend | " &amp; IF($I$3="", $I$2, $I$2&amp; " - " &amp;$I$3) &amp; " | 📊 Level: " &amp; G137 &amp; CHAR(10) &amp; "**" &amp; IF(UPPER(H137)="PROJECT", "Project", "Topic") &amp; ":** " &amp; I137 &amp; CHAR(10) &amp; "---" &amp; CHAR(10) &amp; " | " &amp;
_xlfn._LONGTEXT("[CODE_QUALITY_PROTOCOL] Code MUST adhere strictly to PEP 8 guidelines. Use PascalCase for Classes, snake_case for methods/variables. Enforce robust OOP architecture, design patterns (Factory, Strategy, Singleton), and abstract base classes using the abc m","odule.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7" s="53">
        <v>0</v>
      </c>
      <c r="Z137" s="56" t="str">
        <f t="shared" ref="Z137:Z168" si="73">IF(H137&lt;&gt;"PROJECT","",
"[TASK] Teach through a practical " &amp; $I$2 &amp; " - " &amp; $I$3 &amp; " project following the micro-learning methodology, acting as a supportive tutor, creating a project about  " &amp; I137 &amp; " | " &amp;
"[TOPICS USED] " &amp; A137 &amp; " | " &amp;
"[LEVEL] " &amp; G137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Must include 'import customtkinter as ctk' on a separate top-level line before any class declaration.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 &amp;
"[DATA ROBUSTNESS RULE] Handle real-world data safely | " &amp;
"[CODE CONSTRAINTS] MUST be between " &amp; IF(G137="Beginner", "25–40", IF(G137="Intermediate",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F137 &amp; " | Stage 1 | " &amp; IF($I$3="", $I$2, $I$2&amp; " - " &amp;$I$3) &amp; " | 📊 Level: " &amp; G137 &amp; " | 🌐 Coding5s.com" &amp; CHAR(10) &amp; "**Project:** " &amp; J137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7" s="56" t="str">
        <f t="shared" ref="AA137:AA168" si="74">IF(H137&lt;&gt;"PROJECT","",
"[ROLE] Careless " &amp; $I$2 &amp; " Developer | " &amp;
"[TASK] Generate debugging project in " &amp; $I$2 &amp; " | " &amp;
"[PROJECT] " &amp; I137 &amp; " | " &amp;
"[TOPICS USED] " &amp; A137 &amp; " | " &amp;
"[LEVEL] " &amp; G137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F137 &amp; " | Stage 2 | " &amp; IF($I$3="", $I$2, $I$2&amp; " - " &amp;$I$3) &amp; " | 📊 Level: " &amp; G137 &amp; " | 🌐 Coding5s.com" &amp; CHAR(10) &amp; "Project: " &amp; J137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AE135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IF(G137="Beginner", "25–40", IF(G137="Intermediate", "30–60", "40–100")) &amp; " lines of EXECUTABLE code (STRICT: Do NOT count blank lines towards this limit) - Multi-step flow - 2–4 functions ONLY - main() as entry point " &amp; IF(G137&lt;&gt;"Advanced",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7" s="56" t="str">
        <f t="shared" ref="AB137:AB168" si="75">IF(H137&lt;&gt;"PROJECT","",
"[ROLE] Tech Lead | " &amp;
"[TASK] Assign incomplete project script | " &amp;
"[PROJECT] " &amp; I137 &amp; " | " &amp;
"[TOPICS USED] " &amp; A137 &amp; " | " &amp;
"[LEVEL] " &amp; G137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F137 &amp; " | Stage 3 | " &amp; IF($I$3="", $I$2, $I$2&amp; " - " &amp;$I$3) &amp; " | 📊 Level: " &amp; G137 &amp; " | 🌐 Coding5s.com" &amp; CHAR(10) &amp; "**Project:** " &amp; J137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IF(G137="Beginner","25–40", IF(G137="Intermediate","30–60","40–100")) &amp; " Class-based object architecture. Require at least 1 class with internal state management. Logic integration located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7" s="56" t="str">
        <f t="shared" ref="AC137:AC168" si="76">IF(H137&lt;&gt;"PROJECT","",
"[ROLE] Tech Lead | " &amp;
"[TASK] Provide a messy but functional project for refactoring | " &amp;
"[PROJECT] " &amp; I137 &amp; " | " &amp;
"[TOPICS USED] " &amp; A137 &amp; " | " &amp;
"[LEVEL] " &amp; G137 &amp; " | " &amp;
"[PERSONA RULE] Act as a Tech Lead. A junior wrote this working but messy code. Tone: professional but exhausted | " &amp;
"[HEADER RULE - STRICT] You MUST start your entire response EXACTLY with this markdown block (do not print anything before it):" &amp; CHAR(10) &amp; "### 🚀 Project #" &amp; F137 &amp; " | Stage 4 | " &amp; IF($I$3="", $I$2, $I$2&amp; " - " &amp;$I$3) &amp; " | 📊 Level: " &amp; G137 &amp; " | 🌐 Coding5s.com" &amp; CHAR(10) &amp; "**Project:** " &amp; J137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IF(G137="Beginner", "25–40", IF(G137="Intermediate",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7" s="56" t="str">
        <f t="shared" ref="AD137:AD168" si="77">IF(H137&lt;&gt;"PROJECT","",
"[ROLE] Tech Product Manager assigning a " &amp; $I$2 &amp; " Jira Ticket | " &amp;
"[TASK] Provide a guided project implementation with full solution | " &amp;
"[PROJECT] " &amp; I137 &amp; " | " &amp;
"[TOPICS USED] " &amp; A137 &amp; " | " &amp;
"[LEVEL] " &amp; G137 &amp; " | " &amp;
"[PERSONA RULE] Act as a professional Tech Product Manager defining a project ticket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"[HEADER RULE - STRICT] You MUST start your entire response EXACTLY with this markdown block (do not print anything before it):" &amp; CHAR(10) &amp; "### 🚀 Project #" &amp; F137 &amp; " | Stage 5 | " &amp; IF($I$3="", $I$2, $I$2&amp; " - " &amp;$I$3) &amp; " | 📊 Level: " &amp; G137 &amp; " | 🌐 Coding5s.com" &amp; CHAR(10) &amp; "**Project:** " &amp; J137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IF(G137="Beginner", "20–35", IF(G137="Intermediate", "30–50", "45–70")) &amp; " lines of EXECUTABLE code (STRICT) - V1.1 MUST be between " &amp; IF(G137="Beginner", "30–50", IF(G137="Intermediate",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IF(G137="Beginner", "Avoid complex structure. ", IF(G137="Intermediate",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7" s="40"/>
      <c r="AF137" s="40"/>
      <c r="AG137" s="40"/>
      <c r="AH137" s="56" t="str">
        <f t="shared" ref="AH137:AH168" si="78">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79">IF(H138="","",IF(AND(H138="Topic",H137="PROJECT"),B137+1,IF(H138="PROJECT",B137,IF(AND(H138="Topic",H137="Topic"),B137,B137+1))))</f>
        <v/>
      </c>
      <c r="C138" s="95"/>
      <c r="D138" s="57"/>
      <c r="E138" s="58"/>
      <c r="F138" s="54"/>
      <c r="G138" s="52"/>
      <c r="H138" s="52"/>
      <c r="I138" s="61"/>
      <c r="J138" s="62"/>
      <c r="K138" s="129" t="str">
        <f t="shared" ref="K138:K200" si="80">IF(H138="Topic",
"[ROLE] Friendly tutor specializing in " &amp; $I$2 &amp; " | " &amp;
"[TOPIC] " &amp; I138 &amp; " | " &amp;
"[LEVEL] " &amp; G138 &amp; " | " &amp;
"[COUNT] " &amp; D138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strictly on basic class definitions, the 'init' method, and simple object instantiation. DO NOT use flat linear scripts or procedural code outside of classes.", IF(G138="Intermediate", "STRICT REQUIREMENT: Integrate custom class definitions ('class'), 'init' constructor methods, and instance methods in EVERY example.", "Advanced OOP: Inheritance, method overriding, custom dunder methods ('str', 'repr', 'len'), property decorators (@property), and class/static methods.")) &amp; " | " &amp;
_xlfn._LONGTEXT("[CODE_CONSTRAINTS_RULE]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 &amp;
"[I_O_PARADIGM] Basic primitive types (int, float, str, bool) or simple lists/dictionaries. - print() statements with comma-separated values to display outputs clearly. | " &amp;
"[INLINE_PACKAGE_MANAGER] Must include 'import customtkinter as ctk' on its own dedicated top-level line, separated by a newline from any class declaration.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si="64"/>
        <v/>
      </c>
      <c r="M138" s="52">
        <v>0</v>
      </c>
      <c r="N138" s="102" t="str">
        <f t="shared" si="65"/>
        <v/>
      </c>
      <c r="O138" s="103" t="str">
        <f t="shared" si="66"/>
        <v/>
      </c>
      <c r="P138" s="52">
        <v>0</v>
      </c>
      <c r="Q138" s="102" t="str">
        <f t="shared" si="67"/>
        <v/>
      </c>
      <c r="R138" s="103" t="str">
        <f t="shared" si="68"/>
        <v/>
      </c>
      <c r="S138" s="52">
        <v>0</v>
      </c>
      <c r="T138" s="102" t="str">
        <f t="shared" si="69"/>
        <v/>
      </c>
      <c r="U138" s="103" t="str">
        <f t="shared" si="70"/>
        <v/>
      </c>
      <c r="V138" s="52">
        <v>0</v>
      </c>
      <c r="W138" s="87" t="str">
        <f t="shared" si="71"/>
        <v/>
      </c>
      <c r="X138" s="103" t="str">
        <f t="shared" si="72"/>
        <v/>
      </c>
      <c r="Y138" s="52">
        <v>0</v>
      </c>
      <c r="Z138" s="56" t="str">
        <f t="shared" si="73"/>
        <v/>
      </c>
      <c r="AA138" s="56" t="str">
        <f t="shared" si="74"/>
        <v/>
      </c>
      <c r="AB138" s="56" t="str">
        <f t="shared" si="75"/>
        <v/>
      </c>
      <c r="AC138" s="56" t="str">
        <f t="shared" si="76"/>
        <v/>
      </c>
      <c r="AD138" s="56" t="str">
        <f t="shared" si="77"/>
        <v/>
      </c>
      <c r="AE138" s="40"/>
      <c r="AF138" s="40"/>
      <c r="AG138" s="40"/>
      <c r="AH138" s="56" t="str">
        <f t="shared" si="78"/>
        <v/>
      </c>
      <c r="AI138" s="54"/>
      <c r="AJ138" s="54"/>
      <c r="AK138" s="54"/>
      <c r="AL138" s="54"/>
      <c r="AM138" s="54"/>
    </row>
    <row r="139" spans="1:39">
      <c r="A139" s="45" t="str" cm="1">
        <f t="array" ref="A139">IF(H139="PROJECT", CHAR(10) &amp; "- " &amp; _xlfn.TEXTJOIN(CHAR(10) &amp; "- ", TRUE, _xlfn._xlws.FILTER($I$9:$I$1000, ($B$9:$B$1000=B139) * ($H$9:$H$1000="Topic"))), "")</f>
        <v/>
      </c>
      <c r="B139" s="45" t="str">
        <f t="shared" si="79"/>
        <v/>
      </c>
      <c r="C139" s="95"/>
      <c r="D139" s="46"/>
      <c r="E139" s="58"/>
      <c r="F139" s="67"/>
      <c r="G139" s="53"/>
      <c r="H139" s="53"/>
      <c r="I139" s="50"/>
      <c r="J139" s="51"/>
      <c r="K139" s="129" t="str">
        <f t="shared" si="80"/>
        <v/>
      </c>
      <c r="L139" s="103" t="str">
        <f t="shared" si="64"/>
        <v/>
      </c>
      <c r="M139" s="53">
        <v>0</v>
      </c>
      <c r="N139" s="102" t="str">
        <f t="shared" si="65"/>
        <v/>
      </c>
      <c r="O139" s="103" t="str">
        <f t="shared" si="66"/>
        <v/>
      </c>
      <c r="P139" s="53">
        <v>0</v>
      </c>
      <c r="Q139" s="102" t="str">
        <f t="shared" si="67"/>
        <v/>
      </c>
      <c r="R139" s="103" t="str">
        <f t="shared" si="68"/>
        <v/>
      </c>
      <c r="S139" s="53">
        <v>0</v>
      </c>
      <c r="T139" s="102" t="str">
        <f t="shared" si="69"/>
        <v/>
      </c>
      <c r="U139" s="103" t="str">
        <f t="shared" si="70"/>
        <v/>
      </c>
      <c r="V139" s="53">
        <v>0</v>
      </c>
      <c r="W139" s="87" t="str">
        <f t="shared" si="71"/>
        <v/>
      </c>
      <c r="X139" s="103" t="str">
        <f t="shared" si="72"/>
        <v/>
      </c>
      <c r="Y139" s="53">
        <v>0</v>
      </c>
      <c r="Z139" s="56" t="str">
        <f t="shared" si="73"/>
        <v/>
      </c>
      <c r="AA139" s="56" t="str">
        <f t="shared" si="74"/>
        <v/>
      </c>
      <c r="AB139" s="56" t="str">
        <f t="shared" si="75"/>
        <v/>
      </c>
      <c r="AC139" s="56" t="str">
        <f t="shared" si="76"/>
        <v/>
      </c>
      <c r="AD139" s="56" t="str">
        <f t="shared" si="77"/>
        <v/>
      </c>
      <c r="AE139" s="40"/>
      <c r="AF139" s="40"/>
      <c r="AG139" s="40"/>
      <c r="AH139" s="56" t="str">
        <f t="shared" si="78"/>
        <v/>
      </c>
      <c r="AI139" s="54"/>
      <c r="AJ139" s="54"/>
      <c r="AK139" s="54"/>
      <c r="AL139" s="54"/>
      <c r="AM139" s="54"/>
    </row>
    <row r="140" spans="1:39">
      <c r="A140" s="45" t="str" cm="1">
        <f t="array" ref="A140">IF(H140="PROJECT", CHAR(10) &amp; "- " &amp; _xlfn.TEXTJOIN(CHAR(10) &amp; "- ", TRUE, _xlfn._xlws.FILTER($I$9:$I$1000, ($B$9:$B$1000=B140) * ($H$9:$H$1000="Topic"))), "")</f>
        <v/>
      </c>
      <c r="B140" s="45" t="str">
        <f t="shared" si="79"/>
        <v/>
      </c>
      <c r="C140" s="95"/>
      <c r="D140" s="57"/>
      <c r="E140" s="58"/>
      <c r="F140" s="54"/>
      <c r="G140" s="52"/>
      <c r="H140" s="52"/>
      <c r="I140" s="61"/>
      <c r="J140" s="62"/>
      <c r="K140" s="129" t="str">
        <f t="shared" si="80"/>
        <v/>
      </c>
      <c r="L140" s="103" t="str">
        <f t="shared" si="64"/>
        <v/>
      </c>
      <c r="M140" s="52">
        <v>0</v>
      </c>
      <c r="N140" s="102" t="str">
        <f t="shared" si="65"/>
        <v/>
      </c>
      <c r="O140" s="103" t="str">
        <f t="shared" si="66"/>
        <v/>
      </c>
      <c r="P140" s="52">
        <v>0</v>
      </c>
      <c r="Q140" s="102" t="str">
        <f t="shared" si="67"/>
        <v/>
      </c>
      <c r="R140" s="103" t="str">
        <f t="shared" si="68"/>
        <v/>
      </c>
      <c r="S140" s="52">
        <v>0</v>
      </c>
      <c r="T140" s="102" t="str">
        <f t="shared" si="69"/>
        <v/>
      </c>
      <c r="U140" s="103" t="str">
        <f t="shared" si="70"/>
        <v/>
      </c>
      <c r="V140" s="52">
        <v>0</v>
      </c>
      <c r="W140" s="87" t="str">
        <f t="shared" si="71"/>
        <v/>
      </c>
      <c r="X140" s="103" t="str">
        <f t="shared" si="72"/>
        <v/>
      </c>
      <c r="Y140" s="52">
        <v>0</v>
      </c>
      <c r="Z140" s="56" t="str">
        <f t="shared" si="73"/>
        <v/>
      </c>
      <c r="AA140" s="56" t="str">
        <f t="shared" si="74"/>
        <v/>
      </c>
      <c r="AB140" s="56" t="str">
        <f t="shared" si="75"/>
        <v/>
      </c>
      <c r="AC140" s="56" t="str">
        <f t="shared" si="76"/>
        <v/>
      </c>
      <c r="AD140" s="56" t="str">
        <f t="shared" si="77"/>
        <v/>
      </c>
      <c r="AE140" s="40"/>
      <c r="AF140" s="40"/>
      <c r="AG140" s="40"/>
      <c r="AH140" s="56" t="str">
        <f t="shared" si="78"/>
        <v/>
      </c>
      <c r="AI140" s="54"/>
      <c r="AJ140" s="54"/>
      <c r="AK140" s="54"/>
      <c r="AL140" s="54"/>
      <c r="AM140" s="54"/>
    </row>
    <row r="141" spans="1:39">
      <c r="A141" s="45" t="str" cm="1">
        <f t="array" ref="A141">IF(H141="PROJECT", CHAR(10) &amp; "- " &amp; _xlfn.TEXTJOIN(CHAR(10) &amp; "- ", TRUE, _xlfn._xlws.FILTER($I$9:$I$1000, ($B$9:$B$1000=B141) * ($H$9:$H$1000="Topic"))), "")</f>
        <v/>
      </c>
      <c r="B141" s="45" t="str">
        <f t="shared" si="79"/>
        <v/>
      </c>
      <c r="C141" s="95"/>
      <c r="D141" s="46"/>
      <c r="E141" s="58"/>
      <c r="F141" s="67"/>
      <c r="G141" s="53"/>
      <c r="H141" s="53"/>
      <c r="I141" s="50"/>
      <c r="J141" s="51"/>
      <c r="K141" s="129" t="str">
        <f t="shared" si="80"/>
        <v/>
      </c>
      <c r="L141" s="103" t="str">
        <f t="shared" si="64"/>
        <v/>
      </c>
      <c r="M141" s="53">
        <v>0</v>
      </c>
      <c r="N141" s="102" t="str">
        <f t="shared" si="65"/>
        <v/>
      </c>
      <c r="O141" s="103" t="str">
        <f t="shared" si="66"/>
        <v/>
      </c>
      <c r="P141" s="53">
        <v>0</v>
      </c>
      <c r="Q141" s="102" t="str">
        <f t="shared" si="67"/>
        <v/>
      </c>
      <c r="R141" s="103" t="str">
        <f t="shared" si="68"/>
        <v/>
      </c>
      <c r="S141" s="53">
        <v>0</v>
      </c>
      <c r="T141" s="102" t="str">
        <f t="shared" si="69"/>
        <v/>
      </c>
      <c r="U141" s="103" t="str">
        <f t="shared" si="70"/>
        <v/>
      </c>
      <c r="V141" s="53">
        <v>0</v>
      </c>
      <c r="W141" s="87" t="str">
        <f t="shared" si="71"/>
        <v/>
      </c>
      <c r="X141" s="103" t="str">
        <f t="shared" si="72"/>
        <v/>
      </c>
      <c r="Y141" s="53">
        <v>0</v>
      </c>
      <c r="Z141" s="56" t="str">
        <f t="shared" si="73"/>
        <v/>
      </c>
      <c r="AA141" s="56" t="str">
        <f t="shared" si="74"/>
        <v/>
      </c>
      <c r="AB141" s="56" t="str">
        <f t="shared" si="75"/>
        <v/>
      </c>
      <c r="AC141" s="56" t="str">
        <f t="shared" si="76"/>
        <v/>
      </c>
      <c r="AD141" s="56" t="str">
        <f t="shared" si="77"/>
        <v/>
      </c>
      <c r="AE141" s="40"/>
      <c r="AF141" s="40"/>
      <c r="AG141" s="40"/>
      <c r="AH141" s="56" t="str">
        <f t="shared" si="78"/>
        <v/>
      </c>
      <c r="AI141" s="54"/>
      <c r="AJ141" s="54"/>
      <c r="AK141" s="54"/>
      <c r="AL141" s="54"/>
      <c r="AM141" s="54"/>
    </row>
    <row r="142" spans="1:39">
      <c r="A142" s="45" t="str" cm="1">
        <f t="array" ref="A142">IF(H142="PROJECT", CHAR(10) &amp; "- " &amp; _xlfn.TEXTJOIN(CHAR(10) &amp; "- ", TRUE, _xlfn._xlws.FILTER($I$9:$I$1000, ($B$9:$B$1000=B142) * ($H$9:$H$1000="Topic"))), "")</f>
        <v/>
      </c>
      <c r="B142" s="45" t="str">
        <f t="shared" si="79"/>
        <v/>
      </c>
      <c r="C142" s="95"/>
      <c r="D142" s="57"/>
      <c r="E142" s="58"/>
      <c r="F142" s="54"/>
      <c r="G142" s="52"/>
      <c r="H142" s="52"/>
      <c r="I142" s="61"/>
      <c r="J142" s="62"/>
      <c r="K142" s="129" t="str">
        <f t="shared" si="80"/>
        <v/>
      </c>
      <c r="L142" s="103" t="str">
        <f t="shared" si="64"/>
        <v/>
      </c>
      <c r="M142" s="52">
        <v>0</v>
      </c>
      <c r="N142" s="102" t="str">
        <f t="shared" si="65"/>
        <v/>
      </c>
      <c r="O142" s="103" t="str">
        <f t="shared" si="66"/>
        <v/>
      </c>
      <c r="P142" s="52">
        <v>0</v>
      </c>
      <c r="Q142" s="102" t="str">
        <f t="shared" si="67"/>
        <v/>
      </c>
      <c r="R142" s="103" t="str">
        <f t="shared" si="68"/>
        <v/>
      </c>
      <c r="S142" s="52">
        <v>0</v>
      </c>
      <c r="T142" s="102" t="str">
        <f t="shared" si="69"/>
        <v/>
      </c>
      <c r="U142" s="103" t="str">
        <f t="shared" si="70"/>
        <v/>
      </c>
      <c r="V142" s="52">
        <v>0</v>
      </c>
      <c r="W142" s="87" t="str">
        <f t="shared" si="71"/>
        <v/>
      </c>
      <c r="X142" s="103" t="str">
        <f t="shared" si="72"/>
        <v/>
      </c>
      <c r="Y142" s="52">
        <v>0</v>
      </c>
      <c r="Z142" s="56" t="str">
        <f t="shared" si="73"/>
        <v/>
      </c>
      <c r="AA142" s="56" t="str">
        <f t="shared" si="74"/>
        <v/>
      </c>
      <c r="AB142" s="56" t="str">
        <f t="shared" si="75"/>
        <v/>
      </c>
      <c r="AC142" s="56" t="str">
        <f t="shared" si="76"/>
        <v/>
      </c>
      <c r="AD142" s="56" t="str">
        <f t="shared" si="77"/>
        <v/>
      </c>
      <c r="AE142" s="40"/>
      <c r="AF142" s="40"/>
      <c r="AG142" s="40"/>
      <c r="AH142" s="56" t="str">
        <f t="shared" si="78"/>
        <v/>
      </c>
      <c r="AI142" s="54"/>
      <c r="AJ142" s="54"/>
      <c r="AK142" s="54"/>
      <c r="AL142" s="54"/>
      <c r="AM142" s="54"/>
    </row>
    <row r="143" spans="1:39">
      <c r="A143" s="45" t="str" cm="1">
        <f t="array" ref="A143">IF(H143="PROJECT", CHAR(10) &amp; "- " &amp; _xlfn.TEXTJOIN(CHAR(10) &amp; "- ", TRUE, _xlfn._xlws.FILTER($I$9:$I$1000, ($B$9:$B$1000=B143) * ($H$9:$H$1000="Topic"))), "")</f>
        <v/>
      </c>
      <c r="B143" s="45" t="str">
        <f t="shared" si="79"/>
        <v/>
      </c>
      <c r="C143" s="95"/>
      <c r="D143" s="46"/>
      <c r="E143" s="58"/>
      <c r="F143" s="67"/>
      <c r="G143" s="53"/>
      <c r="H143" s="53"/>
      <c r="I143" s="50"/>
      <c r="J143" s="51"/>
      <c r="K143" s="129" t="str">
        <f t="shared" si="80"/>
        <v/>
      </c>
      <c r="L143" s="103" t="str">
        <f t="shared" si="64"/>
        <v/>
      </c>
      <c r="M143" s="53">
        <v>0</v>
      </c>
      <c r="N143" s="102" t="str">
        <f t="shared" si="65"/>
        <v/>
      </c>
      <c r="O143" s="103" t="str">
        <f t="shared" si="66"/>
        <v/>
      </c>
      <c r="P143" s="53">
        <v>0</v>
      </c>
      <c r="Q143" s="102" t="str">
        <f t="shared" si="67"/>
        <v/>
      </c>
      <c r="R143" s="103" t="str">
        <f t="shared" si="68"/>
        <v/>
      </c>
      <c r="S143" s="53">
        <v>0</v>
      </c>
      <c r="T143" s="102" t="str">
        <f t="shared" si="69"/>
        <v/>
      </c>
      <c r="U143" s="103" t="str">
        <f t="shared" si="70"/>
        <v/>
      </c>
      <c r="V143" s="53">
        <v>0</v>
      </c>
      <c r="W143" s="87" t="str">
        <f t="shared" si="71"/>
        <v/>
      </c>
      <c r="X143" s="103" t="str">
        <f t="shared" si="72"/>
        <v/>
      </c>
      <c r="Y143" s="53">
        <v>0</v>
      </c>
      <c r="Z143" s="56" t="str">
        <f t="shared" si="73"/>
        <v/>
      </c>
      <c r="AA143" s="56" t="str">
        <f t="shared" si="74"/>
        <v/>
      </c>
      <c r="AB143" s="56" t="str">
        <f t="shared" si="75"/>
        <v/>
      </c>
      <c r="AC143" s="56" t="str">
        <f t="shared" si="76"/>
        <v/>
      </c>
      <c r="AD143" s="56" t="str">
        <f t="shared" si="77"/>
        <v/>
      </c>
      <c r="AE143" s="40"/>
      <c r="AF143" s="40"/>
      <c r="AG143" s="40"/>
      <c r="AH143" s="56" t="str">
        <f t="shared" si="78"/>
        <v/>
      </c>
      <c r="AI143" s="54"/>
      <c r="AJ143" s="54"/>
      <c r="AK143" s="54"/>
      <c r="AL143" s="54"/>
      <c r="AM143" s="54"/>
    </row>
    <row r="144" spans="1:39">
      <c r="A144" s="45" t="str" cm="1">
        <f t="array" ref="A144">IF(H144="PROJECT", CHAR(10) &amp; "- " &amp; _xlfn.TEXTJOIN(CHAR(10) &amp; "- ", TRUE, _xlfn._xlws.FILTER($I$9:$I$1000, ($B$9:$B$1000=B144) * ($H$9:$H$1000="Topic"))), "")</f>
        <v/>
      </c>
      <c r="B144" s="45" t="str">
        <f t="shared" si="79"/>
        <v/>
      </c>
      <c r="C144" s="95"/>
      <c r="D144" s="57"/>
      <c r="E144" s="58"/>
      <c r="F144" s="54"/>
      <c r="G144" s="52"/>
      <c r="H144" s="52"/>
      <c r="I144" s="61"/>
      <c r="J144" s="62"/>
      <c r="K144" s="129" t="str">
        <f t="shared" si="80"/>
        <v/>
      </c>
      <c r="L144" s="103" t="str">
        <f t="shared" si="64"/>
        <v/>
      </c>
      <c r="M144" s="52">
        <v>0</v>
      </c>
      <c r="N144" s="102" t="str">
        <f t="shared" si="65"/>
        <v/>
      </c>
      <c r="O144" s="103" t="str">
        <f t="shared" si="66"/>
        <v/>
      </c>
      <c r="P144" s="52">
        <v>0</v>
      </c>
      <c r="Q144" s="102" t="str">
        <f t="shared" si="67"/>
        <v/>
      </c>
      <c r="R144" s="103" t="str">
        <f t="shared" si="68"/>
        <v/>
      </c>
      <c r="S144" s="52">
        <v>0</v>
      </c>
      <c r="T144" s="102" t="str">
        <f t="shared" si="69"/>
        <v/>
      </c>
      <c r="U144" s="103" t="str">
        <f t="shared" si="70"/>
        <v/>
      </c>
      <c r="V144" s="52">
        <v>0</v>
      </c>
      <c r="W144" s="87" t="str">
        <f t="shared" si="71"/>
        <v/>
      </c>
      <c r="X144" s="103" t="str">
        <f t="shared" si="72"/>
        <v/>
      </c>
      <c r="Y144" s="52">
        <v>0</v>
      </c>
      <c r="Z144" s="56" t="str">
        <f t="shared" si="73"/>
        <v/>
      </c>
      <c r="AA144" s="56" t="str">
        <f t="shared" si="74"/>
        <v/>
      </c>
      <c r="AB144" s="56" t="str">
        <f t="shared" si="75"/>
        <v/>
      </c>
      <c r="AC144" s="56" t="str">
        <f t="shared" si="76"/>
        <v/>
      </c>
      <c r="AD144" s="56" t="str">
        <f t="shared" si="77"/>
        <v/>
      </c>
      <c r="AE144" s="40"/>
      <c r="AF144" s="40"/>
      <c r="AG144" s="40"/>
      <c r="AH144" s="56" t="str">
        <f t="shared" si="78"/>
        <v/>
      </c>
      <c r="AI144" s="54"/>
      <c r="AJ144" s="54"/>
      <c r="AK144" s="54"/>
      <c r="AL144" s="54"/>
      <c r="AM144" s="54"/>
    </row>
    <row r="145" spans="1:39">
      <c r="A145" s="45" t="str" cm="1">
        <f t="array" ref="A145">IF(H145="PROJECT", CHAR(10) &amp; "- " &amp; _xlfn.TEXTJOIN(CHAR(10) &amp; "- ", TRUE, _xlfn._xlws.FILTER($I$9:$I$1000, ($B$9:$B$1000=B145) * ($H$9:$H$1000="Topic"))), "")</f>
        <v/>
      </c>
      <c r="B145" s="45" t="str">
        <f t="shared" si="79"/>
        <v/>
      </c>
      <c r="C145" s="95"/>
      <c r="D145" s="46"/>
      <c r="E145" s="58"/>
      <c r="F145" s="67"/>
      <c r="G145" s="53"/>
      <c r="H145" s="53"/>
      <c r="I145" s="50"/>
      <c r="J145" s="51"/>
      <c r="K145" s="129" t="str">
        <f t="shared" si="80"/>
        <v/>
      </c>
      <c r="L145" s="103" t="str">
        <f t="shared" si="64"/>
        <v/>
      </c>
      <c r="M145" s="53">
        <v>0</v>
      </c>
      <c r="N145" s="102" t="str">
        <f t="shared" si="65"/>
        <v/>
      </c>
      <c r="O145" s="103" t="str">
        <f t="shared" si="66"/>
        <v/>
      </c>
      <c r="P145" s="53">
        <v>0</v>
      </c>
      <c r="Q145" s="102" t="str">
        <f t="shared" si="67"/>
        <v/>
      </c>
      <c r="R145" s="103" t="str">
        <f t="shared" si="68"/>
        <v/>
      </c>
      <c r="S145" s="53">
        <v>0</v>
      </c>
      <c r="T145" s="102" t="str">
        <f t="shared" si="69"/>
        <v/>
      </c>
      <c r="U145" s="103" t="str">
        <f t="shared" si="70"/>
        <v/>
      </c>
      <c r="V145" s="53">
        <v>0</v>
      </c>
      <c r="W145" s="87" t="str">
        <f t="shared" si="71"/>
        <v/>
      </c>
      <c r="X145" s="103" t="str">
        <f t="shared" si="72"/>
        <v/>
      </c>
      <c r="Y145" s="53">
        <v>0</v>
      </c>
      <c r="Z145" s="56" t="str">
        <f t="shared" si="73"/>
        <v/>
      </c>
      <c r="AA145" s="56" t="str">
        <f t="shared" si="74"/>
        <v/>
      </c>
      <c r="AB145" s="56" t="str">
        <f t="shared" si="75"/>
        <v/>
      </c>
      <c r="AC145" s="56" t="str">
        <f t="shared" si="76"/>
        <v/>
      </c>
      <c r="AD145" s="56" t="str">
        <f t="shared" si="77"/>
        <v/>
      </c>
      <c r="AE145" s="40"/>
      <c r="AF145" s="40"/>
      <c r="AG145" s="40"/>
      <c r="AH145" s="56" t="str">
        <f t="shared" si="78"/>
        <v/>
      </c>
      <c r="AI145" s="54"/>
      <c r="AJ145" s="54"/>
      <c r="AK145" s="54"/>
      <c r="AL145" s="54"/>
      <c r="AM145" s="54"/>
    </row>
    <row r="146" spans="1:39">
      <c r="A146" s="45" t="str" cm="1">
        <f t="array" ref="A146">IF(H146="PROJECT", CHAR(10) &amp; "- " &amp; _xlfn.TEXTJOIN(CHAR(10) &amp; "- ", TRUE, _xlfn._xlws.FILTER($I$9:$I$1000, ($B$9:$B$1000=B146) * ($H$9:$H$1000="Topic"))), "")</f>
        <v/>
      </c>
      <c r="B146" s="45" t="str">
        <f t="shared" si="79"/>
        <v/>
      </c>
      <c r="C146" s="95"/>
      <c r="D146" s="57"/>
      <c r="E146" s="58"/>
      <c r="F146" s="54"/>
      <c r="G146" s="52"/>
      <c r="H146" s="52"/>
      <c r="I146" s="61"/>
      <c r="J146" s="62"/>
      <c r="K146" s="129" t="str">
        <f t="shared" si="80"/>
        <v/>
      </c>
      <c r="L146" s="103" t="str">
        <f t="shared" si="64"/>
        <v/>
      </c>
      <c r="M146" s="52">
        <v>0</v>
      </c>
      <c r="N146" s="102" t="str">
        <f t="shared" si="65"/>
        <v/>
      </c>
      <c r="O146" s="103" t="str">
        <f t="shared" si="66"/>
        <v/>
      </c>
      <c r="P146" s="52">
        <v>0</v>
      </c>
      <c r="Q146" s="102" t="str">
        <f t="shared" si="67"/>
        <v/>
      </c>
      <c r="R146" s="103" t="str">
        <f t="shared" si="68"/>
        <v/>
      </c>
      <c r="S146" s="52">
        <v>0</v>
      </c>
      <c r="T146" s="102" t="str">
        <f t="shared" si="69"/>
        <v/>
      </c>
      <c r="U146" s="103" t="str">
        <f t="shared" si="70"/>
        <v/>
      </c>
      <c r="V146" s="52">
        <v>0</v>
      </c>
      <c r="W146" s="87" t="str">
        <f t="shared" si="71"/>
        <v/>
      </c>
      <c r="X146" s="103" t="str">
        <f t="shared" si="72"/>
        <v/>
      </c>
      <c r="Y146" s="52">
        <v>0</v>
      </c>
      <c r="Z146" s="56" t="str">
        <f t="shared" si="73"/>
        <v/>
      </c>
      <c r="AA146" s="56" t="str">
        <f t="shared" si="74"/>
        <v/>
      </c>
      <c r="AB146" s="56" t="str">
        <f t="shared" si="75"/>
        <v/>
      </c>
      <c r="AC146" s="56" t="str">
        <f t="shared" si="76"/>
        <v/>
      </c>
      <c r="AD146" s="56" t="str">
        <f t="shared" si="77"/>
        <v/>
      </c>
      <c r="AE146" s="40"/>
      <c r="AF146" s="40"/>
      <c r="AG146" s="40"/>
      <c r="AH146" s="56" t="str">
        <f t="shared" si="78"/>
        <v/>
      </c>
      <c r="AI146" s="54"/>
      <c r="AJ146" s="54"/>
      <c r="AK146" s="54"/>
      <c r="AL146" s="54"/>
      <c r="AM146" s="54"/>
    </row>
    <row r="147" spans="1:39">
      <c r="A147" s="45" t="str" cm="1">
        <f t="array" ref="A147">IF(H147="PROJECT", CHAR(10) &amp; "- " &amp; _xlfn.TEXTJOIN(CHAR(10) &amp; "- ", TRUE, _xlfn._xlws.FILTER($I$9:$I$1000, ($B$9:$B$1000=B147) * ($H$9:$H$1000="Topic"))), "")</f>
        <v/>
      </c>
      <c r="B147" s="45" t="str">
        <f t="shared" si="79"/>
        <v/>
      </c>
      <c r="C147" s="95"/>
      <c r="D147" s="46"/>
      <c r="E147" s="58"/>
      <c r="F147" s="67"/>
      <c r="G147" s="53"/>
      <c r="H147" s="53"/>
      <c r="I147" s="50"/>
      <c r="J147" s="51"/>
      <c r="K147" s="129" t="str">
        <f t="shared" si="80"/>
        <v/>
      </c>
      <c r="L147" s="103" t="str">
        <f t="shared" si="64"/>
        <v/>
      </c>
      <c r="M147" s="53">
        <v>0</v>
      </c>
      <c r="N147" s="102" t="str">
        <f t="shared" si="65"/>
        <v/>
      </c>
      <c r="O147" s="103" t="str">
        <f t="shared" si="66"/>
        <v/>
      </c>
      <c r="P147" s="53">
        <v>0</v>
      </c>
      <c r="Q147" s="102" t="str">
        <f t="shared" si="67"/>
        <v/>
      </c>
      <c r="R147" s="103" t="str">
        <f t="shared" si="68"/>
        <v/>
      </c>
      <c r="S147" s="53">
        <v>0</v>
      </c>
      <c r="T147" s="102" t="str">
        <f t="shared" si="69"/>
        <v/>
      </c>
      <c r="U147" s="103" t="str">
        <f t="shared" si="70"/>
        <v/>
      </c>
      <c r="V147" s="53">
        <v>0</v>
      </c>
      <c r="W147" s="87" t="str">
        <f t="shared" si="71"/>
        <v/>
      </c>
      <c r="X147" s="103" t="str">
        <f t="shared" si="72"/>
        <v/>
      </c>
      <c r="Y147" s="53">
        <v>0</v>
      </c>
      <c r="Z147" s="56" t="str">
        <f t="shared" si="73"/>
        <v/>
      </c>
      <c r="AA147" s="56" t="str">
        <f t="shared" si="74"/>
        <v/>
      </c>
      <c r="AB147" s="56" t="str">
        <f t="shared" si="75"/>
        <v/>
      </c>
      <c r="AC147" s="56" t="str">
        <f t="shared" si="76"/>
        <v/>
      </c>
      <c r="AD147" s="56" t="str">
        <f t="shared" si="77"/>
        <v/>
      </c>
      <c r="AE147" s="40"/>
      <c r="AF147" s="40"/>
      <c r="AG147" s="40"/>
      <c r="AH147" s="56" t="str">
        <f t="shared" si="78"/>
        <v/>
      </c>
      <c r="AI147" s="54"/>
      <c r="AJ147" s="54"/>
      <c r="AK147" s="54"/>
      <c r="AL147" s="54"/>
      <c r="AM147" s="54"/>
    </row>
    <row r="148" spans="1:39">
      <c r="A148" s="45" t="str" cm="1">
        <f t="array" ref="A148">IF(H148="PROJECT", CHAR(10) &amp; "- " &amp; _xlfn.TEXTJOIN(CHAR(10) &amp; "- ", TRUE, _xlfn._xlws.FILTER($I$9:$I$1000, ($B$9:$B$1000=B148) * ($H$9:$H$1000="Topic"))), "")</f>
        <v/>
      </c>
      <c r="B148" s="45" t="str">
        <f t="shared" si="79"/>
        <v/>
      </c>
      <c r="C148" s="95"/>
      <c r="D148" s="57"/>
      <c r="E148" s="58"/>
      <c r="F148" s="54"/>
      <c r="G148" s="52"/>
      <c r="H148" s="52"/>
      <c r="I148" s="61"/>
      <c r="J148" s="62"/>
      <c r="K148" s="129" t="str">
        <f t="shared" si="80"/>
        <v/>
      </c>
      <c r="L148" s="103" t="str">
        <f t="shared" si="64"/>
        <v/>
      </c>
      <c r="M148" s="52">
        <v>0</v>
      </c>
      <c r="N148" s="102" t="str">
        <f t="shared" si="65"/>
        <v/>
      </c>
      <c r="O148" s="103" t="str">
        <f t="shared" si="66"/>
        <v/>
      </c>
      <c r="P148" s="52">
        <v>0</v>
      </c>
      <c r="Q148" s="102" t="str">
        <f t="shared" si="67"/>
        <v/>
      </c>
      <c r="R148" s="103" t="str">
        <f t="shared" si="68"/>
        <v/>
      </c>
      <c r="S148" s="52">
        <v>0</v>
      </c>
      <c r="T148" s="102" t="str">
        <f t="shared" si="69"/>
        <v/>
      </c>
      <c r="U148" s="103" t="str">
        <f t="shared" si="70"/>
        <v/>
      </c>
      <c r="V148" s="52">
        <v>0</v>
      </c>
      <c r="W148" s="87" t="str">
        <f t="shared" si="71"/>
        <v/>
      </c>
      <c r="X148" s="103" t="str">
        <f t="shared" si="72"/>
        <v/>
      </c>
      <c r="Y148" s="52">
        <v>0</v>
      </c>
      <c r="Z148" s="56" t="str">
        <f t="shared" si="73"/>
        <v/>
      </c>
      <c r="AA148" s="56" t="str">
        <f t="shared" si="74"/>
        <v/>
      </c>
      <c r="AB148" s="56" t="str">
        <f t="shared" si="75"/>
        <v/>
      </c>
      <c r="AC148" s="56" t="str">
        <f t="shared" si="76"/>
        <v/>
      </c>
      <c r="AD148" s="56" t="str">
        <f t="shared" si="77"/>
        <v/>
      </c>
      <c r="AE148" s="40"/>
      <c r="AF148" s="40"/>
      <c r="AG148" s="40"/>
      <c r="AH148" s="56" t="str">
        <f t="shared" si="78"/>
        <v/>
      </c>
      <c r="AI148" s="54"/>
      <c r="AJ148" s="54"/>
      <c r="AK148" s="54"/>
      <c r="AL148" s="54"/>
      <c r="AM148" s="54"/>
    </row>
    <row r="149" spans="1:39">
      <c r="A149" s="45" t="str" cm="1">
        <f t="array" ref="A149">IF(H149="PROJECT", CHAR(10) &amp; "- " &amp; _xlfn.TEXTJOIN(CHAR(10) &amp; "- ", TRUE, _xlfn._xlws.FILTER($I$9:$I$1000, ($B$9:$B$1000=B149) * ($H$9:$H$1000="Topic"))), "")</f>
        <v/>
      </c>
      <c r="B149" s="45" t="str">
        <f t="shared" si="79"/>
        <v/>
      </c>
      <c r="C149" s="95"/>
      <c r="D149" s="46"/>
      <c r="E149" s="58"/>
      <c r="F149" s="67"/>
      <c r="G149" s="53"/>
      <c r="H149" s="53"/>
      <c r="I149" s="50"/>
      <c r="J149" s="51"/>
      <c r="K149" s="129" t="str">
        <f t="shared" si="80"/>
        <v/>
      </c>
      <c r="L149" s="103" t="str">
        <f t="shared" si="64"/>
        <v/>
      </c>
      <c r="M149" s="53">
        <v>0</v>
      </c>
      <c r="N149" s="102" t="str">
        <f t="shared" si="65"/>
        <v/>
      </c>
      <c r="O149" s="103" t="str">
        <f t="shared" si="66"/>
        <v/>
      </c>
      <c r="P149" s="53">
        <v>0</v>
      </c>
      <c r="Q149" s="102" t="str">
        <f t="shared" si="67"/>
        <v/>
      </c>
      <c r="R149" s="103" t="str">
        <f t="shared" si="68"/>
        <v/>
      </c>
      <c r="S149" s="53">
        <v>0</v>
      </c>
      <c r="T149" s="102" t="str">
        <f t="shared" si="69"/>
        <v/>
      </c>
      <c r="U149" s="103" t="str">
        <f t="shared" si="70"/>
        <v/>
      </c>
      <c r="V149" s="53">
        <v>0</v>
      </c>
      <c r="W149" s="87" t="str">
        <f t="shared" si="71"/>
        <v/>
      </c>
      <c r="X149" s="103" t="str">
        <f t="shared" si="72"/>
        <v/>
      </c>
      <c r="Y149" s="53">
        <v>0</v>
      </c>
      <c r="Z149" s="56" t="str">
        <f t="shared" si="73"/>
        <v/>
      </c>
      <c r="AA149" s="56" t="str">
        <f t="shared" si="74"/>
        <v/>
      </c>
      <c r="AB149" s="56" t="str">
        <f t="shared" si="75"/>
        <v/>
      </c>
      <c r="AC149" s="56" t="str">
        <f t="shared" si="76"/>
        <v/>
      </c>
      <c r="AD149" s="56" t="str">
        <f t="shared" si="77"/>
        <v/>
      </c>
      <c r="AE149" s="40"/>
      <c r="AF149" s="40"/>
      <c r="AG149" s="40"/>
      <c r="AH149" s="56" t="str">
        <f t="shared" si="78"/>
        <v/>
      </c>
      <c r="AI149" s="54"/>
      <c r="AJ149" s="54"/>
      <c r="AK149" s="54"/>
      <c r="AL149" s="54"/>
      <c r="AM149" s="54"/>
    </row>
    <row r="150" spans="1:39">
      <c r="A150" s="45" t="str" cm="1">
        <f t="array" ref="A150">IF(H150="PROJECT", CHAR(10) &amp; "- " &amp; _xlfn.TEXTJOIN(CHAR(10) &amp; "- ", TRUE, _xlfn._xlws.FILTER($I$9:$I$1000, ($B$9:$B$1000=B150) * ($H$9:$H$1000="Topic"))), "")</f>
        <v/>
      </c>
      <c r="B150" s="45" t="str">
        <f t="shared" si="79"/>
        <v/>
      </c>
      <c r="C150" s="95"/>
      <c r="D150" s="57"/>
      <c r="E150" s="58"/>
      <c r="F150" s="54"/>
      <c r="G150" s="52"/>
      <c r="H150" s="52"/>
      <c r="I150" s="61"/>
      <c r="J150" s="62"/>
      <c r="K150" s="129" t="str">
        <f t="shared" si="80"/>
        <v/>
      </c>
      <c r="L150" s="103" t="str">
        <f t="shared" si="64"/>
        <v/>
      </c>
      <c r="M150" s="52">
        <v>0</v>
      </c>
      <c r="N150" s="102" t="str">
        <f t="shared" si="65"/>
        <v/>
      </c>
      <c r="O150" s="103" t="str">
        <f t="shared" si="66"/>
        <v/>
      </c>
      <c r="P150" s="52">
        <v>0</v>
      </c>
      <c r="Q150" s="102" t="str">
        <f t="shared" si="67"/>
        <v/>
      </c>
      <c r="R150" s="103" t="str">
        <f t="shared" si="68"/>
        <v/>
      </c>
      <c r="S150" s="52">
        <v>0</v>
      </c>
      <c r="T150" s="102" t="str">
        <f t="shared" si="69"/>
        <v/>
      </c>
      <c r="U150" s="103" t="str">
        <f t="shared" si="70"/>
        <v/>
      </c>
      <c r="V150" s="52">
        <v>0</v>
      </c>
      <c r="W150" s="87" t="str">
        <f t="shared" si="71"/>
        <v/>
      </c>
      <c r="X150" s="103" t="str">
        <f t="shared" si="72"/>
        <v/>
      </c>
      <c r="Y150" s="52">
        <v>0</v>
      </c>
      <c r="Z150" s="56" t="str">
        <f t="shared" si="73"/>
        <v/>
      </c>
      <c r="AA150" s="56" t="str">
        <f t="shared" si="74"/>
        <v/>
      </c>
      <c r="AB150" s="56" t="str">
        <f t="shared" si="75"/>
        <v/>
      </c>
      <c r="AC150" s="56" t="str">
        <f t="shared" si="76"/>
        <v/>
      </c>
      <c r="AD150" s="56" t="str">
        <f t="shared" si="77"/>
        <v/>
      </c>
      <c r="AE150" s="40"/>
      <c r="AF150" s="40"/>
      <c r="AG150" s="40"/>
      <c r="AH150" s="56" t="str">
        <f t="shared" si="78"/>
        <v/>
      </c>
      <c r="AI150" s="54"/>
      <c r="AJ150" s="54"/>
      <c r="AK150" s="54"/>
      <c r="AL150" s="54"/>
      <c r="AM150" s="54"/>
    </row>
    <row r="151" spans="1:39">
      <c r="A151" s="45" t="str" cm="1">
        <f t="array" ref="A151">IF(H151="PROJECT", CHAR(10) &amp; "- " &amp; _xlfn.TEXTJOIN(CHAR(10) &amp; "- ", TRUE, _xlfn._xlws.FILTER($I$9:$I$1000, ($B$9:$B$1000=B151) * ($H$9:$H$1000="Topic"))), "")</f>
        <v/>
      </c>
      <c r="B151" s="45" t="str">
        <f t="shared" si="79"/>
        <v/>
      </c>
      <c r="C151" s="95"/>
      <c r="D151" s="46"/>
      <c r="E151" s="58"/>
      <c r="F151" s="67"/>
      <c r="G151" s="53"/>
      <c r="H151" s="53"/>
      <c r="I151" s="50"/>
      <c r="J151" s="51"/>
      <c r="K151" s="129" t="str">
        <f t="shared" si="80"/>
        <v/>
      </c>
      <c r="L151" s="103" t="str">
        <f t="shared" si="64"/>
        <v/>
      </c>
      <c r="M151" s="53">
        <v>0</v>
      </c>
      <c r="N151" s="102" t="str">
        <f t="shared" si="65"/>
        <v/>
      </c>
      <c r="O151" s="103" t="str">
        <f t="shared" si="66"/>
        <v/>
      </c>
      <c r="P151" s="53">
        <v>0</v>
      </c>
      <c r="Q151" s="102" t="str">
        <f t="shared" si="67"/>
        <v/>
      </c>
      <c r="R151" s="103" t="str">
        <f t="shared" si="68"/>
        <v/>
      </c>
      <c r="S151" s="53">
        <v>0</v>
      </c>
      <c r="T151" s="102" t="str">
        <f t="shared" si="69"/>
        <v/>
      </c>
      <c r="U151" s="103" t="str">
        <f t="shared" si="70"/>
        <v/>
      </c>
      <c r="V151" s="53">
        <v>0</v>
      </c>
      <c r="W151" s="87" t="str">
        <f t="shared" si="71"/>
        <v/>
      </c>
      <c r="X151" s="103" t="str">
        <f t="shared" si="72"/>
        <v/>
      </c>
      <c r="Y151" s="53">
        <v>0</v>
      </c>
      <c r="Z151" s="56" t="str">
        <f t="shared" si="73"/>
        <v/>
      </c>
      <c r="AA151" s="56" t="str">
        <f t="shared" si="74"/>
        <v/>
      </c>
      <c r="AB151" s="56" t="str">
        <f t="shared" si="75"/>
        <v/>
      </c>
      <c r="AC151" s="56" t="str">
        <f t="shared" si="76"/>
        <v/>
      </c>
      <c r="AD151" s="56" t="str">
        <f t="shared" si="77"/>
        <v/>
      </c>
      <c r="AE151" s="40"/>
      <c r="AF151" s="40"/>
      <c r="AG151" s="40"/>
      <c r="AH151" s="56" t="str">
        <f t="shared" si="78"/>
        <v/>
      </c>
      <c r="AI151" s="54"/>
      <c r="AJ151" s="54"/>
      <c r="AK151" s="54"/>
      <c r="AL151" s="54"/>
      <c r="AM151" s="54"/>
    </row>
    <row r="152" spans="1:39">
      <c r="A152" s="45" t="str" cm="1">
        <f t="array" ref="A152">IF(H152="PROJECT", CHAR(10) &amp; "- " &amp; _xlfn.TEXTJOIN(CHAR(10) &amp; "- ", TRUE, _xlfn._xlws.FILTER($I$9:$I$1000, ($B$9:$B$1000=B152) * ($H$9:$H$1000="Topic"))), "")</f>
        <v/>
      </c>
      <c r="B152" s="45" t="str">
        <f t="shared" si="79"/>
        <v/>
      </c>
      <c r="C152" s="95"/>
      <c r="D152" s="57"/>
      <c r="E152" s="58"/>
      <c r="F152" s="54"/>
      <c r="G152" s="52"/>
      <c r="H152" s="52"/>
      <c r="I152" s="61"/>
      <c r="J152" s="62"/>
      <c r="K152" s="129" t="str">
        <f t="shared" si="80"/>
        <v/>
      </c>
      <c r="L152" s="103" t="str">
        <f t="shared" si="64"/>
        <v/>
      </c>
      <c r="M152" s="52">
        <v>0</v>
      </c>
      <c r="N152" s="102" t="str">
        <f t="shared" si="65"/>
        <v/>
      </c>
      <c r="O152" s="103" t="str">
        <f t="shared" si="66"/>
        <v/>
      </c>
      <c r="P152" s="52">
        <v>0</v>
      </c>
      <c r="Q152" s="102" t="str">
        <f t="shared" si="67"/>
        <v/>
      </c>
      <c r="R152" s="103" t="str">
        <f t="shared" si="68"/>
        <v/>
      </c>
      <c r="S152" s="52">
        <v>0</v>
      </c>
      <c r="T152" s="102" t="str">
        <f t="shared" si="69"/>
        <v/>
      </c>
      <c r="U152" s="103" t="str">
        <f t="shared" si="70"/>
        <v/>
      </c>
      <c r="V152" s="52">
        <v>0</v>
      </c>
      <c r="W152" s="87" t="str">
        <f t="shared" si="71"/>
        <v/>
      </c>
      <c r="X152" s="103" t="str">
        <f t="shared" si="72"/>
        <v/>
      </c>
      <c r="Y152" s="52">
        <v>0</v>
      </c>
      <c r="Z152" s="56" t="str">
        <f t="shared" si="73"/>
        <v/>
      </c>
      <c r="AA152" s="56" t="str">
        <f t="shared" si="74"/>
        <v/>
      </c>
      <c r="AB152" s="56" t="str">
        <f t="shared" si="75"/>
        <v/>
      </c>
      <c r="AC152" s="56" t="str">
        <f t="shared" si="76"/>
        <v/>
      </c>
      <c r="AD152" s="56" t="str">
        <f t="shared" si="77"/>
        <v/>
      </c>
      <c r="AE152" s="40"/>
      <c r="AF152" s="40"/>
      <c r="AG152" s="40"/>
      <c r="AH152" s="56" t="str">
        <f t="shared" si="78"/>
        <v/>
      </c>
      <c r="AI152" s="54"/>
      <c r="AJ152" s="54"/>
      <c r="AK152" s="54"/>
      <c r="AL152" s="54"/>
      <c r="AM152" s="54"/>
    </row>
    <row r="153" spans="1:39">
      <c r="A153" s="45" t="str" cm="1">
        <f t="array" ref="A153">IF(H153="PROJECT", CHAR(10) &amp; "- " &amp; _xlfn.TEXTJOIN(CHAR(10) &amp; "- ", TRUE, _xlfn._xlws.FILTER($I$9:$I$1000, ($B$9:$B$1000=B153) * ($H$9:$H$1000="Topic"))), "")</f>
        <v/>
      </c>
      <c r="B153" s="45" t="str">
        <f t="shared" si="79"/>
        <v/>
      </c>
      <c r="C153" s="95"/>
      <c r="D153" s="46"/>
      <c r="E153" s="58"/>
      <c r="F153" s="67"/>
      <c r="G153" s="53"/>
      <c r="H153" s="53"/>
      <c r="I153" s="50"/>
      <c r="J153" s="51"/>
      <c r="K153" s="129" t="str">
        <f t="shared" si="80"/>
        <v/>
      </c>
      <c r="L153" s="103" t="str">
        <f t="shared" si="64"/>
        <v/>
      </c>
      <c r="M153" s="53">
        <v>0</v>
      </c>
      <c r="N153" s="102" t="str">
        <f t="shared" si="65"/>
        <v/>
      </c>
      <c r="O153" s="103" t="str">
        <f t="shared" si="66"/>
        <v/>
      </c>
      <c r="P153" s="53">
        <v>0</v>
      </c>
      <c r="Q153" s="102" t="str">
        <f t="shared" si="67"/>
        <v/>
      </c>
      <c r="R153" s="103" t="str">
        <f t="shared" si="68"/>
        <v/>
      </c>
      <c r="S153" s="53">
        <v>0</v>
      </c>
      <c r="T153" s="102" t="str">
        <f t="shared" si="69"/>
        <v/>
      </c>
      <c r="U153" s="103" t="str">
        <f t="shared" si="70"/>
        <v/>
      </c>
      <c r="V153" s="53">
        <v>0</v>
      </c>
      <c r="W153" s="87" t="str">
        <f t="shared" si="71"/>
        <v/>
      </c>
      <c r="X153" s="103" t="str">
        <f t="shared" si="72"/>
        <v/>
      </c>
      <c r="Y153" s="53">
        <v>0</v>
      </c>
      <c r="Z153" s="56" t="str">
        <f t="shared" si="73"/>
        <v/>
      </c>
      <c r="AA153" s="56" t="str">
        <f t="shared" si="74"/>
        <v/>
      </c>
      <c r="AB153" s="56" t="str">
        <f t="shared" si="75"/>
        <v/>
      </c>
      <c r="AC153" s="56" t="str">
        <f t="shared" si="76"/>
        <v/>
      </c>
      <c r="AD153" s="56" t="str">
        <f t="shared" si="77"/>
        <v/>
      </c>
      <c r="AE153" s="40"/>
      <c r="AF153" s="40"/>
      <c r="AG153" s="40"/>
      <c r="AH153" s="56" t="str">
        <f t="shared" si="78"/>
        <v/>
      </c>
      <c r="AI153" s="54"/>
      <c r="AJ153" s="54"/>
      <c r="AK153" s="54"/>
      <c r="AL153" s="54"/>
      <c r="AM153" s="54"/>
    </row>
    <row r="154" spans="1:39">
      <c r="A154" s="45" t="str" cm="1">
        <f t="array" ref="A154">IF(H154="PROJECT", CHAR(10) &amp; "- " &amp; _xlfn.TEXTJOIN(CHAR(10) &amp; "- ", TRUE, _xlfn._xlws.FILTER($I$9:$I$1000, ($B$9:$B$1000=B154) * ($H$9:$H$1000="Topic"))), "")</f>
        <v/>
      </c>
      <c r="B154" s="45" t="str">
        <f t="shared" si="79"/>
        <v/>
      </c>
      <c r="C154" s="95"/>
      <c r="D154" s="57"/>
      <c r="E154" s="58"/>
      <c r="F154" s="54"/>
      <c r="G154" s="52"/>
      <c r="H154" s="52"/>
      <c r="I154" s="61"/>
      <c r="J154" s="62"/>
      <c r="K154" s="129" t="str">
        <f t="shared" si="80"/>
        <v/>
      </c>
      <c r="L154" s="103" t="str">
        <f t="shared" si="64"/>
        <v/>
      </c>
      <c r="M154" s="52">
        <v>0</v>
      </c>
      <c r="N154" s="102" t="str">
        <f t="shared" si="65"/>
        <v/>
      </c>
      <c r="O154" s="103" t="str">
        <f t="shared" si="66"/>
        <v/>
      </c>
      <c r="P154" s="52">
        <v>0</v>
      </c>
      <c r="Q154" s="102" t="str">
        <f t="shared" si="67"/>
        <v/>
      </c>
      <c r="R154" s="103" t="str">
        <f t="shared" si="68"/>
        <v/>
      </c>
      <c r="S154" s="52">
        <v>0</v>
      </c>
      <c r="T154" s="102" t="str">
        <f t="shared" si="69"/>
        <v/>
      </c>
      <c r="U154" s="103" t="str">
        <f t="shared" si="70"/>
        <v/>
      </c>
      <c r="V154" s="52">
        <v>0</v>
      </c>
      <c r="W154" s="87" t="str">
        <f t="shared" si="71"/>
        <v/>
      </c>
      <c r="X154" s="103" t="str">
        <f t="shared" si="72"/>
        <v/>
      </c>
      <c r="Y154" s="52">
        <v>0</v>
      </c>
      <c r="Z154" s="56" t="str">
        <f t="shared" si="73"/>
        <v/>
      </c>
      <c r="AA154" s="56" t="str">
        <f t="shared" si="74"/>
        <v/>
      </c>
      <c r="AB154" s="56" t="str">
        <f t="shared" si="75"/>
        <v/>
      </c>
      <c r="AC154" s="56" t="str">
        <f t="shared" si="76"/>
        <v/>
      </c>
      <c r="AD154" s="56" t="str">
        <f t="shared" si="77"/>
        <v/>
      </c>
      <c r="AE154" s="40"/>
      <c r="AF154" s="40"/>
      <c r="AG154" s="40"/>
      <c r="AH154" s="56" t="str">
        <f t="shared" si="78"/>
        <v/>
      </c>
      <c r="AI154" s="54"/>
      <c r="AJ154" s="54"/>
      <c r="AK154" s="54"/>
      <c r="AL154" s="54"/>
      <c r="AM154" s="54"/>
    </row>
    <row r="155" spans="1:39">
      <c r="A155" s="45" t="str" cm="1">
        <f t="array" ref="A155">IF(H155="PROJECT", CHAR(10) &amp; "- " &amp; _xlfn.TEXTJOIN(CHAR(10) &amp; "- ", TRUE, _xlfn._xlws.FILTER($I$9:$I$1000, ($B$9:$B$1000=B155) * ($H$9:$H$1000="Topic"))), "")</f>
        <v/>
      </c>
      <c r="B155" s="45" t="str">
        <f t="shared" si="79"/>
        <v/>
      </c>
      <c r="C155" s="95"/>
      <c r="D155" s="46"/>
      <c r="E155" s="58"/>
      <c r="F155" s="67"/>
      <c r="G155" s="53"/>
      <c r="H155" s="53"/>
      <c r="I155" s="50"/>
      <c r="J155" s="51"/>
      <c r="K155" s="129" t="str">
        <f t="shared" si="80"/>
        <v/>
      </c>
      <c r="L155" s="103" t="str">
        <f t="shared" si="64"/>
        <v/>
      </c>
      <c r="M155" s="53">
        <v>0</v>
      </c>
      <c r="N155" s="102" t="str">
        <f t="shared" si="65"/>
        <v/>
      </c>
      <c r="O155" s="103" t="str">
        <f t="shared" si="66"/>
        <v/>
      </c>
      <c r="P155" s="53">
        <v>0</v>
      </c>
      <c r="Q155" s="102" t="str">
        <f t="shared" si="67"/>
        <v/>
      </c>
      <c r="R155" s="103" t="str">
        <f t="shared" si="68"/>
        <v/>
      </c>
      <c r="S155" s="53">
        <v>0</v>
      </c>
      <c r="T155" s="102" t="str">
        <f t="shared" si="69"/>
        <v/>
      </c>
      <c r="U155" s="103" t="str">
        <f t="shared" si="70"/>
        <v/>
      </c>
      <c r="V155" s="53">
        <v>0</v>
      </c>
      <c r="W155" s="87" t="str">
        <f t="shared" si="71"/>
        <v/>
      </c>
      <c r="X155" s="103" t="str">
        <f t="shared" si="72"/>
        <v/>
      </c>
      <c r="Y155" s="53">
        <v>0</v>
      </c>
      <c r="Z155" s="56" t="str">
        <f t="shared" si="73"/>
        <v/>
      </c>
      <c r="AA155" s="56" t="str">
        <f t="shared" si="74"/>
        <v/>
      </c>
      <c r="AB155" s="56" t="str">
        <f t="shared" si="75"/>
        <v/>
      </c>
      <c r="AC155" s="56" t="str">
        <f t="shared" si="76"/>
        <v/>
      </c>
      <c r="AD155" s="56" t="str">
        <f t="shared" si="77"/>
        <v/>
      </c>
      <c r="AE155" s="40"/>
      <c r="AF155" s="40"/>
      <c r="AG155" s="40"/>
      <c r="AH155" s="56" t="str">
        <f t="shared" si="78"/>
        <v/>
      </c>
      <c r="AI155" s="54"/>
      <c r="AJ155" s="54"/>
      <c r="AK155" s="54"/>
      <c r="AL155" s="54"/>
      <c r="AM155" s="54"/>
    </row>
    <row r="156" spans="1:39">
      <c r="A156" s="45" t="str" cm="1">
        <f t="array" ref="A156">IF(H156="PROJECT", CHAR(10) &amp; "- " &amp; _xlfn.TEXTJOIN(CHAR(10) &amp; "- ", TRUE, _xlfn._xlws.FILTER($I$9:$I$1000, ($B$9:$B$1000=B156) * ($H$9:$H$1000="Topic"))), "")</f>
        <v/>
      </c>
      <c r="B156" s="45" t="str">
        <f t="shared" si="79"/>
        <v/>
      </c>
      <c r="C156" s="95"/>
      <c r="D156" s="57"/>
      <c r="E156" s="58"/>
      <c r="F156" s="54"/>
      <c r="G156" s="52"/>
      <c r="H156" s="52"/>
      <c r="I156" s="61"/>
      <c r="J156" s="62"/>
      <c r="K156" s="129" t="str">
        <f t="shared" si="80"/>
        <v/>
      </c>
      <c r="L156" s="103" t="str">
        <f t="shared" si="64"/>
        <v/>
      </c>
      <c r="M156" s="52">
        <v>0</v>
      </c>
      <c r="N156" s="102" t="str">
        <f t="shared" si="65"/>
        <v/>
      </c>
      <c r="O156" s="103" t="str">
        <f t="shared" si="66"/>
        <v/>
      </c>
      <c r="P156" s="52">
        <v>0</v>
      </c>
      <c r="Q156" s="102" t="str">
        <f t="shared" si="67"/>
        <v/>
      </c>
      <c r="R156" s="103" t="str">
        <f t="shared" si="68"/>
        <v/>
      </c>
      <c r="S156" s="52">
        <v>0</v>
      </c>
      <c r="T156" s="102" t="str">
        <f t="shared" si="69"/>
        <v/>
      </c>
      <c r="U156" s="103" t="str">
        <f t="shared" si="70"/>
        <v/>
      </c>
      <c r="V156" s="52">
        <v>0</v>
      </c>
      <c r="W156" s="87" t="str">
        <f t="shared" si="71"/>
        <v/>
      </c>
      <c r="X156" s="103" t="str">
        <f t="shared" si="72"/>
        <v/>
      </c>
      <c r="Y156" s="52">
        <v>0</v>
      </c>
      <c r="Z156" s="56" t="str">
        <f t="shared" si="73"/>
        <v/>
      </c>
      <c r="AA156" s="56" t="str">
        <f t="shared" si="74"/>
        <v/>
      </c>
      <c r="AB156" s="56" t="str">
        <f t="shared" si="75"/>
        <v/>
      </c>
      <c r="AC156" s="56" t="str">
        <f t="shared" si="76"/>
        <v/>
      </c>
      <c r="AD156" s="56" t="str">
        <f t="shared" si="77"/>
        <v/>
      </c>
      <c r="AE156" s="40"/>
      <c r="AF156" s="40"/>
      <c r="AG156" s="40"/>
      <c r="AH156" s="56" t="str">
        <f t="shared" si="78"/>
        <v/>
      </c>
      <c r="AI156" s="54"/>
      <c r="AJ156" s="54"/>
      <c r="AK156" s="54"/>
      <c r="AL156" s="54"/>
      <c r="AM156" s="54"/>
    </row>
    <row r="157" spans="1:39">
      <c r="A157" s="45" t="str" cm="1">
        <f t="array" ref="A157">IF(H157="PROJECT", CHAR(10) &amp; "- " &amp; _xlfn.TEXTJOIN(CHAR(10) &amp; "- ", TRUE, _xlfn._xlws.FILTER($I$9:$I$1000, ($B$9:$B$1000=B157) * ($H$9:$H$1000="Topic"))), "")</f>
        <v/>
      </c>
      <c r="B157" s="45" t="str">
        <f t="shared" si="79"/>
        <v/>
      </c>
      <c r="C157" s="95"/>
      <c r="D157" s="46"/>
      <c r="E157" s="58"/>
      <c r="F157" s="67"/>
      <c r="G157" s="53"/>
      <c r="H157" s="53"/>
      <c r="I157" s="50"/>
      <c r="J157" s="51"/>
      <c r="K157" s="129" t="str">
        <f t="shared" si="80"/>
        <v/>
      </c>
      <c r="L157" s="103" t="str">
        <f t="shared" si="64"/>
        <v/>
      </c>
      <c r="M157" s="53">
        <v>0</v>
      </c>
      <c r="N157" s="102" t="str">
        <f t="shared" si="65"/>
        <v/>
      </c>
      <c r="O157" s="103" t="str">
        <f t="shared" si="66"/>
        <v/>
      </c>
      <c r="P157" s="53">
        <v>0</v>
      </c>
      <c r="Q157" s="102" t="str">
        <f t="shared" si="67"/>
        <v/>
      </c>
      <c r="R157" s="103" t="str">
        <f t="shared" si="68"/>
        <v/>
      </c>
      <c r="S157" s="53">
        <v>0</v>
      </c>
      <c r="T157" s="102" t="str">
        <f t="shared" si="69"/>
        <v/>
      </c>
      <c r="U157" s="103" t="str">
        <f t="shared" si="70"/>
        <v/>
      </c>
      <c r="V157" s="53">
        <v>0</v>
      </c>
      <c r="W157" s="87" t="str">
        <f t="shared" si="71"/>
        <v/>
      </c>
      <c r="X157" s="103" t="str">
        <f t="shared" si="72"/>
        <v/>
      </c>
      <c r="Y157" s="53">
        <v>0</v>
      </c>
      <c r="Z157" s="56" t="str">
        <f t="shared" si="73"/>
        <v/>
      </c>
      <c r="AA157" s="56" t="str">
        <f t="shared" si="74"/>
        <v/>
      </c>
      <c r="AB157" s="56" t="str">
        <f t="shared" si="75"/>
        <v/>
      </c>
      <c r="AC157" s="56" t="str">
        <f t="shared" si="76"/>
        <v/>
      </c>
      <c r="AD157" s="56" t="str">
        <f t="shared" si="77"/>
        <v/>
      </c>
      <c r="AE157" s="40"/>
      <c r="AF157" s="40"/>
      <c r="AG157" s="40"/>
      <c r="AH157" s="56" t="str">
        <f t="shared" si="78"/>
        <v/>
      </c>
      <c r="AI157" s="54"/>
      <c r="AJ157" s="54"/>
      <c r="AK157" s="54"/>
      <c r="AL157" s="54"/>
      <c r="AM157" s="54"/>
    </row>
    <row r="158" spans="1:39">
      <c r="A158" s="45" t="str" cm="1">
        <f t="array" ref="A158">IF(H158="PROJECT", CHAR(10) &amp; "- " &amp; _xlfn.TEXTJOIN(CHAR(10) &amp; "- ", TRUE, _xlfn._xlws.FILTER($I$9:$I$1000, ($B$9:$B$1000=B158) * ($H$9:$H$1000="Topic"))), "")</f>
        <v/>
      </c>
      <c r="B158" s="45" t="str">
        <f t="shared" si="79"/>
        <v/>
      </c>
      <c r="C158" s="95"/>
      <c r="D158" s="57"/>
      <c r="E158" s="58"/>
      <c r="F158" s="54"/>
      <c r="G158" s="52"/>
      <c r="H158" s="52"/>
      <c r="I158" s="61"/>
      <c r="J158" s="62"/>
      <c r="K158" s="129" t="str">
        <f t="shared" si="80"/>
        <v/>
      </c>
      <c r="L158" s="103" t="str">
        <f t="shared" si="64"/>
        <v/>
      </c>
      <c r="M158" s="52">
        <v>0</v>
      </c>
      <c r="N158" s="102" t="str">
        <f t="shared" si="65"/>
        <v/>
      </c>
      <c r="O158" s="103" t="str">
        <f t="shared" si="66"/>
        <v/>
      </c>
      <c r="P158" s="52">
        <v>0</v>
      </c>
      <c r="Q158" s="102" t="str">
        <f t="shared" si="67"/>
        <v/>
      </c>
      <c r="R158" s="103" t="str">
        <f t="shared" si="68"/>
        <v/>
      </c>
      <c r="S158" s="52">
        <v>0</v>
      </c>
      <c r="T158" s="102" t="str">
        <f t="shared" si="69"/>
        <v/>
      </c>
      <c r="U158" s="103" t="str">
        <f t="shared" si="70"/>
        <v/>
      </c>
      <c r="V158" s="52">
        <v>0</v>
      </c>
      <c r="W158" s="87" t="str">
        <f t="shared" si="71"/>
        <v/>
      </c>
      <c r="X158" s="103" t="str">
        <f t="shared" si="72"/>
        <v/>
      </c>
      <c r="Y158" s="52">
        <v>0</v>
      </c>
      <c r="Z158" s="56" t="str">
        <f t="shared" si="73"/>
        <v/>
      </c>
      <c r="AA158" s="56" t="str">
        <f t="shared" si="74"/>
        <v/>
      </c>
      <c r="AB158" s="56" t="str">
        <f t="shared" si="75"/>
        <v/>
      </c>
      <c r="AC158" s="56" t="str">
        <f t="shared" si="76"/>
        <v/>
      </c>
      <c r="AD158" s="56" t="str">
        <f t="shared" si="77"/>
        <v/>
      </c>
      <c r="AE158" s="40"/>
      <c r="AF158" s="40"/>
      <c r="AG158" s="40"/>
      <c r="AH158" s="56" t="str">
        <f t="shared" si="78"/>
        <v/>
      </c>
      <c r="AI158" s="54"/>
      <c r="AJ158" s="54"/>
      <c r="AK158" s="54"/>
      <c r="AL158" s="54"/>
      <c r="AM158" s="54"/>
    </row>
    <row r="159" spans="1:39">
      <c r="A159" s="45" t="str" cm="1">
        <f t="array" ref="A159">IF(H159="PROJECT", CHAR(10) &amp; "- " &amp; _xlfn.TEXTJOIN(CHAR(10) &amp; "- ", TRUE, _xlfn._xlws.FILTER($I$9:$I$1000, ($B$9:$B$1000=B159) * ($H$9:$H$1000="Topic"))), "")</f>
        <v/>
      </c>
      <c r="B159" s="45" t="str">
        <f t="shared" si="79"/>
        <v/>
      </c>
      <c r="C159" s="95"/>
      <c r="D159" s="46"/>
      <c r="E159" s="58"/>
      <c r="F159" s="67"/>
      <c r="G159" s="53"/>
      <c r="H159" s="53"/>
      <c r="I159" s="50"/>
      <c r="J159" s="51"/>
      <c r="K159" s="129" t="str">
        <f t="shared" si="80"/>
        <v/>
      </c>
      <c r="L159" s="103" t="str">
        <f t="shared" si="64"/>
        <v/>
      </c>
      <c r="M159" s="53">
        <v>0</v>
      </c>
      <c r="N159" s="102" t="str">
        <f t="shared" si="65"/>
        <v/>
      </c>
      <c r="O159" s="103" t="str">
        <f t="shared" si="66"/>
        <v/>
      </c>
      <c r="P159" s="53">
        <v>0</v>
      </c>
      <c r="Q159" s="102" t="str">
        <f t="shared" si="67"/>
        <v/>
      </c>
      <c r="R159" s="103" t="str">
        <f t="shared" si="68"/>
        <v/>
      </c>
      <c r="S159" s="53">
        <v>0</v>
      </c>
      <c r="T159" s="102" t="str">
        <f t="shared" si="69"/>
        <v/>
      </c>
      <c r="U159" s="103" t="str">
        <f t="shared" si="70"/>
        <v/>
      </c>
      <c r="V159" s="53">
        <v>0</v>
      </c>
      <c r="W159" s="87" t="str">
        <f t="shared" si="71"/>
        <v/>
      </c>
      <c r="X159" s="103" t="str">
        <f t="shared" si="72"/>
        <v/>
      </c>
      <c r="Y159" s="53">
        <v>0</v>
      </c>
      <c r="Z159" s="56" t="str">
        <f t="shared" si="73"/>
        <v/>
      </c>
      <c r="AA159" s="56" t="str">
        <f t="shared" si="74"/>
        <v/>
      </c>
      <c r="AB159" s="56" t="str">
        <f t="shared" si="75"/>
        <v/>
      </c>
      <c r="AC159" s="56" t="str">
        <f t="shared" si="76"/>
        <v/>
      </c>
      <c r="AD159" s="56" t="str">
        <f t="shared" si="77"/>
        <v/>
      </c>
      <c r="AE159" s="40"/>
      <c r="AF159" s="40"/>
      <c r="AG159" s="40"/>
      <c r="AH159" s="56" t="str">
        <f t="shared" si="78"/>
        <v/>
      </c>
      <c r="AI159" s="54"/>
      <c r="AJ159" s="54"/>
      <c r="AK159" s="54"/>
      <c r="AL159" s="54"/>
      <c r="AM159" s="54"/>
    </row>
    <row r="160" spans="1:39">
      <c r="A160" s="45" t="str" cm="1">
        <f t="array" ref="A160">IF(H160="PROJECT", CHAR(10) &amp; "- " &amp; _xlfn.TEXTJOIN(CHAR(10) &amp; "- ", TRUE, _xlfn._xlws.FILTER($I$9:$I$1000, ($B$9:$B$1000=B160) * ($H$9:$H$1000="Topic"))), "")</f>
        <v/>
      </c>
      <c r="B160" s="45" t="str">
        <f t="shared" si="79"/>
        <v/>
      </c>
      <c r="C160" s="95"/>
      <c r="D160" s="57"/>
      <c r="E160" s="58"/>
      <c r="F160" s="54"/>
      <c r="G160" s="52"/>
      <c r="H160" s="52"/>
      <c r="I160" s="61"/>
      <c r="J160" s="62"/>
      <c r="K160" s="129" t="str">
        <f t="shared" si="80"/>
        <v/>
      </c>
      <c r="L160" s="103" t="str">
        <f t="shared" si="64"/>
        <v/>
      </c>
      <c r="M160" s="52">
        <v>0</v>
      </c>
      <c r="N160" s="102" t="str">
        <f t="shared" si="65"/>
        <v/>
      </c>
      <c r="O160" s="103" t="str">
        <f t="shared" si="66"/>
        <v/>
      </c>
      <c r="P160" s="52">
        <v>0</v>
      </c>
      <c r="Q160" s="102" t="str">
        <f t="shared" si="67"/>
        <v/>
      </c>
      <c r="R160" s="103" t="str">
        <f t="shared" si="68"/>
        <v/>
      </c>
      <c r="S160" s="52">
        <v>0</v>
      </c>
      <c r="T160" s="102" t="str">
        <f t="shared" si="69"/>
        <v/>
      </c>
      <c r="U160" s="103" t="str">
        <f t="shared" si="70"/>
        <v/>
      </c>
      <c r="V160" s="52">
        <v>0</v>
      </c>
      <c r="W160" s="87" t="str">
        <f t="shared" si="71"/>
        <v/>
      </c>
      <c r="X160" s="103" t="str">
        <f t="shared" si="72"/>
        <v/>
      </c>
      <c r="Y160" s="52">
        <v>0</v>
      </c>
      <c r="Z160" s="56" t="str">
        <f t="shared" si="73"/>
        <v/>
      </c>
      <c r="AA160" s="56" t="str">
        <f t="shared" si="74"/>
        <v/>
      </c>
      <c r="AB160" s="56" t="str">
        <f t="shared" si="75"/>
        <v/>
      </c>
      <c r="AC160" s="56" t="str">
        <f t="shared" si="76"/>
        <v/>
      </c>
      <c r="AD160" s="56" t="str">
        <f t="shared" si="77"/>
        <v/>
      </c>
      <c r="AE160" s="40"/>
      <c r="AF160" s="40"/>
      <c r="AG160" s="40"/>
      <c r="AH160" s="56" t="str">
        <f t="shared" si="78"/>
        <v/>
      </c>
      <c r="AI160" s="54"/>
      <c r="AJ160" s="54"/>
      <c r="AK160" s="54"/>
      <c r="AL160" s="54"/>
      <c r="AM160" s="54"/>
    </row>
    <row r="161" spans="1:39">
      <c r="A161" s="45" t="str" cm="1">
        <f t="array" ref="A161">IF(H161="PROJECT", CHAR(10) &amp; "- " &amp; _xlfn.TEXTJOIN(CHAR(10) &amp; "- ", TRUE, _xlfn._xlws.FILTER($I$9:$I$1000, ($B$9:$B$1000=B161) * ($H$9:$H$1000="Topic"))), "")</f>
        <v/>
      </c>
      <c r="B161" s="45" t="str">
        <f t="shared" si="79"/>
        <v/>
      </c>
      <c r="C161" s="95"/>
      <c r="D161" s="46"/>
      <c r="E161" s="58"/>
      <c r="F161" s="67"/>
      <c r="G161" s="53"/>
      <c r="H161" s="53"/>
      <c r="I161" s="50"/>
      <c r="J161" s="51"/>
      <c r="K161" s="129" t="str">
        <f t="shared" si="80"/>
        <v/>
      </c>
      <c r="L161" s="103" t="str">
        <f t="shared" si="64"/>
        <v/>
      </c>
      <c r="M161" s="53">
        <v>0</v>
      </c>
      <c r="N161" s="102" t="str">
        <f t="shared" si="65"/>
        <v/>
      </c>
      <c r="O161" s="103" t="str">
        <f t="shared" si="66"/>
        <v/>
      </c>
      <c r="P161" s="53">
        <v>0</v>
      </c>
      <c r="Q161" s="102" t="str">
        <f t="shared" si="67"/>
        <v/>
      </c>
      <c r="R161" s="103" t="str">
        <f t="shared" si="68"/>
        <v/>
      </c>
      <c r="S161" s="53">
        <v>0</v>
      </c>
      <c r="T161" s="102" t="str">
        <f t="shared" si="69"/>
        <v/>
      </c>
      <c r="U161" s="103" t="str">
        <f t="shared" si="70"/>
        <v/>
      </c>
      <c r="V161" s="53">
        <v>0</v>
      </c>
      <c r="W161" s="87" t="str">
        <f t="shared" si="71"/>
        <v/>
      </c>
      <c r="X161" s="103" t="str">
        <f t="shared" si="72"/>
        <v/>
      </c>
      <c r="Y161" s="53">
        <v>0</v>
      </c>
      <c r="Z161" s="56" t="str">
        <f t="shared" si="73"/>
        <v/>
      </c>
      <c r="AA161" s="56" t="str">
        <f t="shared" si="74"/>
        <v/>
      </c>
      <c r="AB161" s="56" t="str">
        <f t="shared" si="75"/>
        <v/>
      </c>
      <c r="AC161" s="56" t="str">
        <f t="shared" si="76"/>
        <v/>
      </c>
      <c r="AD161" s="56" t="str">
        <f t="shared" si="77"/>
        <v/>
      </c>
      <c r="AE161" s="40"/>
      <c r="AF161" s="40"/>
      <c r="AG161" s="40"/>
      <c r="AH161" s="56" t="str">
        <f t="shared" si="78"/>
        <v/>
      </c>
      <c r="AI161" s="54"/>
      <c r="AJ161" s="54"/>
      <c r="AK161" s="54"/>
      <c r="AL161" s="54"/>
      <c r="AM161" s="54"/>
    </row>
    <row r="162" spans="1:39">
      <c r="A162" s="45" t="str" cm="1">
        <f t="array" ref="A162">IF(H162="PROJECT", CHAR(10) &amp; "- " &amp; _xlfn.TEXTJOIN(CHAR(10) &amp; "- ", TRUE, _xlfn._xlws.FILTER($I$9:$I$1000, ($B$9:$B$1000=B162) * ($H$9:$H$1000="Topic"))), "")</f>
        <v/>
      </c>
      <c r="B162" s="45" t="str">
        <f t="shared" si="79"/>
        <v/>
      </c>
      <c r="C162" s="95"/>
      <c r="D162" s="57"/>
      <c r="E162" s="58"/>
      <c r="F162" s="54"/>
      <c r="G162" s="52"/>
      <c r="H162" s="52"/>
      <c r="I162" s="61"/>
      <c r="J162" s="62"/>
      <c r="K162" s="129" t="str">
        <f t="shared" si="80"/>
        <v/>
      </c>
      <c r="L162" s="103" t="str">
        <f t="shared" si="64"/>
        <v/>
      </c>
      <c r="M162" s="52">
        <v>0</v>
      </c>
      <c r="N162" s="102" t="str">
        <f t="shared" si="65"/>
        <v/>
      </c>
      <c r="O162" s="103" t="str">
        <f t="shared" si="66"/>
        <v/>
      </c>
      <c r="P162" s="52">
        <v>0</v>
      </c>
      <c r="Q162" s="102" t="str">
        <f t="shared" si="67"/>
        <v/>
      </c>
      <c r="R162" s="103" t="str">
        <f t="shared" si="68"/>
        <v/>
      </c>
      <c r="S162" s="52">
        <v>0</v>
      </c>
      <c r="T162" s="102" t="str">
        <f t="shared" si="69"/>
        <v/>
      </c>
      <c r="U162" s="103" t="str">
        <f t="shared" si="70"/>
        <v/>
      </c>
      <c r="V162" s="52">
        <v>0</v>
      </c>
      <c r="W162" s="87" t="str">
        <f t="shared" si="71"/>
        <v/>
      </c>
      <c r="X162" s="103" t="str">
        <f t="shared" si="72"/>
        <v/>
      </c>
      <c r="Y162" s="52">
        <v>0</v>
      </c>
      <c r="Z162" s="56" t="str">
        <f t="shared" si="73"/>
        <v/>
      </c>
      <c r="AA162" s="56" t="str">
        <f t="shared" si="74"/>
        <v/>
      </c>
      <c r="AB162" s="56" t="str">
        <f t="shared" si="75"/>
        <v/>
      </c>
      <c r="AC162" s="56" t="str">
        <f t="shared" si="76"/>
        <v/>
      </c>
      <c r="AD162" s="56" t="str">
        <f t="shared" si="77"/>
        <v/>
      </c>
      <c r="AE162" s="40"/>
      <c r="AF162" s="40"/>
      <c r="AG162" s="40"/>
      <c r="AH162" s="56" t="str">
        <f t="shared" si="78"/>
        <v/>
      </c>
      <c r="AI162" s="54"/>
      <c r="AJ162" s="54"/>
      <c r="AK162" s="54"/>
      <c r="AL162" s="54"/>
      <c r="AM162" s="54"/>
    </row>
    <row r="163" spans="1:39">
      <c r="A163" s="45" t="str" cm="1">
        <f t="array" ref="A163">IF(H163="PROJECT", CHAR(10) &amp; "- " &amp; _xlfn.TEXTJOIN(CHAR(10) &amp; "- ", TRUE, _xlfn._xlws.FILTER($I$9:$I$1000, ($B$9:$B$1000=B163) * ($H$9:$H$1000="Topic"))), "")</f>
        <v/>
      </c>
      <c r="B163" s="45" t="str">
        <f t="shared" si="79"/>
        <v/>
      </c>
      <c r="C163" s="95"/>
      <c r="D163" s="46"/>
      <c r="E163" s="58"/>
      <c r="F163" s="67"/>
      <c r="G163" s="53"/>
      <c r="H163" s="53"/>
      <c r="I163" s="50"/>
      <c r="J163" s="51"/>
      <c r="K163" s="129" t="str">
        <f t="shared" si="80"/>
        <v/>
      </c>
      <c r="L163" s="103" t="str">
        <f t="shared" si="64"/>
        <v/>
      </c>
      <c r="M163" s="53">
        <v>0</v>
      </c>
      <c r="N163" s="102" t="str">
        <f t="shared" si="65"/>
        <v/>
      </c>
      <c r="O163" s="103" t="str">
        <f t="shared" si="66"/>
        <v/>
      </c>
      <c r="P163" s="53">
        <v>0</v>
      </c>
      <c r="Q163" s="102" t="str">
        <f t="shared" si="67"/>
        <v/>
      </c>
      <c r="R163" s="103" t="str">
        <f t="shared" si="68"/>
        <v/>
      </c>
      <c r="S163" s="53">
        <v>0</v>
      </c>
      <c r="T163" s="102" t="str">
        <f t="shared" si="69"/>
        <v/>
      </c>
      <c r="U163" s="103" t="str">
        <f t="shared" si="70"/>
        <v/>
      </c>
      <c r="V163" s="53">
        <v>0</v>
      </c>
      <c r="W163" s="87" t="str">
        <f t="shared" si="71"/>
        <v/>
      </c>
      <c r="X163" s="103" t="str">
        <f t="shared" si="72"/>
        <v/>
      </c>
      <c r="Y163" s="53">
        <v>0</v>
      </c>
      <c r="Z163" s="56" t="str">
        <f t="shared" si="73"/>
        <v/>
      </c>
      <c r="AA163" s="56" t="str">
        <f t="shared" si="74"/>
        <v/>
      </c>
      <c r="AB163" s="56" t="str">
        <f t="shared" si="75"/>
        <v/>
      </c>
      <c r="AC163" s="56" t="str">
        <f t="shared" si="76"/>
        <v/>
      </c>
      <c r="AD163" s="56" t="str">
        <f t="shared" si="77"/>
        <v/>
      </c>
      <c r="AE163" s="40"/>
      <c r="AF163" s="40"/>
      <c r="AG163" s="40"/>
      <c r="AH163" s="56" t="str">
        <f t="shared" si="78"/>
        <v/>
      </c>
      <c r="AI163" s="54"/>
      <c r="AJ163" s="54"/>
      <c r="AK163" s="54"/>
      <c r="AL163" s="54"/>
      <c r="AM163" s="54"/>
    </row>
    <row r="164" spans="1:39">
      <c r="A164" s="45" t="str" cm="1">
        <f t="array" ref="A164">IF(H164="PROJECT", CHAR(10) &amp; "- " &amp; _xlfn.TEXTJOIN(CHAR(10) &amp; "- ", TRUE, _xlfn._xlws.FILTER($I$9:$I$1000, ($B$9:$B$1000=B164) * ($H$9:$H$1000="Topic"))), "")</f>
        <v/>
      </c>
      <c r="B164" s="45" t="str">
        <f t="shared" si="79"/>
        <v/>
      </c>
      <c r="C164" s="95"/>
      <c r="D164" s="57"/>
      <c r="E164" s="58"/>
      <c r="F164" s="54"/>
      <c r="G164" s="52"/>
      <c r="H164" s="52"/>
      <c r="I164" s="61"/>
      <c r="J164" s="62"/>
      <c r="K164" s="129" t="str">
        <f t="shared" si="80"/>
        <v/>
      </c>
      <c r="L164" s="103" t="str">
        <f t="shared" si="64"/>
        <v/>
      </c>
      <c r="M164" s="52">
        <v>0</v>
      </c>
      <c r="N164" s="102" t="str">
        <f t="shared" si="65"/>
        <v/>
      </c>
      <c r="O164" s="103" t="str">
        <f t="shared" si="66"/>
        <v/>
      </c>
      <c r="P164" s="52">
        <v>0</v>
      </c>
      <c r="Q164" s="102" t="str">
        <f t="shared" si="67"/>
        <v/>
      </c>
      <c r="R164" s="103" t="str">
        <f t="shared" si="68"/>
        <v/>
      </c>
      <c r="S164" s="52">
        <v>0</v>
      </c>
      <c r="T164" s="102" t="str">
        <f t="shared" si="69"/>
        <v/>
      </c>
      <c r="U164" s="103" t="str">
        <f t="shared" si="70"/>
        <v/>
      </c>
      <c r="V164" s="52">
        <v>0</v>
      </c>
      <c r="W164" s="87" t="str">
        <f t="shared" si="71"/>
        <v/>
      </c>
      <c r="X164" s="103" t="str">
        <f t="shared" si="72"/>
        <v/>
      </c>
      <c r="Y164" s="52">
        <v>0</v>
      </c>
      <c r="Z164" s="56" t="str">
        <f t="shared" si="73"/>
        <v/>
      </c>
      <c r="AA164" s="56" t="str">
        <f t="shared" si="74"/>
        <v/>
      </c>
      <c r="AB164" s="56" t="str">
        <f t="shared" si="75"/>
        <v/>
      </c>
      <c r="AC164" s="56" t="str">
        <f t="shared" si="76"/>
        <v/>
      </c>
      <c r="AD164" s="56" t="str">
        <f t="shared" si="77"/>
        <v/>
      </c>
      <c r="AE164" s="40"/>
      <c r="AF164" s="40"/>
      <c r="AG164" s="40"/>
      <c r="AH164" s="56" t="str">
        <f t="shared" si="78"/>
        <v/>
      </c>
      <c r="AI164" s="54"/>
      <c r="AJ164" s="54"/>
      <c r="AK164" s="54"/>
      <c r="AL164" s="54"/>
      <c r="AM164" s="54"/>
    </row>
    <row r="165" spans="1:39">
      <c r="A165" s="45" t="str" cm="1">
        <f t="array" ref="A165">IF(H165="PROJECT", CHAR(10) &amp; "- " &amp; _xlfn.TEXTJOIN(CHAR(10) &amp; "- ", TRUE, _xlfn._xlws.FILTER($I$9:$I$1000, ($B$9:$B$1000=B165) * ($H$9:$H$1000="Topic"))), "")</f>
        <v/>
      </c>
      <c r="B165" s="45" t="str">
        <f t="shared" si="79"/>
        <v/>
      </c>
      <c r="C165" s="95"/>
      <c r="D165" s="46"/>
      <c r="E165" s="58"/>
      <c r="F165" s="67"/>
      <c r="G165" s="53"/>
      <c r="H165" s="53"/>
      <c r="I165" s="50"/>
      <c r="J165" s="51"/>
      <c r="K165" s="129" t="str">
        <f t="shared" si="80"/>
        <v/>
      </c>
      <c r="L165" s="103" t="str">
        <f t="shared" si="64"/>
        <v/>
      </c>
      <c r="M165" s="53">
        <v>0</v>
      </c>
      <c r="N165" s="102" t="str">
        <f t="shared" si="65"/>
        <v/>
      </c>
      <c r="O165" s="103" t="str">
        <f t="shared" si="66"/>
        <v/>
      </c>
      <c r="P165" s="53">
        <v>0</v>
      </c>
      <c r="Q165" s="102" t="str">
        <f t="shared" si="67"/>
        <v/>
      </c>
      <c r="R165" s="103" t="str">
        <f t="shared" si="68"/>
        <v/>
      </c>
      <c r="S165" s="53">
        <v>0</v>
      </c>
      <c r="T165" s="102" t="str">
        <f t="shared" si="69"/>
        <v/>
      </c>
      <c r="U165" s="103" t="str">
        <f t="shared" si="70"/>
        <v/>
      </c>
      <c r="V165" s="53">
        <v>0</v>
      </c>
      <c r="W165" s="87" t="str">
        <f t="shared" si="71"/>
        <v/>
      </c>
      <c r="X165" s="103" t="str">
        <f t="shared" si="72"/>
        <v/>
      </c>
      <c r="Y165" s="53">
        <v>0</v>
      </c>
      <c r="Z165" s="56" t="str">
        <f t="shared" si="73"/>
        <v/>
      </c>
      <c r="AA165" s="56" t="str">
        <f t="shared" si="74"/>
        <v/>
      </c>
      <c r="AB165" s="56" t="str">
        <f t="shared" si="75"/>
        <v/>
      </c>
      <c r="AC165" s="56" t="str">
        <f t="shared" si="76"/>
        <v/>
      </c>
      <c r="AD165" s="56" t="str">
        <f t="shared" si="77"/>
        <v/>
      </c>
      <c r="AE165" s="40"/>
      <c r="AF165" s="40"/>
      <c r="AG165" s="40"/>
      <c r="AH165" s="56" t="str">
        <f t="shared" si="78"/>
        <v/>
      </c>
      <c r="AI165" s="54"/>
      <c r="AJ165" s="54"/>
      <c r="AK165" s="54"/>
      <c r="AL165" s="54"/>
      <c r="AM165" s="54"/>
    </row>
    <row r="166" spans="1:39">
      <c r="A166" s="45" t="str" cm="1">
        <f t="array" ref="A166">IF(H166="PROJECT", CHAR(10) &amp; "- " &amp; _xlfn.TEXTJOIN(CHAR(10) &amp; "- ", TRUE, _xlfn._xlws.FILTER($I$9:$I$1000, ($B$9:$B$1000=B166) * ($H$9:$H$1000="Topic"))), "")</f>
        <v/>
      </c>
      <c r="B166" s="45" t="str">
        <f t="shared" si="79"/>
        <v/>
      </c>
      <c r="C166" s="95"/>
      <c r="D166" s="57"/>
      <c r="E166" s="58"/>
      <c r="F166" s="54"/>
      <c r="G166" s="52"/>
      <c r="H166" s="52"/>
      <c r="I166" s="61"/>
      <c r="J166" s="62"/>
      <c r="K166" s="129" t="str">
        <f t="shared" si="80"/>
        <v/>
      </c>
      <c r="L166" s="103" t="str">
        <f t="shared" si="64"/>
        <v/>
      </c>
      <c r="M166" s="52">
        <v>0</v>
      </c>
      <c r="N166" s="102" t="str">
        <f t="shared" si="65"/>
        <v/>
      </c>
      <c r="O166" s="103" t="str">
        <f t="shared" si="66"/>
        <v/>
      </c>
      <c r="P166" s="52">
        <v>0</v>
      </c>
      <c r="Q166" s="102" t="str">
        <f t="shared" si="67"/>
        <v/>
      </c>
      <c r="R166" s="103" t="str">
        <f t="shared" si="68"/>
        <v/>
      </c>
      <c r="S166" s="52">
        <v>0</v>
      </c>
      <c r="T166" s="102" t="str">
        <f t="shared" si="69"/>
        <v/>
      </c>
      <c r="U166" s="103" t="str">
        <f t="shared" si="70"/>
        <v/>
      </c>
      <c r="V166" s="52">
        <v>0</v>
      </c>
      <c r="W166" s="87" t="str">
        <f t="shared" si="71"/>
        <v/>
      </c>
      <c r="X166" s="103" t="str">
        <f t="shared" si="72"/>
        <v/>
      </c>
      <c r="Y166" s="52">
        <v>0</v>
      </c>
      <c r="Z166" s="56" t="str">
        <f t="shared" si="73"/>
        <v/>
      </c>
      <c r="AA166" s="56" t="str">
        <f t="shared" si="74"/>
        <v/>
      </c>
      <c r="AB166" s="56" t="str">
        <f t="shared" si="75"/>
        <v/>
      </c>
      <c r="AC166" s="56" t="str">
        <f t="shared" si="76"/>
        <v/>
      </c>
      <c r="AD166" s="56" t="str">
        <f t="shared" si="77"/>
        <v/>
      </c>
      <c r="AE166" s="40"/>
      <c r="AF166" s="40"/>
      <c r="AG166" s="40"/>
      <c r="AH166" s="56" t="str">
        <f t="shared" si="78"/>
        <v/>
      </c>
      <c r="AI166" s="54"/>
      <c r="AJ166" s="54"/>
      <c r="AK166" s="54"/>
      <c r="AL166" s="54"/>
      <c r="AM166" s="54"/>
    </row>
    <row r="167" spans="1:39">
      <c r="A167" s="45" t="str" cm="1">
        <f t="array" ref="A167">IF(H167="PROJECT", CHAR(10) &amp; "- " &amp; _xlfn.TEXTJOIN(CHAR(10) &amp; "- ", TRUE, _xlfn._xlws.FILTER($I$9:$I$1000, ($B$9:$B$1000=B167) * ($H$9:$H$1000="Topic"))), "")</f>
        <v/>
      </c>
      <c r="B167" s="45" t="str">
        <f t="shared" si="79"/>
        <v/>
      </c>
      <c r="C167" s="95"/>
      <c r="D167" s="46"/>
      <c r="E167" s="58"/>
      <c r="F167" s="67"/>
      <c r="G167" s="53"/>
      <c r="H167" s="53"/>
      <c r="I167" s="50"/>
      <c r="J167" s="51"/>
      <c r="K167" s="129" t="str">
        <f t="shared" si="80"/>
        <v/>
      </c>
      <c r="L167" s="103" t="str">
        <f t="shared" si="64"/>
        <v/>
      </c>
      <c r="M167" s="53">
        <v>0</v>
      </c>
      <c r="N167" s="102" t="str">
        <f t="shared" si="65"/>
        <v/>
      </c>
      <c r="O167" s="103" t="str">
        <f t="shared" si="66"/>
        <v/>
      </c>
      <c r="P167" s="53">
        <v>0</v>
      </c>
      <c r="Q167" s="102" t="str">
        <f t="shared" si="67"/>
        <v/>
      </c>
      <c r="R167" s="103" t="str">
        <f t="shared" si="68"/>
        <v/>
      </c>
      <c r="S167" s="53">
        <v>0</v>
      </c>
      <c r="T167" s="102" t="str">
        <f t="shared" si="69"/>
        <v/>
      </c>
      <c r="U167" s="103" t="str">
        <f t="shared" si="70"/>
        <v/>
      </c>
      <c r="V167" s="53">
        <v>0</v>
      </c>
      <c r="W167" s="87" t="str">
        <f t="shared" si="71"/>
        <v/>
      </c>
      <c r="X167" s="103" t="str">
        <f t="shared" si="72"/>
        <v/>
      </c>
      <c r="Y167" s="53">
        <v>0</v>
      </c>
      <c r="Z167" s="56" t="str">
        <f t="shared" si="73"/>
        <v/>
      </c>
      <c r="AA167" s="56" t="str">
        <f t="shared" si="74"/>
        <v/>
      </c>
      <c r="AB167" s="56" t="str">
        <f t="shared" si="75"/>
        <v/>
      </c>
      <c r="AC167" s="56" t="str">
        <f t="shared" si="76"/>
        <v/>
      </c>
      <c r="AD167" s="56" t="str">
        <f t="shared" si="77"/>
        <v/>
      </c>
      <c r="AE167" s="40"/>
      <c r="AF167" s="40"/>
      <c r="AG167" s="40"/>
      <c r="AH167" s="56" t="str">
        <f t="shared" si="78"/>
        <v/>
      </c>
      <c r="AI167" s="54"/>
      <c r="AJ167" s="54"/>
      <c r="AK167" s="54"/>
      <c r="AL167" s="54"/>
      <c r="AM167" s="54"/>
    </row>
    <row r="168" spans="1:39">
      <c r="A168" s="45" t="str" cm="1">
        <f t="array" ref="A168">IF(H168="PROJECT", CHAR(10) &amp; "- " &amp; _xlfn.TEXTJOIN(CHAR(10) &amp; "- ", TRUE, _xlfn._xlws.FILTER($I$9:$I$1000, ($B$9:$B$1000=B168) * ($H$9:$H$1000="Topic"))), "")</f>
        <v/>
      </c>
      <c r="B168" s="45" t="str">
        <f t="shared" si="79"/>
        <v/>
      </c>
      <c r="C168" s="95"/>
      <c r="D168" s="57"/>
      <c r="E168" s="58"/>
      <c r="F168" s="54"/>
      <c r="G168" s="52"/>
      <c r="H168" s="52"/>
      <c r="I168" s="61"/>
      <c r="J168" s="62"/>
      <c r="K168" s="129" t="str">
        <f t="shared" si="80"/>
        <v/>
      </c>
      <c r="L168" s="103" t="str">
        <f t="shared" si="64"/>
        <v/>
      </c>
      <c r="M168" s="52">
        <v>0</v>
      </c>
      <c r="N168" s="102" t="str">
        <f t="shared" si="65"/>
        <v/>
      </c>
      <c r="O168" s="103" t="str">
        <f t="shared" si="66"/>
        <v/>
      </c>
      <c r="P168" s="52">
        <v>0</v>
      </c>
      <c r="Q168" s="102" t="str">
        <f t="shared" si="67"/>
        <v/>
      </c>
      <c r="R168" s="103" t="str">
        <f t="shared" si="68"/>
        <v/>
      </c>
      <c r="S168" s="52">
        <v>0</v>
      </c>
      <c r="T168" s="102" t="str">
        <f t="shared" si="69"/>
        <v/>
      </c>
      <c r="U168" s="103" t="str">
        <f t="shared" si="70"/>
        <v/>
      </c>
      <c r="V168" s="52">
        <v>0</v>
      </c>
      <c r="W168" s="87" t="str">
        <f t="shared" si="71"/>
        <v/>
      </c>
      <c r="X168" s="103" t="str">
        <f t="shared" si="72"/>
        <v/>
      </c>
      <c r="Y168" s="52">
        <v>0</v>
      </c>
      <c r="Z168" s="56" t="str">
        <f t="shared" si="73"/>
        <v/>
      </c>
      <c r="AA168" s="56" t="str">
        <f t="shared" si="74"/>
        <v/>
      </c>
      <c r="AB168" s="56" t="str">
        <f t="shared" si="75"/>
        <v/>
      </c>
      <c r="AC168" s="56" t="str">
        <f t="shared" si="76"/>
        <v/>
      </c>
      <c r="AD168" s="56" t="str">
        <f t="shared" si="77"/>
        <v/>
      </c>
      <c r="AE168" s="40"/>
      <c r="AF168" s="40"/>
      <c r="AG168" s="40"/>
      <c r="AH168" s="56" t="str">
        <f t="shared" si="78"/>
        <v/>
      </c>
      <c r="AI168" s="54"/>
      <c r="AJ168" s="54"/>
      <c r="AK168" s="54"/>
      <c r="AL168" s="54"/>
      <c r="AM168" s="54"/>
    </row>
    <row r="169" spans="1:39">
      <c r="A169" s="45" t="str" cm="1">
        <f t="array" ref="A169">IF(H169="PROJECT", CHAR(10) &amp; "- " &amp; _xlfn.TEXTJOIN(CHAR(10) &amp; "- ", TRUE, _xlfn._xlws.FILTER($I$9:$I$1000, ($B$9:$B$1000=B169) * ($H$9:$H$1000="Topic"))), "")</f>
        <v/>
      </c>
      <c r="B169" s="45" t="str">
        <f t="shared" si="79"/>
        <v/>
      </c>
      <c r="C169" s="95"/>
      <c r="D169" s="46"/>
      <c r="E169" s="58"/>
      <c r="F169" s="67"/>
      <c r="G169" s="53"/>
      <c r="H169" s="53"/>
      <c r="I169" s="50"/>
      <c r="J169" s="51"/>
      <c r="K169" s="129" t="str">
        <f t="shared" si="80"/>
        <v/>
      </c>
      <c r="L169" s="103" t="str">
        <f t="shared" ref="L169:L200" si="81">IF(OR(H169="Topic", UPPER(H169)="PROJECT"),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IF(UPPER(H169)="PROJECT", "building a PROJECT: " &amp; I169 &amp; ". Topics applied in this project: " &amp; A169 &amp; ". Project objective: " &amp; J169, "learning: " &amp; I169 &amp; ". Topic details: " &amp; J169)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IF(G169="Beginner", "Evaluate based on basic class instantiation, attribute assignment, and simple method calls. Do NOT expect advanced inheritance or decorators unless explicitly demanded.", IF(G169="Intermediate", "Expect clean class definitions, proper encapsulation, instance initialization via init, and correct use of self. Enforce basic OOP principles.", "Expect advanced OOP architecture using abstract base classes (abc.ABC), inheritance, polymorphism, custom exceptions, and composition over inheritance.")) &amp; " | " &amp;
_xlfn._LONGTEXT("[CODE_QUALITY_POLICIES]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&amp; IF(AJ169&lt;&gt;"", "[MENTOR CONTEXT ALERT] Be aware of the following infrastructure limitation for this exercise: " &amp; AJ169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IF(UPPER(H169)="PROJECT",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IF(UPPER(H169)="PROJECT",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IF(UPPER(H169)="PROJECT", "Project #", "Topic #") &amp; F169 &amp; " | Practice | " &amp; IF($I$3="", $I$2, $I$2&amp; " - " &amp;$I$3) &amp; " | 📊 Level: " &amp; G169 &amp; CHAR(10) &amp; "**" &amp; IF(UPPER(H169)="PROJECT", "Project", "Topic") &amp; ":** " &amp; I169 &amp; CHAR(10) &amp; "---" &amp; CHAR(10) &amp; " | " &amp;
"[FOOTER RULE - STRICT] End your response with: '--- ⚡ *Coding5s Mentor System — Eliminating Epistemic Debt*' | ","")</f>
        <v/>
      </c>
      <c r="M169" s="53">
        <v>0</v>
      </c>
      <c r="N169" s="102" t="str">
        <f t="shared" ref="N169:N200" si="82">IF(H169="Topic",
"[ROLE] Careless " &amp; $I$2 &amp; " Developer | " &amp;
"[TASK] Generate debugging challenges in " &amp; $I$2 &amp; " | | " &amp;
"[TOPIC] " &amp; I169 &amp; " | | " &amp;
"[LEVEL] " &amp; G169 &amp; " | | " &amp;
"[COUNT] " &amp; D169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F169 &amp; " | Stage 2 🐛 Debug | " &amp; IF($I$3="", $I$2, $I$2&amp; " - " &amp;$I$3) &amp; " | 📊 Level: " &amp; G169 &amp; " | 🌐 Coding5s.com" &amp; CHAR(10) &amp; "Concept: " &amp; J169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native assert statements or standard unittest.TestCase classes. | " &amp;
"[DEPENDENCY_MANAGEMENT_RULE] Requires customtkinter library. Standalone scripts must assume customtkinter is installed via pip. | " &amp;
"[CODE CONSTRAINTS] Each challenge MUST include: EXACTLY 1 class definition, 1 init method, at least 1 instance method, and 1 class instantiation with method call. - " &amp; IF(G169="Beginner", "5–15", IF(G169="Intermediate", "10–25", "15–35")) &amp; " lines of EXECUTABLE broken Python code per challenge (STRICT: Do NOT count blank lines). All logic MUST be encapsulated inside class methods.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D169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IF(H169="PROJECT", AA169, ""))</f>
        <v/>
      </c>
      <c r="O169" s="103" t="str">
        <f t="shared" ref="O169:O200" si="83">IF(OR(H169="Topic", UPPER(H169)="PROJECT"),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IF(UPPER(H169)="PROJECT", "PROJECT: " &amp; I169 &amp; ". Topics involved: " &amp; A169 &amp; ". Project objective: " &amp; J169, "TOPIC: " &amp; I169 &amp; ". Topic details: " &amp; J169)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IF(UPPER(H169)="PROJECT", "Project #", "Topic #") &amp; F169 &amp; " | Debug | " &amp; IF($I$3="", $I$2, $I$2&amp; " - " &amp;$I$3) &amp; " | 📊 Level: " &amp; G169 &amp; CHAR(10) &amp; "**" &amp; IF(UPPER(H169)="PROJECT", "Project", "Topic") &amp; ":** " &amp; I169 &amp; CHAR(10) &amp; "---" &amp; CHAR(10) &amp; " | " &amp;
_xlfn._LONGTEXT("[CORE_QUALITY_POLICY]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69" s="53">
        <v>0</v>
      </c>
      <c r="Q169" s="102" t="str">
        <f t="shared" ref="Q169:Q200" si="84">IF(H169="Topic",
"[ROLE] Tech Lead | " &amp;
"[TASK] Assign incomplete " &amp; $I$2 &amp; " script challenges | " &amp;
"[TOPIC] " &amp; I169 &amp; " | " &amp;
"[LEVEL] " &amp; G169 &amp; " | " &amp;
"[COUNT] " &amp; D169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F169 &amp; " | Stage 3 🧩 Complete | " &amp; IF($I$3="", $I$2, $I$2&amp; " - " &amp;$I$3) &amp; " | 📊 Level: " &amp; G169 &amp; " | 🌐 Coding5s.com" &amp; CHAR(10) &amp; "**Concept:** " &amp; J169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Requires 'customtkinter' as the core UI dependency across all topics. | " &amp;
"[TESTING_FRAMEWORK_PROTOCOL] Simple console output verification via standard print() statements. | " &amp;
"[CHALLENGE_CONSTRAINTS_POLICY] For Beginner level, # TODO MUST be atomic (1-2 simple lines max, e.g., basic attribute assignment, primitive print call, or direct comparison). NO complex buffer redirections or string parsing. - " &amp; IF(G169="Beginner","5–15", IF(G169="Intermediate","10–25","15–35")) &amp; " 5–15 lines of EXECUTABLE base code. Code outside # TODO MUST be 100% valid and readable. All code MUST be encapsulated within a class structure; NEVER use flat linear scripts.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D169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I169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IF(G169="Beginner", "Clear explicit hint (no code) | ", IF(G169="Intermediate",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IF(H169="PROJECT", AB169, ""))</f>
        <v/>
      </c>
      <c r="R169" s="103" t="str">
        <f t="shared" ref="R169:R200" si="85">IF(OR(H169="Topic", UPPER(H169)="PROJECT"),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IF(UPPER(H169)="PROJECT", "PROJECT: " &amp; I169 &amp; ". Topics involved: " &amp; A169 &amp; ". Project objective: " &amp; J169, "TOPIC: " &amp; I169 &amp; ". Topic details: " &amp; J169)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IF(UPPER(H169)="PROJECT", "Project #", "Topic #") &amp; F169 &amp; " | Complete | " &amp; IF($I$3="", $I$2, $I$2&amp; " - " &amp;$I$3) &amp; " | 📊 Level: " &amp; G169 &amp; CHAR(10) &amp; "**" &amp; IF(UPPER(H169)="PROJECT", "Project", "Topic") &amp; ":** " &amp; I169 &amp; CHAR(10) &amp; "---" &amp; CHAR(10) &amp; " | " &amp;
_xlfn._LONGTEXT("[CORE_QUALITY_POLICY]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69" s="53">
        <v>0</v>
      </c>
      <c r="T169" s="102" t="str">
        <f t="shared" ref="T169:T200" si="86">IF(H169="Topic",
"[ROLE] Tech Lead | " &amp;
"[TASK] Provide intentionally messy but functional code for learning debugging and improvement | " &amp;
"[TOPIC] " &amp; I169 &amp; " | " &amp;
"[LEVEL] " &amp; G169 &amp; " | " &amp;
"[COUNT] " &amp; D169 &amp; " challenges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F169 &amp; " | Stage 4 🧹 Refactor | " &amp; IF($I$3="", $I$2, $I$2&amp; " - " &amp;$I$3) &amp; " | 📊 Level: " &amp; G169 &amp; " | 🌐 Coding5s.com" &amp; CHAR(10) &amp; "**Concept:** " &amp; J169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D169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IF(G169="Beginner", "5–15", IF(G169="Intermediate",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IF(H169="PROJECT", AC169, ""))</f>
        <v/>
      </c>
      <c r="U169" s="103" t="str">
        <f t="shared" ref="U169:U200" si="87">IF(OR(H169="Topic", UPPER(H169)="PROJECT"),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IF(UPPER(H169)="PROJECT", "PROJECT: " &amp; I169 &amp; ". Topics involved: " &amp; A169 &amp; ". Project objective: " &amp; J169, "TOPIC: " &amp; I169 &amp; ". Topic details: " &amp; J169)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IF(UPPER(H169)="PROJECT", "Project #", "Topic #") &amp; F169 &amp; " | Refactor | " &amp; IF($I$3="", $I$2, $I$2&amp; " - " &amp;$I$3) &amp; " | 📊 Level: " &amp; G169 &amp; CHAR(10) &amp; "**" &amp; IF(UPPER(H169)="PROJECT", "Project", "Topic") &amp; ":** " &amp; I169 &amp; CHAR(10) &amp; "---" &amp; CHAR(10) &amp; " | " &amp;
"[PYTHON QUALITY RULE - STRICT] Code MUST adhere strictly to PEP 8 guidelines. Use PascalCase for Classes, snake_case for methods/variables. Enforce solid OOP patterns: encapsulation, inheritance, and object composition.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69" s="53">
        <v>0</v>
      </c>
      <c r="W169" s="87" t="str">
        <f t="shared" ref="W169:W200" si="88">IF(H169="Topic",
"[ROLE] Tech Product Manager assigning a " &amp; $I$2 &amp; " Jira Ticket | " &amp;
"[TASK] Provide a guided implementation exercise with full solution for learning purposes | " &amp;
"[TOPIC] " &amp; I169 &amp; " | " &amp;
"[LEVEL] " &amp; G169 &amp; "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F169 &amp; " | Stage 5 | " &amp; IF($I$3="", $I$2, $I$2&amp; " - " &amp;$I$3) &amp; " | 📊 Level: " &amp; G169 &amp; " | 🌐 Coding5s.com" &amp; CHAR(10) &amp; "**Concept:** " &amp; J169 &amp; CHAR(10) &amp; "---" &amp; CHAR(10) &amp; " | " &amp;
"[FUNCTIONAL_STRUCTURE_POLICY] Rule: " &amp; IF(G169="Beginner", "Use simple scripts or minimal functions. ", IF(G169="Intermediate",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IF(G169="Beginner", "10–20", IF(G169="Intermediate", "15–30", "25–40")) &amp; " lines of EXECUTABLE code (STRICT) - V1.1 MUST be between " &amp; IF(G169="Beginner", "15–30", IF(G169="Intermediate",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IF(H169="PROJECT", AD169, ""))</f>
        <v/>
      </c>
      <c r="X169" s="103" t="str">
        <f t="shared" ref="X169:X200" si="89">IF(OR(H169="Topic", UPPER(H169)="PROJECT"),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IF(UPPER(H169)="PROJECT", "PROJECT: " &amp; I169 &amp; ". Topics integrated: " &amp; A169 &amp; ". Business Goal: " &amp; J169, "TOPIC: " &amp; I169 &amp; ". Goal: " &amp; J169)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IF(UPPER(H169)="PROJECT", "Project #", "Topic #") &amp; F169 &amp; " | Extend | " &amp; IF($I$3="", $I$2, $I$2&amp; " - " &amp;$I$3) &amp; " | 📊 Level: " &amp; G169 &amp; CHAR(10) &amp; "**" &amp; IF(UPPER(H169)="PROJECT", "Project", "Topic") &amp; ":** " &amp; I169 &amp; CHAR(10) &amp; "---" &amp; CHAR(10) &amp; " | " &amp;
_xlfn._LONGTEXT("[CODE_QUALITY_PROTOCOL] Code MUST adhere strictly to PEP 8 guidelines. Use PascalCase for Classes, snake_case for methods/variables. Enforce robust OOP architecture, design patterns (Factory, Strategy, Singleton), and abstract base classes using the abc m","odule.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69" s="53">
        <v>0</v>
      </c>
      <c r="Z169" s="56" t="str">
        <f t="shared" ref="Z169:Z200" si="90">IF(H169&lt;&gt;"PROJECT","",
"[TASK] Teach through a practical " &amp; $I$2 &amp; " - " &amp; $I$3 &amp; " project following the micro-learning methodology, acting as a supportive tutor, creating a project about  " &amp; I169 &amp; " | " &amp;
"[TOPICS USED] " &amp; A169 &amp; " | " &amp;
"[LEVEL] " &amp; G169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Must include 'import customtkinter as ctk' on a separate top-level line before any class declaration.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 &amp;
"[DATA ROBUSTNESS RULE] Handle real-world data safely | " &amp;
"[CODE CONSTRAINTS] MUST be between " &amp; IF(G169="Beginner", "25–40", IF(G169="Intermediate",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F169 &amp; " | Stage 1 | " &amp; IF($I$3="", $I$2, $I$2&amp; " - " &amp;$I$3) &amp; " | 📊 Level: " &amp; G169 &amp; " | 🌐 Coding5s.com" &amp; CHAR(10) &amp; "**Project:** " &amp; J169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69" s="56" t="str">
        <f t="shared" ref="AA169:AA200" si="91">IF(H169&lt;&gt;"PROJECT","",
"[ROLE] Careless " &amp; $I$2 &amp; " Developer | " &amp;
"[TASK] Generate debugging project in " &amp; $I$2 &amp; " | " &amp;
"[PROJECT] " &amp; I169 &amp; " | " &amp;
"[TOPICS USED] " &amp; A169 &amp; " | " &amp;
"[LEVEL] " &amp; G169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F169 &amp; " | Stage 2 | " &amp; IF($I$3="", $I$2, $I$2&amp; " - " &amp;$I$3) &amp; " | 📊 Level: " &amp; G169 &amp; " | 🌐 Coding5s.com" &amp; CHAR(10) &amp; "Project: " &amp; J169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AE167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IF(G169="Beginner", "25–40", IF(G169="Intermediate", "30–60", "40–100")) &amp; " lines of EXECUTABLE code (STRICT: Do NOT count blank lines towards this limit) - Multi-step flow - 2–4 functions ONLY - main() as entry point " &amp; IF(G169&lt;&gt;"Advanced",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69" s="56" t="str">
        <f t="shared" ref="AB169:AB200" si="92">IF(H169&lt;&gt;"PROJECT","",
"[ROLE] Tech Lead | " &amp;
"[TASK] Assign incomplete project script | " &amp;
"[PROJECT] " &amp; I169 &amp; " | " &amp;
"[TOPICS USED] " &amp; A169 &amp; " | " &amp;
"[LEVEL] " &amp; G169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F169 &amp; " | Stage 3 | " &amp; IF($I$3="", $I$2, $I$2&amp; " - " &amp;$I$3) &amp; " | 📊 Level: " &amp; G169 &amp; " | 🌐 Coding5s.com" &amp; CHAR(10) &amp; "**Project:** " &amp; J169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IF(G169="Beginner","25–40", IF(G169="Intermediate","30–60","40–100")) &amp; " Class-based object architecture. Require at least 1 class with internal state management. Logic integration located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69" s="56" t="str">
        <f t="shared" ref="AC169:AC200" si="93">IF(H169&lt;&gt;"PROJECT","",
"[ROLE] Tech Lead | " &amp;
"[TASK] Provide a messy but functional project for refactoring | " &amp;
"[PROJECT] " &amp; I169 &amp; " | " &amp;
"[TOPICS USED] " &amp; A169 &amp; " | " &amp;
"[LEVEL] " &amp; G169 &amp; " | " &amp;
"[PERSONA RULE] Act as a Tech Lead. A junior wrote this working but messy code. Tone: professional but exhausted | " &amp;
"[HEADER RULE - STRICT] You MUST start your entire response EXACTLY with this markdown block (do not print anything before it):" &amp; CHAR(10) &amp; "### 🚀 Project #" &amp; F169 &amp; " | Stage 4 | " &amp; IF($I$3="", $I$2, $I$2&amp; " - " &amp;$I$3) &amp; " | 📊 Level: " &amp; G169 &amp; " | 🌐 Coding5s.com" &amp; CHAR(10) &amp; "**Project:** " &amp; J169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IF(G169="Beginner", "25–40", IF(G169="Intermediate",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69" s="56" t="str">
        <f t="shared" ref="AD169:AD200" si="94">IF(H169&lt;&gt;"PROJECT","",
"[ROLE] Tech Product Manager assigning a " &amp; $I$2 &amp; " Jira Ticket | " &amp;
"[TASK] Provide a guided project implementation with full solution | " &amp;
"[PROJECT] " &amp; I169 &amp; " | " &amp;
"[TOPICS USED] " &amp; A169 &amp; " | " &amp;
"[LEVEL] " &amp; G169 &amp; " | " &amp;
"[PERSONA RULE] Act as a professional Tech Product Manager defining a project ticket | " &amp;
"[LIBRARY BEING LEARNED] " &amp; $I$3 &amp; " | " &amp;
_xlfn._LONGTEXT("[ECOSYSTEM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"[HEADER RULE - STRICT] You MUST start your entire response EXACTLY with this markdown block (do not print anything before it):" &amp; CHAR(10) &amp; "### 🚀 Project #" &amp; F169 &amp; " | Stage 5 | " &amp; IF($I$3="", $I$2, $I$2&amp; " - " &amp;$I$3) &amp; " | 📊 Level: " &amp; G169 &amp; " | 🌐 Coding5s.com" &amp; CHAR(10) &amp; "**Project:** " &amp; J169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IF(G169="Beginner", "20–35", IF(G169="Intermediate", "30–50", "45–70")) &amp; " lines of EXECUTABLE code (STRICT) - V1.1 MUST be between " &amp; IF(G169="Beginner", "30–50", IF(G169="Intermediate",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IF(G169="Beginner", "Avoid complex structure. ", IF(G169="Intermediate",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69" s="40"/>
      <c r="AF169" s="40"/>
      <c r="AG169" s="40"/>
      <c r="AH169" s="56" t="str">
        <f t="shared" ref="AH169:AH200" si="95">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79"/>
        <v/>
      </c>
      <c r="C170" s="95"/>
      <c r="D170" s="57"/>
      <c r="E170" s="58"/>
      <c r="F170" s="54"/>
      <c r="G170" s="52"/>
      <c r="H170" s="52"/>
      <c r="I170" s="61"/>
      <c r="J170" s="62"/>
      <c r="K170" s="129" t="str">
        <f t="shared" si="80"/>
        <v/>
      </c>
      <c r="L170" s="103" t="str">
        <f t="shared" si="81"/>
        <v/>
      </c>
      <c r="M170" s="52">
        <v>0</v>
      </c>
      <c r="N170" s="102" t="str">
        <f t="shared" si="82"/>
        <v/>
      </c>
      <c r="O170" s="103" t="str">
        <f t="shared" si="83"/>
        <v/>
      </c>
      <c r="P170" s="52">
        <v>0</v>
      </c>
      <c r="Q170" s="102" t="str">
        <f t="shared" si="84"/>
        <v/>
      </c>
      <c r="R170" s="103" t="str">
        <f t="shared" si="85"/>
        <v/>
      </c>
      <c r="S170" s="52">
        <v>0</v>
      </c>
      <c r="T170" s="102" t="str">
        <f t="shared" si="86"/>
        <v/>
      </c>
      <c r="U170" s="103" t="str">
        <f t="shared" si="87"/>
        <v/>
      </c>
      <c r="V170" s="52">
        <v>0</v>
      </c>
      <c r="W170" s="87" t="str">
        <f t="shared" si="88"/>
        <v/>
      </c>
      <c r="X170" s="103" t="str">
        <f t="shared" si="89"/>
        <v/>
      </c>
      <c r="Y170" s="52">
        <v>0</v>
      </c>
      <c r="Z170" s="56" t="str">
        <f t="shared" si="90"/>
        <v/>
      </c>
      <c r="AA170" s="56" t="str">
        <f t="shared" si="91"/>
        <v/>
      </c>
      <c r="AB170" s="56" t="str">
        <f t="shared" si="92"/>
        <v/>
      </c>
      <c r="AC170" s="56" t="str">
        <f t="shared" si="93"/>
        <v/>
      </c>
      <c r="AD170" s="56" t="str">
        <f t="shared" si="94"/>
        <v/>
      </c>
      <c r="AE170" s="40"/>
      <c r="AF170" s="40"/>
      <c r="AG170" s="40"/>
      <c r="AH170" s="56" t="str">
        <f t="shared" si="95"/>
        <v/>
      </c>
      <c r="AI170" s="54"/>
      <c r="AJ170" s="54"/>
      <c r="AK170" s="54"/>
      <c r="AL170" s="54"/>
      <c r="AM170" s="54"/>
    </row>
    <row r="171" spans="1:39">
      <c r="A171" s="45" t="str" cm="1">
        <f t="array" ref="A171">IF(H171="PROJECT", CHAR(10) &amp; "- " &amp; _xlfn.TEXTJOIN(CHAR(10) &amp; "- ", TRUE, _xlfn._xlws.FILTER($I$9:$I$1000, ($B$9:$B$1000=B171) * ($H$9:$H$1000="Topic"))), "")</f>
        <v/>
      </c>
      <c r="B171" s="45" t="str">
        <f t="shared" si="79"/>
        <v/>
      </c>
      <c r="C171" s="95"/>
      <c r="D171" s="46"/>
      <c r="E171" s="58"/>
      <c r="F171" s="67"/>
      <c r="G171" s="53"/>
      <c r="H171" s="53"/>
      <c r="I171" s="50"/>
      <c r="J171" s="51"/>
      <c r="K171" s="129" t="str">
        <f t="shared" si="80"/>
        <v/>
      </c>
      <c r="L171" s="103" t="str">
        <f t="shared" si="81"/>
        <v/>
      </c>
      <c r="M171" s="53">
        <v>0</v>
      </c>
      <c r="N171" s="102" t="str">
        <f t="shared" si="82"/>
        <v/>
      </c>
      <c r="O171" s="103" t="str">
        <f t="shared" si="83"/>
        <v/>
      </c>
      <c r="P171" s="53">
        <v>0</v>
      </c>
      <c r="Q171" s="102" t="str">
        <f t="shared" si="84"/>
        <v/>
      </c>
      <c r="R171" s="103" t="str">
        <f t="shared" si="85"/>
        <v/>
      </c>
      <c r="S171" s="53">
        <v>0</v>
      </c>
      <c r="T171" s="102" t="str">
        <f t="shared" si="86"/>
        <v/>
      </c>
      <c r="U171" s="103" t="str">
        <f t="shared" si="87"/>
        <v/>
      </c>
      <c r="V171" s="53">
        <v>0</v>
      </c>
      <c r="W171" s="87" t="str">
        <f t="shared" si="88"/>
        <v/>
      </c>
      <c r="X171" s="103" t="str">
        <f t="shared" si="89"/>
        <v/>
      </c>
      <c r="Y171" s="53">
        <v>0</v>
      </c>
      <c r="Z171" s="56" t="str">
        <f t="shared" si="90"/>
        <v/>
      </c>
      <c r="AA171" s="56" t="str">
        <f t="shared" si="91"/>
        <v/>
      </c>
      <c r="AB171" s="56" t="str">
        <f t="shared" si="92"/>
        <v/>
      </c>
      <c r="AC171" s="56" t="str">
        <f t="shared" si="93"/>
        <v/>
      </c>
      <c r="AD171" s="56" t="str">
        <f t="shared" si="94"/>
        <v/>
      </c>
      <c r="AE171" s="40"/>
      <c r="AF171" s="40"/>
      <c r="AG171" s="40"/>
      <c r="AH171" s="56" t="str">
        <f t="shared" si="95"/>
        <v/>
      </c>
      <c r="AI171" s="54"/>
      <c r="AJ171" s="54"/>
      <c r="AK171" s="54"/>
      <c r="AL171" s="54"/>
      <c r="AM171" s="54"/>
    </row>
    <row r="172" spans="1:39">
      <c r="A172" s="45" t="str" cm="1">
        <f t="array" ref="A172">IF(H172="PROJECT", CHAR(10) &amp; "- " &amp; _xlfn.TEXTJOIN(CHAR(10) &amp; "- ", TRUE, _xlfn._xlws.FILTER($I$9:$I$1000, ($B$9:$B$1000=B172) * ($H$9:$H$1000="Topic"))), "")</f>
        <v/>
      </c>
      <c r="B172" s="45" t="str">
        <f t="shared" si="79"/>
        <v/>
      </c>
      <c r="C172" s="95"/>
      <c r="D172" s="57"/>
      <c r="E172" s="58"/>
      <c r="F172" s="54"/>
      <c r="G172" s="52"/>
      <c r="H172" s="52"/>
      <c r="I172" s="61"/>
      <c r="J172" s="62"/>
      <c r="K172" s="129" t="str">
        <f t="shared" si="80"/>
        <v/>
      </c>
      <c r="L172" s="103" t="str">
        <f t="shared" si="81"/>
        <v/>
      </c>
      <c r="M172" s="52">
        <v>0</v>
      </c>
      <c r="N172" s="102" t="str">
        <f t="shared" si="82"/>
        <v/>
      </c>
      <c r="O172" s="103" t="str">
        <f t="shared" si="83"/>
        <v/>
      </c>
      <c r="P172" s="52">
        <v>0</v>
      </c>
      <c r="Q172" s="102" t="str">
        <f t="shared" si="84"/>
        <v/>
      </c>
      <c r="R172" s="103" t="str">
        <f t="shared" si="85"/>
        <v/>
      </c>
      <c r="S172" s="52">
        <v>0</v>
      </c>
      <c r="T172" s="102" t="str">
        <f t="shared" si="86"/>
        <v/>
      </c>
      <c r="U172" s="103" t="str">
        <f t="shared" si="87"/>
        <v/>
      </c>
      <c r="V172" s="52">
        <v>0</v>
      </c>
      <c r="W172" s="87" t="str">
        <f t="shared" si="88"/>
        <v/>
      </c>
      <c r="X172" s="103" t="str">
        <f t="shared" si="89"/>
        <v/>
      </c>
      <c r="Y172" s="52">
        <v>0</v>
      </c>
      <c r="Z172" s="56" t="str">
        <f t="shared" si="90"/>
        <v/>
      </c>
      <c r="AA172" s="56" t="str">
        <f t="shared" si="91"/>
        <v/>
      </c>
      <c r="AB172" s="56" t="str">
        <f t="shared" si="92"/>
        <v/>
      </c>
      <c r="AC172" s="56" t="str">
        <f t="shared" si="93"/>
        <v/>
      </c>
      <c r="AD172" s="56" t="str">
        <f t="shared" si="94"/>
        <v/>
      </c>
      <c r="AE172" s="40"/>
      <c r="AF172" s="40"/>
      <c r="AG172" s="40"/>
      <c r="AH172" s="56" t="str">
        <f t="shared" si="95"/>
        <v/>
      </c>
      <c r="AI172" s="54"/>
      <c r="AJ172" s="54"/>
      <c r="AK172" s="54"/>
      <c r="AL172" s="54"/>
      <c r="AM172" s="54"/>
    </row>
    <row r="173" spans="1:39">
      <c r="A173" s="45" t="str" cm="1">
        <f t="array" ref="A173">IF(H173="PROJECT", CHAR(10) &amp; "- " &amp; _xlfn.TEXTJOIN(CHAR(10) &amp; "- ", TRUE, _xlfn._xlws.FILTER($I$9:$I$1000, ($B$9:$B$1000=B173) * ($H$9:$H$1000="Topic"))), "")</f>
        <v/>
      </c>
      <c r="B173" s="45" t="str">
        <f t="shared" si="79"/>
        <v/>
      </c>
      <c r="C173" s="95"/>
      <c r="D173" s="46"/>
      <c r="E173" s="58"/>
      <c r="F173" s="67"/>
      <c r="G173" s="53"/>
      <c r="H173" s="53"/>
      <c r="I173" s="50"/>
      <c r="J173" s="51"/>
      <c r="K173" s="129" t="str">
        <f t="shared" si="80"/>
        <v/>
      </c>
      <c r="L173" s="103" t="str">
        <f t="shared" si="81"/>
        <v/>
      </c>
      <c r="M173" s="53">
        <v>0</v>
      </c>
      <c r="N173" s="102" t="str">
        <f t="shared" si="82"/>
        <v/>
      </c>
      <c r="O173" s="103" t="str">
        <f t="shared" si="83"/>
        <v/>
      </c>
      <c r="P173" s="53">
        <v>0</v>
      </c>
      <c r="Q173" s="102" t="str">
        <f t="shared" si="84"/>
        <v/>
      </c>
      <c r="R173" s="103" t="str">
        <f t="shared" si="85"/>
        <v/>
      </c>
      <c r="S173" s="53">
        <v>0</v>
      </c>
      <c r="T173" s="102" t="str">
        <f t="shared" si="86"/>
        <v/>
      </c>
      <c r="U173" s="103" t="str">
        <f t="shared" si="87"/>
        <v/>
      </c>
      <c r="V173" s="53">
        <v>0</v>
      </c>
      <c r="W173" s="87" t="str">
        <f t="shared" si="88"/>
        <v/>
      </c>
      <c r="X173" s="103" t="str">
        <f t="shared" si="89"/>
        <v/>
      </c>
      <c r="Y173" s="53">
        <v>0</v>
      </c>
      <c r="Z173" s="56" t="str">
        <f t="shared" si="90"/>
        <v/>
      </c>
      <c r="AA173" s="56" t="str">
        <f t="shared" si="91"/>
        <v/>
      </c>
      <c r="AB173" s="56" t="str">
        <f t="shared" si="92"/>
        <v/>
      </c>
      <c r="AC173" s="56" t="str">
        <f t="shared" si="93"/>
        <v/>
      </c>
      <c r="AD173" s="56" t="str">
        <f t="shared" si="94"/>
        <v/>
      </c>
      <c r="AE173" s="40"/>
      <c r="AF173" s="40"/>
      <c r="AG173" s="40"/>
      <c r="AH173" s="56" t="str">
        <f t="shared" si="95"/>
        <v/>
      </c>
      <c r="AI173" s="54"/>
      <c r="AJ173" s="54"/>
      <c r="AK173" s="54"/>
      <c r="AL173" s="54"/>
      <c r="AM173" s="54"/>
    </row>
    <row r="174" spans="1:39">
      <c r="A174" s="45" t="str" cm="1">
        <f t="array" ref="A174">IF(H174="PROJECT", CHAR(10) &amp; "- " &amp; _xlfn.TEXTJOIN(CHAR(10) &amp; "- ", TRUE, _xlfn._xlws.FILTER($I$9:$I$1000, ($B$9:$B$1000=B174) * ($H$9:$H$1000="Topic"))), "")</f>
        <v/>
      </c>
      <c r="B174" s="45" t="str">
        <f t="shared" si="79"/>
        <v/>
      </c>
      <c r="C174" s="95"/>
      <c r="D174" s="57"/>
      <c r="E174" s="58"/>
      <c r="F174" s="54"/>
      <c r="G174" s="52"/>
      <c r="H174" s="52"/>
      <c r="I174" s="61"/>
      <c r="J174" s="62"/>
      <c r="K174" s="129" t="str">
        <f t="shared" si="80"/>
        <v/>
      </c>
      <c r="L174" s="103" t="str">
        <f t="shared" si="81"/>
        <v/>
      </c>
      <c r="M174" s="52">
        <v>0</v>
      </c>
      <c r="N174" s="102" t="str">
        <f t="shared" si="82"/>
        <v/>
      </c>
      <c r="O174" s="103" t="str">
        <f t="shared" si="83"/>
        <v/>
      </c>
      <c r="P174" s="52">
        <v>0</v>
      </c>
      <c r="Q174" s="102" t="str">
        <f t="shared" si="84"/>
        <v/>
      </c>
      <c r="R174" s="103" t="str">
        <f t="shared" si="85"/>
        <v/>
      </c>
      <c r="S174" s="52">
        <v>0</v>
      </c>
      <c r="T174" s="102" t="str">
        <f t="shared" si="86"/>
        <v/>
      </c>
      <c r="U174" s="103" t="str">
        <f t="shared" si="87"/>
        <v/>
      </c>
      <c r="V174" s="52">
        <v>0</v>
      </c>
      <c r="W174" s="87" t="str">
        <f t="shared" si="88"/>
        <v/>
      </c>
      <c r="X174" s="103" t="str">
        <f t="shared" si="89"/>
        <v/>
      </c>
      <c r="Y174" s="52">
        <v>0</v>
      </c>
      <c r="Z174" s="56" t="str">
        <f t="shared" si="90"/>
        <v/>
      </c>
      <c r="AA174" s="56" t="str">
        <f t="shared" si="91"/>
        <v/>
      </c>
      <c r="AB174" s="56" t="str">
        <f t="shared" si="92"/>
        <v/>
      </c>
      <c r="AC174" s="56" t="str">
        <f t="shared" si="93"/>
        <v/>
      </c>
      <c r="AD174" s="56" t="str">
        <f t="shared" si="94"/>
        <v/>
      </c>
      <c r="AE174" s="40"/>
      <c r="AF174" s="40"/>
      <c r="AG174" s="40"/>
      <c r="AH174" s="56" t="str">
        <f t="shared" si="95"/>
        <v/>
      </c>
      <c r="AI174" s="54"/>
      <c r="AJ174" s="54"/>
      <c r="AK174" s="54"/>
      <c r="AL174" s="54"/>
      <c r="AM174" s="54"/>
    </row>
    <row r="175" spans="1:39">
      <c r="A175" s="45" t="str" cm="1">
        <f t="array" ref="A175">IF(H175="PROJECT", CHAR(10) &amp; "- " &amp; _xlfn.TEXTJOIN(CHAR(10) &amp; "- ", TRUE, _xlfn._xlws.FILTER($I$9:$I$1000, ($B$9:$B$1000=B175) * ($H$9:$H$1000="Topic"))), "")</f>
        <v/>
      </c>
      <c r="B175" s="45" t="str">
        <f t="shared" si="79"/>
        <v/>
      </c>
      <c r="C175" s="95"/>
      <c r="D175" s="46"/>
      <c r="E175" s="58"/>
      <c r="F175" s="67"/>
      <c r="G175" s="53"/>
      <c r="H175" s="53"/>
      <c r="I175" s="50"/>
      <c r="J175" s="51"/>
      <c r="K175" s="129" t="str">
        <f t="shared" si="80"/>
        <v/>
      </c>
      <c r="L175" s="103" t="str">
        <f t="shared" si="81"/>
        <v/>
      </c>
      <c r="M175" s="53">
        <v>0</v>
      </c>
      <c r="N175" s="102" t="str">
        <f t="shared" si="82"/>
        <v/>
      </c>
      <c r="O175" s="103" t="str">
        <f t="shared" si="83"/>
        <v/>
      </c>
      <c r="P175" s="53">
        <v>0</v>
      </c>
      <c r="Q175" s="102" t="str">
        <f t="shared" si="84"/>
        <v/>
      </c>
      <c r="R175" s="103" t="str">
        <f t="shared" si="85"/>
        <v/>
      </c>
      <c r="S175" s="53">
        <v>0</v>
      </c>
      <c r="T175" s="102" t="str">
        <f t="shared" si="86"/>
        <v/>
      </c>
      <c r="U175" s="103" t="str">
        <f t="shared" si="87"/>
        <v/>
      </c>
      <c r="V175" s="53">
        <v>0</v>
      </c>
      <c r="W175" s="87" t="str">
        <f t="shared" si="88"/>
        <v/>
      </c>
      <c r="X175" s="103" t="str">
        <f t="shared" si="89"/>
        <v/>
      </c>
      <c r="Y175" s="53">
        <v>0</v>
      </c>
      <c r="Z175" s="56" t="str">
        <f t="shared" si="90"/>
        <v/>
      </c>
      <c r="AA175" s="56" t="str">
        <f t="shared" si="91"/>
        <v/>
      </c>
      <c r="AB175" s="56" t="str">
        <f t="shared" si="92"/>
        <v/>
      </c>
      <c r="AC175" s="56" t="str">
        <f t="shared" si="93"/>
        <v/>
      </c>
      <c r="AD175" s="56" t="str">
        <f t="shared" si="94"/>
        <v/>
      </c>
      <c r="AE175" s="40"/>
      <c r="AF175" s="40"/>
      <c r="AG175" s="40"/>
      <c r="AH175" s="56" t="str">
        <f t="shared" si="95"/>
        <v/>
      </c>
      <c r="AI175" s="54"/>
      <c r="AJ175" s="54"/>
      <c r="AK175" s="54"/>
      <c r="AL175" s="54"/>
      <c r="AM175" s="54"/>
    </row>
    <row r="176" spans="1:39">
      <c r="A176" s="45" t="str" cm="1">
        <f t="array" ref="A176">IF(H176="PROJECT", CHAR(10) &amp; "- " &amp; _xlfn.TEXTJOIN(CHAR(10) &amp; "- ", TRUE, _xlfn._xlws.FILTER($I$9:$I$1000, ($B$9:$B$1000=B176) * ($H$9:$H$1000="Topic"))), "")</f>
        <v/>
      </c>
      <c r="B176" s="45" t="str">
        <f t="shared" si="79"/>
        <v/>
      </c>
      <c r="C176" s="95"/>
      <c r="D176" s="57"/>
      <c r="E176" s="58"/>
      <c r="F176" s="54"/>
      <c r="G176" s="52"/>
      <c r="H176" s="52"/>
      <c r="I176" s="61"/>
      <c r="J176" s="62"/>
      <c r="K176" s="129" t="str">
        <f t="shared" si="80"/>
        <v/>
      </c>
      <c r="L176" s="103" t="str">
        <f t="shared" si="81"/>
        <v/>
      </c>
      <c r="M176" s="52">
        <v>0</v>
      </c>
      <c r="N176" s="102" t="str">
        <f t="shared" si="82"/>
        <v/>
      </c>
      <c r="O176" s="103" t="str">
        <f t="shared" si="83"/>
        <v/>
      </c>
      <c r="P176" s="52">
        <v>0</v>
      </c>
      <c r="Q176" s="102" t="str">
        <f t="shared" si="84"/>
        <v/>
      </c>
      <c r="R176" s="103" t="str">
        <f t="shared" si="85"/>
        <v/>
      </c>
      <c r="S176" s="52">
        <v>0</v>
      </c>
      <c r="T176" s="102" t="str">
        <f t="shared" si="86"/>
        <v/>
      </c>
      <c r="U176" s="103" t="str">
        <f t="shared" si="87"/>
        <v/>
      </c>
      <c r="V176" s="52">
        <v>0</v>
      </c>
      <c r="W176" s="87" t="str">
        <f t="shared" si="88"/>
        <v/>
      </c>
      <c r="X176" s="103" t="str">
        <f t="shared" si="89"/>
        <v/>
      </c>
      <c r="Y176" s="52">
        <v>0</v>
      </c>
      <c r="Z176" s="56" t="str">
        <f t="shared" si="90"/>
        <v/>
      </c>
      <c r="AA176" s="56" t="str">
        <f t="shared" si="91"/>
        <v/>
      </c>
      <c r="AB176" s="56" t="str">
        <f t="shared" si="92"/>
        <v/>
      </c>
      <c r="AC176" s="56" t="str">
        <f t="shared" si="93"/>
        <v/>
      </c>
      <c r="AD176" s="56" t="str">
        <f t="shared" si="94"/>
        <v/>
      </c>
      <c r="AE176" s="40"/>
      <c r="AF176" s="40"/>
      <c r="AG176" s="40"/>
      <c r="AH176" s="56" t="str">
        <f t="shared" si="95"/>
        <v/>
      </c>
      <c r="AI176" s="54"/>
      <c r="AJ176" s="54"/>
      <c r="AK176" s="54"/>
      <c r="AL176" s="54"/>
      <c r="AM176" s="54"/>
    </row>
    <row r="177" spans="1:39">
      <c r="A177" s="45" t="str" cm="1">
        <f t="array" ref="A177">IF(H177="PROJECT", CHAR(10) &amp; "- " &amp; _xlfn.TEXTJOIN(CHAR(10) &amp; "- ", TRUE, _xlfn._xlws.FILTER($I$9:$I$1000, ($B$9:$B$1000=B177) * ($H$9:$H$1000="Topic"))), "")</f>
        <v/>
      </c>
      <c r="B177" s="45" t="str">
        <f t="shared" si="79"/>
        <v/>
      </c>
      <c r="C177" s="95"/>
      <c r="D177" s="46"/>
      <c r="E177" s="58"/>
      <c r="F177" s="67"/>
      <c r="G177" s="53"/>
      <c r="H177" s="53"/>
      <c r="I177" s="50"/>
      <c r="J177" s="51"/>
      <c r="K177" s="129" t="str">
        <f t="shared" si="80"/>
        <v/>
      </c>
      <c r="L177" s="103" t="str">
        <f t="shared" si="81"/>
        <v/>
      </c>
      <c r="M177" s="53">
        <v>0</v>
      </c>
      <c r="N177" s="102" t="str">
        <f t="shared" si="82"/>
        <v/>
      </c>
      <c r="O177" s="103" t="str">
        <f t="shared" si="83"/>
        <v/>
      </c>
      <c r="P177" s="53">
        <v>0</v>
      </c>
      <c r="Q177" s="102" t="str">
        <f t="shared" si="84"/>
        <v/>
      </c>
      <c r="R177" s="103" t="str">
        <f t="shared" si="85"/>
        <v/>
      </c>
      <c r="S177" s="53">
        <v>0</v>
      </c>
      <c r="T177" s="102" t="str">
        <f t="shared" si="86"/>
        <v/>
      </c>
      <c r="U177" s="103" t="str">
        <f t="shared" si="87"/>
        <v/>
      </c>
      <c r="V177" s="53">
        <v>0</v>
      </c>
      <c r="W177" s="87" t="str">
        <f t="shared" si="88"/>
        <v/>
      </c>
      <c r="X177" s="103" t="str">
        <f t="shared" si="89"/>
        <v/>
      </c>
      <c r="Y177" s="53">
        <v>0</v>
      </c>
      <c r="Z177" s="56" t="str">
        <f t="shared" si="90"/>
        <v/>
      </c>
      <c r="AA177" s="56" t="str">
        <f t="shared" si="91"/>
        <v/>
      </c>
      <c r="AB177" s="56" t="str">
        <f t="shared" si="92"/>
        <v/>
      </c>
      <c r="AC177" s="56" t="str">
        <f t="shared" si="93"/>
        <v/>
      </c>
      <c r="AD177" s="56" t="str">
        <f t="shared" si="94"/>
        <v/>
      </c>
      <c r="AE177" s="40"/>
      <c r="AF177" s="40"/>
      <c r="AG177" s="40"/>
      <c r="AH177" s="56" t="str">
        <f t="shared" si="95"/>
        <v/>
      </c>
      <c r="AI177" s="54"/>
      <c r="AJ177" s="54"/>
      <c r="AK177" s="54"/>
      <c r="AL177" s="54"/>
      <c r="AM177" s="54"/>
    </row>
    <row r="178" spans="1:39">
      <c r="A178" s="45" t="str" cm="1">
        <f t="array" ref="A178">IF(H178="PROJECT", CHAR(10) &amp; "- " &amp; _xlfn.TEXTJOIN(CHAR(10) &amp; "- ", TRUE, _xlfn._xlws.FILTER($I$9:$I$1000, ($B$9:$B$1000=B178) * ($H$9:$H$1000="Topic"))), "")</f>
        <v/>
      </c>
      <c r="B178" s="45" t="str">
        <f t="shared" si="79"/>
        <v/>
      </c>
      <c r="C178" s="95"/>
      <c r="D178" s="57"/>
      <c r="E178" s="58"/>
      <c r="F178" s="54"/>
      <c r="G178" s="52"/>
      <c r="H178" s="52"/>
      <c r="I178" s="61"/>
      <c r="J178" s="62"/>
      <c r="K178" s="129" t="str">
        <f t="shared" si="80"/>
        <v/>
      </c>
      <c r="L178" s="103" t="str">
        <f t="shared" si="81"/>
        <v/>
      </c>
      <c r="M178" s="52">
        <v>0</v>
      </c>
      <c r="N178" s="102" t="str">
        <f t="shared" si="82"/>
        <v/>
      </c>
      <c r="O178" s="103" t="str">
        <f t="shared" si="83"/>
        <v/>
      </c>
      <c r="P178" s="52">
        <v>0</v>
      </c>
      <c r="Q178" s="102" t="str">
        <f t="shared" si="84"/>
        <v/>
      </c>
      <c r="R178" s="103" t="str">
        <f t="shared" si="85"/>
        <v/>
      </c>
      <c r="S178" s="52">
        <v>0</v>
      </c>
      <c r="T178" s="102" t="str">
        <f t="shared" si="86"/>
        <v/>
      </c>
      <c r="U178" s="103" t="str">
        <f t="shared" si="87"/>
        <v/>
      </c>
      <c r="V178" s="52">
        <v>0</v>
      </c>
      <c r="W178" s="87" t="str">
        <f t="shared" si="88"/>
        <v/>
      </c>
      <c r="X178" s="103" t="str">
        <f t="shared" si="89"/>
        <v/>
      </c>
      <c r="Y178" s="52">
        <v>0</v>
      </c>
      <c r="Z178" s="56" t="str">
        <f t="shared" si="90"/>
        <v/>
      </c>
      <c r="AA178" s="56" t="str">
        <f t="shared" si="91"/>
        <v/>
      </c>
      <c r="AB178" s="56" t="str">
        <f t="shared" si="92"/>
        <v/>
      </c>
      <c r="AC178" s="56" t="str">
        <f t="shared" si="93"/>
        <v/>
      </c>
      <c r="AD178" s="56" t="str">
        <f t="shared" si="94"/>
        <v/>
      </c>
      <c r="AE178" s="40"/>
      <c r="AF178" s="40"/>
      <c r="AG178" s="40"/>
      <c r="AH178" s="56" t="str">
        <f t="shared" si="95"/>
        <v/>
      </c>
      <c r="AI178" s="54"/>
      <c r="AJ178" s="54"/>
      <c r="AK178" s="54"/>
      <c r="AL178" s="54"/>
      <c r="AM178" s="54"/>
    </row>
    <row r="179" spans="1:39">
      <c r="A179" s="45" t="str" cm="1">
        <f t="array" ref="A179">IF(H179="PROJECT", CHAR(10) &amp; "- " &amp; _xlfn.TEXTJOIN(CHAR(10) &amp; "- ", TRUE, _xlfn._xlws.FILTER($I$9:$I$1000, ($B$9:$B$1000=B179) * ($H$9:$H$1000="Topic"))), "")</f>
        <v/>
      </c>
      <c r="B179" s="45" t="str">
        <f t="shared" si="79"/>
        <v/>
      </c>
      <c r="C179" s="95"/>
      <c r="D179" s="46"/>
      <c r="E179" s="58"/>
      <c r="F179" s="67"/>
      <c r="G179" s="53"/>
      <c r="H179" s="53"/>
      <c r="I179" s="50"/>
      <c r="J179" s="51"/>
      <c r="K179" s="129" t="str">
        <f t="shared" si="80"/>
        <v/>
      </c>
      <c r="L179" s="103" t="str">
        <f t="shared" si="81"/>
        <v/>
      </c>
      <c r="M179" s="53">
        <v>0</v>
      </c>
      <c r="N179" s="102" t="str">
        <f t="shared" si="82"/>
        <v/>
      </c>
      <c r="O179" s="103" t="str">
        <f t="shared" si="83"/>
        <v/>
      </c>
      <c r="P179" s="53">
        <v>0</v>
      </c>
      <c r="Q179" s="102" t="str">
        <f t="shared" si="84"/>
        <v/>
      </c>
      <c r="R179" s="103" t="str">
        <f t="shared" si="85"/>
        <v/>
      </c>
      <c r="S179" s="53">
        <v>0</v>
      </c>
      <c r="T179" s="102" t="str">
        <f t="shared" si="86"/>
        <v/>
      </c>
      <c r="U179" s="103" t="str">
        <f t="shared" si="87"/>
        <v/>
      </c>
      <c r="V179" s="53">
        <v>0</v>
      </c>
      <c r="W179" s="87" t="str">
        <f t="shared" si="88"/>
        <v/>
      </c>
      <c r="X179" s="103" t="str">
        <f t="shared" si="89"/>
        <v/>
      </c>
      <c r="Y179" s="53">
        <v>0</v>
      </c>
      <c r="Z179" s="56" t="str">
        <f t="shared" si="90"/>
        <v/>
      </c>
      <c r="AA179" s="56" t="str">
        <f t="shared" si="91"/>
        <v/>
      </c>
      <c r="AB179" s="56" t="str">
        <f t="shared" si="92"/>
        <v/>
      </c>
      <c r="AC179" s="56" t="str">
        <f t="shared" si="93"/>
        <v/>
      </c>
      <c r="AD179" s="56" t="str">
        <f t="shared" si="94"/>
        <v/>
      </c>
      <c r="AE179" s="40"/>
      <c r="AF179" s="40"/>
      <c r="AG179" s="40"/>
      <c r="AH179" s="56" t="str">
        <f t="shared" si="95"/>
        <v/>
      </c>
      <c r="AI179" s="54"/>
      <c r="AJ179" s="54"/>
      <c r="AK179" s="54"/>
      <c r="AL179" s="54"/>
      <c r="AM179" s="54"/>
    </row>
    <row r="180" spans="1:39">
      <c r="A180" s="45" t="str" cm="1">
        <f t="array" ref="A180">IF(H180="PROJECT", CHAR(10) &amp; "- " &amp; _xlfn.TEXTJOIN(CHAR(10) &amp; "- ", TRUE, _xlfn._xlws.FILTER($I$9:$I$1000, ($B$9:$B$1000=B180) * ($H$9:$H$1000="Topic"))), "")</f>
        <v/>
      </c>
      <c r="B180" s="45" t="str">
        <f t="shared" si="79"/>
        <v/>
      </c>
      <c r="C180" s="95"/>
      <c r="D180" s="57"/>
      <c r="E180" s="58"/>
      <c r="F180" s="54"/>
      <c r="G180" s="52"/>
      <c r="H180" s="52"/>
      <c r="I180" s="61"/>
      <c r="J180" s="62"/>
      <c r="K180" s="129" t="str">
        <f t="shared" si="80"/>
        <v/>
      </c>
      <c r="L180" s="103" t="str">
        <f t="shared" si="81"/>
        <v/>
      </c>
      <c r="M180" s="52">
        <v>0</v>
      </c>
      <c r="N180" s="102" t="str">
        <f t="shared" si="82"/>
        <v/>
      </c>
      <c r="O180" s="103" t="str">
        <f t="shared" si="83"/>
        <v/>
      </c>
      <c r="P180" s="52">
        <v>0</v>
      </c>
      <c r="Q180" s="102" t="str">
        <f t="shared" si="84"/>
        <v/>
      </c>
      <c r="R180" s="103" t="str">
        <f t="shared" si="85"/>
        <v/>
      </c>
      <c r="S180" s="52">
        <v>0</v>
      </c>
      <c r="T180" s="102" t="str">
        <f t="shared" si="86"/>
        <v/>
      </c>
      <c r="U180" s="103" t="str">
        <f t="shared" si="87"/>
        <v/>
      </c>
      <c r="V180" s="52">
        <v>0</v>
      </c>
      <c r="W180" s="87" t="str">
        <f t="shared" si="88"/>
        <v/>
      </c>
      <c r="X180" s="103" t="str">
        <f t="shared" si="89"/>
        <v/>
      </c>
      <c r="Y180" s="52">
        <v>0</v>
      </c>
      <c r="Z180" s="56" t="str">
        <f t="shared" si="90"/>
        <v/>
      </c>
      <c r="AA180" s="56" t="str">
        <f t="shared" si="91"/>
        <v/>
      </c>
      <c r="AB180" s="56" t="str">
        <f t="shared" si="92"/>
        <v/>
      </c>
      <c r="AC180" s="56" t="str">
        <f t="shared" si="93"/>
        <v/>
      </c>
      <c r="AD180" s="56" t="str">
        <f t="shared" si="94"/>
        <v/>
      </c>
      <c r="AE180" s="40"/>
      <c r="AF180" s="40"/>
      <c r="AG180" s="40"/>
      <c r="AH180" s="56" t="str">
        <f t="shared" si="95"/>
        <v/>
      </c>
      <c r="AI180" s="54"/>
      <c r="AJ180" s="54"/>
      <c r="AK180" s="54"/>
      <c r="AL180" s="54"/>
      <c r="AM180" s="54"/>
    </row>
    <row r="181" spans="1:39">
      <c r="A181" s="45" t="str" cm="1">
        <f t="array" ref="A181">IF(H181="PROJECT", CHAR(10) &amp; "- " &amp; _xlfn.TEXTJOIN(CHAR(10) &amp; "- ", TRUE, _xlfn._xlws.FILTER($I$9:$I$1000, ($B$9:$B$1000=B181) * ($H$9:$H$1000="Topic"))), "")</f>
        <v/>
      </c>
      <c r="B181" s="45" t="str">
        <f t="shared" si="79"/>
        <v/>
      </c>
      <c r="C181" s="95"/>
      <c r="D181" s="46"/>
      <c r="E181" s="58"/>
      <c r="F181" s="67"/>
      <c r="G181" s="53"/>
      <c r="H181" s="53"/>
      <c r="I181" s="50"/>
      <c r="J181" s="51"/>
      <c r="K181" s="129" t="str">
        <f t="shared" si="80"/>
        <v/>
      </c>
      <c r="L181" s="103" t="str">
        <f t="shared" si="81"/>
        <v/>
      </c>
      <c r="M181" s="53">
        <v>0</v>
      </c>
      <c r="N181" s="102" t="str">
        <f t="shared" si="82"/>
        <v/>
      </c>
      <c r="O181" s="103" t="str">
        <f t="shared" si="83"/>
        <v/>
      </c>
      <c r="P181" s="53">
        <v>0</v>
      </c>
      <c r="Q181" s="102" t="str">
        <f t="shared" si="84"/>
        <v/>
      </c>
      <c r="R181" s="103" t="str">
        <f t="shared" si="85"/>
        <v/>
      </c>
      <c r="S181" s="53">
        <v>0</v>
      </c>
      <c r="T181" s="102" t="str">
        <f t="shared" si="86"/>
        <v/>
      </c>
      <c r="U181" s="103" t="str">
        <f t="shared" si="87"/>
        <v/>
      </c>
      <c r="V181" s="53">
        <v>0</v>
      </c>
      <c r="W181" s="87" t="str">
        <f t="shared" si="88"/>
        <v/>
      </c>
      <c r="X181" s="103" t="str">
        <f t="shared" si="89"/>
        <v/>
      </c>
      <c r="Y181" s="53">
        <v>0</v>
      </c>
      <c r="Z181" s="56" t="str">
        <f t="shared" si="90"/>
        <v/>
      </c>
      <c r="AA181" s="56" t="str">
        <f t="shared" si="91"/>
        <v/>
      </c>
      <c r="AB181" s="56" t="str">
        <f t="shared" si="92"/>
        <v/>
      </c>
      <c r="AC181" s="56" t="str">
        <f t="shared" si="93"/>
        <v/>
      </c>
      <c r="AD181" s="56" t="str">
        <f t="shared" si="94"/>
        <v/>
      </c>
      <c r="AE181" s="40"/>
      <c r="AF181" s="40"/>
      <c r="AG181" s="40"/>
      <c r="AH181" s="56" t="str">
        <f t="shared" si="95"/>
        <v/>
      </c>
      <c r="AI181" s="54"/>
      <c r="AJ181" s="54"/>
      <c r="AK181" s="54"/>
      <c r="AL181" s="54"/>
      <c r="AM181" s="54"/>
    </row>
    <row r="182" spans="1:39">
      <c r="A182" s="45" t="str" cm="1">
        <f t="array" ref="A182">IF(H182="PROJECT", CHAR(10) &amp; "- " &amp; _xlfn.TEXTJOIN(CHAR(10) &amp; "- ", TRUE, _xlfn._xlws.FILTER($I$9:$I$1000, ($B$9:$B$1000=B182) * ($H$9:$H$1000="Topic"))), "")</f>
        <v/>
      </c>
      <c r="B182" s="45" t="str">
        <f t="shared" si="79"/>
        <v/>
      </c>
      <c r="C182" s="95"/>
      <c r="D182" s="57"/>
      <c r="E182" s="58"/>
      <c r="F182" s="54"/>
      <c r="G182" s="52"/>
      <c r="H182" s="52"/>
      <c r="I182" s="61"/>
      <c r="J182" s="62"/>
      <c r="K182" s="129" t="str">
        <f t="shared" si="80"/>
        <v/>
      </c>
      <c r="L182" s="103" t="str">
        <f t="shared" si="81"/>
        <v/>
      </c>
      <c r="M182" s="52">
        <v>0</v>
      </c>
      <c r="N182" s="102" t="str">
        <f t="shared" si="82"/>
        <v/>
      </c>
      <c r="O182" s="103" t="str">
        <f t="shared" si="83"/>
        <v/>
      </c>
      <c r="P182" s="52">
        <v>0</v>
      </c>
      <c r="Q182" s="102" t="str">
        <f t="shared" si="84"/>
        <v/>
      </c>
      <c r="R182" s="103" t="str">
        <f t="shared" si="85"/>
        <v/>
      </c>
      <c r="S182" s="52">
        <v>0</v>
      </c>
      <c r="T182" s="102" t="str">
        <f t="shared" si="86"/>
        <v/>
      </c>
      <c r="U182" s="103" t="str">
        <f t="shared" si="87"/>
        <v/>
      </c>
      <c r="V182" s="52">
        <v>0</v>
      </c>
      <c r="W182" s="87" t="str">
        <f t="shared" si="88"/>
        <v/>
      </c>
      <c r="X182" s="103" t="str">
        <f t="shared" si="89"/>
        <v/>
      </c>
      <c r="Y182" s="52">
        <v>0</v>
      </c>
      <c r="Z182" s="56" t="str">
        <f t="shared" si="90"/>
        <v/>
      </c>
      <c r="AA182" s="56" t="str">
        <f t="shared" si="91"/>
        <v/>
      </c>
      <c r="AB182" s="56" t="str">
        <f t="shared" si="92"/>
        <v/>
      </c>
      <c r="AC182" s="56" t="str">
        <f t="shared" si="93"/>
        <v/>
      </c>
      <c r="AD182" s="56" t="str">
        <f t="shared" si="94"/>
        <v/>
      </c>
      <c r="AE182" s="40"/>
      <c r="AF182" s="40"/>
      <c r="AG182" s="40"/>
      <c r="AH182" s="56" t="str">
        <f t="shared" si="95"/>
        <v/>
      </c>
      <c r="AI182" s="54"/>
      <c r="AJ182" s="54"/>
      <c r="AK182" s="54"/>
      <c r="AL182" s="54"/>
      <c r="AM182" s="54"/>
    </row>
    <row r="183" spans="1:39">
      <c r="A183" s="45" t="str" cm="1">
        <f t="array" ref="A183">IF(H183="PROJECT", CHAR(10) &amp; "- " &amp; _xlfn.TEXTJOIN(CHAR(10) &amp; "- ", TRUE, _xlfn._xlws.FILTER($I$9:$I$1000, ($B$9:$B$1000=B183) * ($H$9:$H$1000="Topic"))), "")</f>
        <v/>
      </c>
      <c r="B183" s="45" t="str">
        <f t="shared" si="79"/>
        <v/>
      </c>
      <c r="C183" s="95"/>
      <c r="D183" s="46"/>
      <c r="E183" s="58"/>
      <c r="F183" s="67"/>
      <c r="G183" s="53"/>
      <c r="H183" s="53"/>
      <c r="I183" s="50"/>
      <c r="J183" s="51"/>
      <c r="K183" s="129" t="str">
        <f t="shared" si="80"/>
        <v/>
      </c>
      <c r="L183" s="103" t="str">
        <f t="shared" si="81"/>
        <v/>
      </c>
      <c r="M183" s="53">
        <v>0</v>
      </c>
      <c r="N183" s="102" t="str">
        <f t="shared" si="82"/>
        <v/>
      </c>
      <c r="O183" s="103" t="str">
        <f t="shared" si="83"/>
        <v/>
      </c>
      <c r="P183" s="53">
        <v>0</v>
      </c>
      <c r="Q183" s="102" t="str">
        <f t="shared" si="84"/>
        <v/>
      </c>
      <c r="R183" s="103" t="str">
        <f t="shared" si="85"/>
        <v/>
      </c>
      <c r="S183" s="53">
        <v>0</v>
      </c>
      <c r="T183" s="102" t="str">
        <f t="shared" si="86"/>
        <v/>
      </c>
      <c r="U183" s="103" t="str">
        <f t="shared" si="87"/>
        <v/>
      </c>
      <c r="V183" s="53">
        <v>0</v>
      </c>
      <c r="W183" s="87" t="str">
        <f t="shared" si="88"/>
        <v/>
      </c>
      <c r="X183" s="103" t="str">
        <f t="shared" si="89"/>
        <v/>
      </c>
      <c r="Y183" s="53">
        <v>0</v>
      </c>
      <c r="Z183" s="56" t="str">
        <f t="shared" si="90"/>
        <v/>
      </c>
      <c r="AA183" s="56" t="str">
        <f t="shared" si="91"/>
        <v/>
      </c>
      <c r="AB183" s="56" t="str">
        <f t="shared" si="92"/>
        <v/>
      </c>
      <c r="AC183" s="56" t="str">
        <f t="shared" si="93"/>
        <v/>
      </c>
      <c r="AD183" s="56" t="str">
        <f t="shared" si="94"/>
        <v/>
      </c>
      <c r="AE183" s="40"/>
      <c r="AF183" s="40"/>
      <c r="AG183" s="40"/>
      <c r="AH183" s="56" t="str">
        <f t="shared" si="95"/>
        <v/>
      </c>
      <c r="AI183" s="54"/>
      <c r="AJ183" s="54"/>
      <c r="AK183" s="54"/>
      <c r="AL183" s="54"/>
      <c r="AM183" s="54"/>
    </row>
    <row r="184" spans="1:39">
      <c r="A184" s="45" t="str" cm="1">
        <f t="array" ref="A184">IF(H184="PROJECT", CHAR(10) &amp; "- " &amp; _xlfn.TEXTJOIN(CHAR(10) &amp; "- ", TRUE, _xlfn._xlws.FILTER($I$9:$I$1000, ($B$9:$B$1000=B184) * ($H$9:$H$1000="Topic"))), "")</f>
        <v/>
      </c>
      <c r="B184" s="45" t="str">
        <f t="shared" si="79"/>
        <v/>
      </c>
      <c r="C184" s="95"/>
      <c r="D184" s="57"/>
      <c r="E184" s="58"/>
      <c r="F184" s="54"/>
      <c r="G184" s="52"/>
      <c r="H184" s="52"/>
      <c r="I184" s="61"/>
      <c r="J184" s="62"/>
      <c r="K184" s="129" t="str">
        <f t="shared" si="80"/>
        <v/>
      </c>
      <c r="L184" s="103" t="str">
        <f t="shared" si="81"/>
        <v/>
      </c>
      <c r="M184" s="52">
        <v>0</v>
      </c>
      <c r="N184" s="102" t="str">
        <f t="shared" si="82"/>
        <v/>
      </c>
      <c r="O184" s="103" t="str">
        <f t="shared" si="83"/>
        <v/>
      </c>
      <c r="P184" s="52">
        <v>0</v>
      </c>
      <c r="Q184" s="102" t="str">
        <f t="shared" si="84"/>
        <v/>
      </c>
      <c r="R184" s="103" t="str">
        <f t="shared" si="85"/>
        <v/>
      </c>
      <c r="S184" s="52">
        <v>0</v>
      </c>
      <c r="T184" s="102" t="str">
        <f t="shared" si="86"/>
        <v/>
      </c>
      <c r="U184" s="103" t="str">
        <f t="shared" si="87"/>
        <v/>
      </c>
      <c r="V184" s="52">
        <v>0</v>
      </c>
      <c r="W184" s="87" t="str">
        <f t="shared" si="88"/>
        <v/>
      </c>
      <c r="X184" s="103" t="str">
        <f t="shared" si="89"/>
        <v/>
      </c>
      <c r="Y184" s="52">
        <v>0</v>
      </c>
      <c r="Z184" s="56" t="str">
        <f t="shared" si="90"/>
        <v/>
      </c>
      <c r="AA184" s="56" t="str">
        <f t="shared" si="91"/>
        <v/>
      </c>
      <c r="AB184" s="56" t="str">
        <f t="shared" si="92"/>
        <v/>
      </c>
      <c r="AC184" s="56" t="str">
        <f t="shared" si="93"/>
        <v/>
      </c>
      <c r="AD184" s="56" t="str">
        <f t="shared" si="94"/>
        <v/>
      </c>
      <c r="AE184" s="40"/>
      <c r="AF184" s="40"/>
      <c r="AG184" s="40"/>
      <c r="AH184" s="56" t="str">
        <f t="shared" si="95"/>
        <v/>
      </c>
      <c r="AI184" s="54"/>
      <c r="AJ184" s="54"/>
      <c r="AK184" s="54"/>
      <c r="AL184" s="54"/>
      <c r="AM184" s="54"/>
    </row>
    <row r="185" spans="1:39">
      <c r="A185" s="45" t="str" cm="1">
        <f t="array" ref="A185">IF(H185="PROJECT", CHAR(10) &amp; "- " &amp; _xlfn.TEXTJOIN(CHAR(10) &amp; "- ", TRUE, _xlfn._xlws.FILTER($I$9:$I$1000, ($B$9:$B$1000=B185) * ($H$9:$H$1000="Topic"))), "")</f>
        <v/>
      </c>
      <c r="B185" s="45" t="str">
        <f t="shared" si="79"/>
        <v/>
      </c>
      <c r="C185" s="95"/>
      <c r="D185" s="46"/>
      <c r="E185" s="58"/>
      <c r="F185" s="67"/>
      <c r="G185" s="53"/>
      <c r="H185" s="53"/>
      <c r="I185" s="50"/>
      <c r="J185" s="51"/>
      <c r="K185" s="129" t="str">
        <f t="shared" si="80"/>
        <v/>
      </c>
      <c r="L185" s="103" t="str">
        <f t="shared" si="81"/>
        <v/>
      </c>
      <c r="M185" s="53">
        <v>0</v>
      </c>
      <c r="N185" s="102" t="str">
        <f t="shared" si="82"/>
        <v/>
      </c>
      <c r="O185" s="103" t="str">
        <f t="shared" si="83"/>
        <v/>
      </c>
      <c r="P185" s="53">
        <v>0</v>
      </c>
      <c r="Q185" s="102" t="str">
        <f t="shared" si="84"/>
        <v/>
      </c>
      <c r="R185" s="103" t="str">
        <f t="shared" si="85"/>
        <v/>
      </c>
      <c r="S185" s="53">
        <v>0</v>
      </c>
      <c r="T185" s="102" t="str">
        <f t="shared" si="86"/>
        <v/>
      </c>
      <c r="U185" s="103" t="str">
        <f t="shared" si="87"/>
        <v/>
      </c>
      <c r="V185" s="53">
        <v>0</v>
      </c>
      <c r="W185" s="87" t="str">
        <f t="shared" si="88"/>
        <v/>
      </c>
      <c r="X185" s="103" t="str">
        <f t="shared" si="89"/>
        <v/>
      </c>
      <c r="Y185" s="53">
        <v>0</v>
      </c>
      <c r="Z185" s="56" t="str">
        <f t="shared" si="90"/>
        <v/>
      </c>
      <c r="AA185" s="56" t="str">
        <f t="shared" si="91"/>
        <v/>
      </c>
      <c r="AB185" s="56" t="str">
        <f t="shared" si="92"/>
        <v/>
      </c>
      <c r="AC185" s="56" t="str">
        <f t="shared" si="93"/>
        <v/>
      </c>
      <c r="AD185" s="56" t="str">
        <f t="shared" si="94"/>
        <v/>
      </c>
      <c r="AE185" s="40"/>
      <c r="AF185" s="40"/>
      <c r="AG185" s="40"/>
      <c r="AH185" s="56" t="str">
        <f t="shared" si="95"/>
        <v/>
      </c>
      <c r="AI185" s="54"/>
      <c r="AJ185" s="54"/>
      <c r="AK185" s="54"/>
      <c r="AL185" s="54"/>
      <c r="AM185" s="54"/>
    </row>
    <row r="186" spans="1:39">
      <c r="A186" s="45" t="str" cm="1">
        <f t="array" ref="A186">IF(H186="PROJECT", CHAR(10) &amp; "- " &amp; _xlfn.TEXTJOIN(CHAR(10) &amp; "- ", TRUE, _xlfn._xlws.FILTER($I$9:$I$1000, ($B$9:$B$1000=B186) * ($H$9:$H$1000="Topic"))), "")</f>
        <v/>
      </c>
      <c r="B186" s="45" t="str">
        <f t="shared" si="79"/>
        <v/>
      </c>
      <c r="C186" s="95"/>
      <c r="D186" s="57"/>
      <c r="E186" s="58"/>
      <c r="F186" s="54"/>
      <c r="G186" s="52"/>
      <c r="H186" s="52"/>
      <c r="I186" s="61"/>
      <c r="J186" s="62"/>
      <c r="K186" s="129" t="str">
        <f t="shared" si="80"/>
        <v/>
      </c>
      <c r="L186" s="103" t="str">
        <f t="shared" si="81"/>
        <v/>
      </c>
      <c r="M186" s="52">
        <v>0</v>
      </c>
      <c r="N186" s="102" t="str">
        <f t="shared" si="82"/>
        <v/>
      </c>
      <c r="O186" s="103" t="str">
        <f t="shared" si="83"/>
        <v/>
      </c>
      <c r="P186" s="52">
        <v>0</v>
      </c>
      <c r="Q186" s="102" t="str">
        <f t="shared" si="84"/>
        <v/>
      </c>
      <c r="R186" s="103" t="str">
        <f t="shared" si="85"/>
        <v/>
      </c>
      <c r="S186" s="52">
        <v>0</v>
      </c>
      <c r="T186" s="102" t="str">
        <f t="shared" si="86"/>
        <v/>
      </c>
      <c r="U186" s="103" t="str">
        <f t="shared" si="87"/>
        <v/>
      </c>
      <c r="V186" s="52">
        <v>0</v>
      </c>
      <c r="W186" s="87" t="str">
        <f t="shared" si="88"/>
        <v/>
      </c>
      <c r="X186" s="103" t="str">
        <f t="shared" si="89"/>
        <v/>
      </c>
      <c r="Y186" s="52">
        <v>0</v>
      </c>
      <c r="Z186" s="56" t="str">
        <f t="shared" si="90"/>
        <v/>
      </c>
      <c r="AA186" s="56" t="str">
        <f t="shared" si="91"/>
        <v/>
      </c>
      <c r="AB186" s="56" t="str">
        <f t="shared" si="92"/>
        <v/>
      </c>
      <c r="AC186" s="56" t="str">
        <f t="shared" si="93"/>
        <v/>
      </c>
      <c r="AD186" s="56" t="str">
        <f t="shared" si="94"/>
        <v/>
      </c>
      <c r="AE186" s="40"/>
      <c r="AF186" s="40"/>
      <c r="AG186" s="40"/>
      <c r="AH186" s="56" t="str">
        <f t="shared" si="95"/>
        <v/>
      </c>
      <c r="AI186" s="54"/>
      <c r="AJ186" s="54"/>
      <c r="AK186" s="54"/>
      <c r="AL186" s="54"/>
      <c r="AM186" s="54"/>
    </row>
    <row r="187" spans="1:39">
      <c r="A187" s="45" t="str" cm="1">
        <f t="array" ref="A187">IF(H187="PROJECT", CHAR(10) &amp; "- " &amp; _xlfn.TEXTJOIN(CHAR(10) &amp; "- ", TRUE, _xlfn._xlws.FILTER($I$9:$I$1000, ($B$9:$B$1000=B187) * ($H$9:$H$1000="Topic"))), "")</f>
        <v/>
      </c>
      <c r="B187" s="45" t="str">
        <f t="shared" si="79"/>
        <v/>
      </c>
      <c r="C187" s="95"/>
      <c r="D187" s="46"/>
      <c r="E187" s="58"/>
      <c r="F187" s="67"/>
      <c r="G187" s="53"/>
      <c r="H187" s="53"/>
      <c r="I187" s="50"/>
      <c r="J187" s="51"/>
      <c r="K187" s="129" t="str">
        <f t="shared" si="80"/>
        <v/>
      </c>
      <c r="L187" s="103" t="str">
        <f t="shared" si="81"/>
        <v/>
      </c>
      <c r="M187" s="53">
        <v>0</v>
      </c>
      <c r="N187" s="102" t="str">
        <f t="shared" si="82"/>
        <v/>
      </c>
      <c r="O187" s="103" t="str">
        <f t="shared" si="83"/>
        <v/>
      </c>
      <c r="P187" s="53">
        <v>0</v>
      </c>
      <c r="Q187" s="102" t="str">
        <f t="shared" si="84"/>
        <v/>
      </c>
      <c r="R187" s="103" t="str">
        <f t="shared" si="85"/>
        <v/>
      </c>
      <c r="S187" s="53">
        <v>0</v>
      </c>
      <c r="T187" s="102" t="str">
        <f t="shared" si="86"/>
        <v/>
      </c>
      <c r="U187" s="103" t="str">
        <f t="shared" si="87"/>
        <v/>
      </c>
      <c r="V187" s="53">
        <v>0</v>
      </c>
      <c r="W187" s="87" t="str">
        <f t="shared" si="88"/>
        <v/>
      </c>
      <c r="X187" s="103" t="str">
        <f t="shared" si="89"/>
        <v/>
      </c>
      <c r="Y187" s="53">
        <v>0</v>
      </c>
      <c r="Z187" s="56" t="str">
        <f t="shared" si="90"/>
        <v/>
      </c>
      <c r="AA187" s="56" t="str">
        <f t="shared" si="91"/>
        <v/>
      </c>
      <c r="AB187" s="56" t="str">
        <f t="shared" si="92"/>
        <v/>
      </c>
      <c r="AC187" s="56" t="str">
        <f t="shared" si="93"/>
        <v/>
      </c>
      <c r="AD187" s="56" t="str">
        <f t="shared" si="94"/>
        <v/>
      </c>
      <c r="AE187" s="40"/>
      <c r="AF187" s="40"/>
      <c r="AG187" s="40"/>
      <c r="AH187" s="56" t="str">
        <f t="shared" si="95"/>
        <v/>
      </c>
      <c r="AI187" s="54"/>
      <c r="AJ187" s="54"/>
      <c r="AK187" s="54"/>
      <c r="AL187" s="54"/>
      <c r="AM187" s="54"/>
    </row>
    <row r="188" spans="1:39">
      <c r="A188" s="45" t="str" cm="1">
        <f t="array" ref="A188">IF(H188="PROJECT", CHAR(10) &amp; "- " &amp; _xlfn.TEXTJOIN(CHAR(10) &amp; "- ", TRUE, _xlfn._xlws.FILTER($I$9:$I$1000, ($B$9:$B$1000=B188) * ($H$9:$H$1000="Topic"))), "")</f>
        <v/>
      </c>
      <c r="B188" s="45" t="str">
        <f t="shared" si="79"/>
        <v/>
      </c>
      <c r="C188" s="95"/>
      <c r="D188" s="57"/>
      <c r="E188" s="58"/>
      <c r="F188" s="54"/>
      <c r="G188" s="52"/>
      <c r="H188" s="52"/>
      <c r="I188" s="61"/>
      <c r="J188" s="62"/>
      <c r="K188" s="129" t="str">
        <f t="shared" si="80"/>
        <v/>
      </c>
      <c r="L188" s="103" t="str">
        <f t="shared" si="81"/>
        <v/>
      </c>
      <c r="M188" s="52">
        <v>0</v>
      </c>
      <c r="N188" s="102" t="str">
        <f t="shared" si="82"/>
        <v/>
      </c>
      <c r="O188" s="103" t="str">
        <f t="shared" si="83"/>
        <v/>
      </c>
      <c r="P188" s="52">
        <v>0</v>
      </c>
      <c r="Q188" s="102" t="str">
        <f t="shared" si="84"/>
        <v/>
      </c>
      <c r="R188" s="103" t="str">
        <f t="shared" si="85"/>
        <v/>
      </c>
      <c r="S188" s="52">
        <v>0</v>
      </c>
      <c r="T188" s="102" t="str">
        <f t="shared" si="86"/>
        <v/>
      </c>
      <c r="U188" s="103" t="str">
        <f t="shared" si="87"/>
        <v/>
      </c>
      <c r="V188" s="52">
        <v>0</v>
      </c>
      <c r="W188" s="87" t="str">
        <f t="shared" si="88"/>
        <v/>
      </c>
      <c r="X188" s="103" t="str">
        <f t="shared" si="89"/>
        <v/>
      </c>
      <c r="Y188" s="52">
        <v>0</v>
      </c>
      <c r="Z188" s="56" t="str">
        <f t="shared" si="90"/>
        <v/>
      </c>
      <c r="AA188" s="56" t="str">
        <f t="shared" si="91"/>
        <v/>
      </c>
      <c r="AB188" s="56" t="str">
        <f t="shared" si="92"/>
        <v/>
      </c>
      <c r="AC188" s="56" t="str">
        <f t="shared" si="93"/>
        <v/>
      </c>
      <c r="AD188" s="56" t="str">
        <f t="shared" si="94"/>
        <v/>
      </c>
      <c r="AE188" s="40"/>
      <c r="AF188" s="40"/>
      <c r="AG188" s="40"/>
      <c r="AH188" s="56" t="str">
        <f t="shared" si="95"/>
        <v/>
      </c>
      <c r="AI188" s="54"/>
      <c r="AJ188" s="54"/>
      <c r="AK188" s="54"/>
      <c r="AL188" s="54"/>
      <c r="AM188" s="54"/>
    </row>
    <row r="189" spans="1:39">
      <c r="A189" s="45" t="str" cm="1">
        <f t="array" ref="A189">IF(H189="PROJECT", CHAR(10) &amp; "- " &amp; _xlfn.TEXTJOIN(CHAR(10) &amp; "- ", TRUE, _xlfn._xlws.FILTER($I$9:$I$1000, ($B$9:$B$1000=B189) * ($H$9:$H$1000="Topic"))), "")</f>
        <v/>
      </c>
      <c r="B189" s="45" t="str">
        <f t="shared" si="79"/>
        <v/>
      </c>
      <c r="C189" s="95"/>
      <c r="D189" s="46"/>
      <c r="E189" s="58"/>
      <c r="F189" s="67"/>
      <c r="G189" s="53"/>
      <c r="H189" s="53"/>
      <c r="I189" s="50"/>
      <c r="J189" s="51"/>
      <c r="K189" s="129" t="str">
        <f t="shared" si="80"/>
        <v/>
      </c>
      <c r="L189" s="103" t="str">
        <f t="shared" si="81"/>
        <v/>
      </c>
      <c r="M189" s="53">
        <v>0</v>
      </c>
      <c r="N189" s="102" t="str">
        <f t="shared" si="82"/>
        <v/>
      </c>
      <c r="O189" s="103" t="str">
        <f t="shared" si="83"/>
        <v/>
      </c>
      <c r="P189" s="53">
        <v>0</v>
      </c>
      <c r="Q189" s="102" t="str">
        <f t="shared" si="84"/>
        <v/>
      </c>
      <c r="R189" s="103" t="str">
        <f t="shared" si="85"/>
        <v/>
      </c>
      <c r="S189" s="53">
        <v>0</v>
      </c>
      <c r="T189" s="102" t="str">
        <f t="shared" si="86"/>
        <v/>
      </c>
      <c r="U189" s="103" t="str">
        <f t="shared" si="87"/>
        <v/>
      </c>
      <c r="V189" s="53">
        <v>0</v>
      </c>
      <c r="W189" s="87" t="str">
        <f t="shared" si="88"/>
        <v/>
      </c>
      <c r="X189" s="103" t="str">
        <f t="shared" si="89"/>
        <v/>
      </c>
      <c r="Y189" s="53">
        <v>0</v>
      </c>
      <c r="Z189" s="56" t="str">
        <f t="shared" si="90"/>
        <v/>
      </c>
      <c r="AA189" s="56" t="str">
        <f t="shared" si="91"/>
        <v/>
      </c>
      <c r="AB189" s="56" t="str">
        <f t="shared" si="92"/>
        <v/>
      </c>
      <c r="AC189" s="56" t="str">
        <f t="shared" si="93"/>
        <v/>
      </c>
      <c r="AD189" s="56" t="str">
        <f t="shared" si="94"/>
        <v/>
      </c>
      <c r="AE189" s="40"/>
      <c r="AF189" s="40"/>
      <c r="AG189" s="40"/>
      <c r="AH189" s="56" t="str">
        <f t="shared" si="95"/>
        <v/>
      </c>
      <c r="AI189" s="54"/>
      <c r="AJ189" s="54"/>
      <c r="AK189" s="54"/>
      <c r="AL189" s="54"/>
      <c r="AM189" s="54"/>
    </row>
    <row r="190" spans="1:39">
      <c r="A190" s="45" t="str" cm="1">
        <f t="array" ref="A190">IF(H190="PROJECT", CHAR(10) &amp; "- " &amp; _xlfn.TEXTJOIN(CHAR(10) &amp; "- ", TRUE, _xlfn._xlws.FILTER($I$9:$I$1000, ($B$9:$B$1000=B190) * ($H$9:$H$1000="Topic"))), "")</f>
        <v/>
      </c>
      <c r="B190" s="45" t="str">
        <f t="shared" si="79"/>
        <v/>
      </c>
      <c r="C190" s="95"/>
      <c r="D190" s="57"/>
      <c r="E190" s="58"/>
      <c r="F190" s="54"/>
      <c r="G190" s="52"/>
      <c r="H190" s="52"/>
      <c r="I190" s="61"/>
      <c r="J190" s="62"/>
      <c r="K190" s="129" t="str">
        <f t="shared" si="80"/>
        <v/>
      </c>
      <c r="L190" s="103" t="str">
        <f t="shared" si="81"/>
        <v/>
      </c>
      <c r="M190" s="52">
        <v>0</v>
      </c>
      <c r="N190" s="102" t="str">
        <f t="shared" si="82"/>
        <v/>
      </c>
      <c r="O190" s="103" t="str">
        <f t="shared" si="83"/>
        <v/>
      </c>
      <c r="P190" s="52">
        <v>0</v>
      </c>
      <c r="Q190" s="102" t="str">
        <f t="shared" si="84"/>
        <v/>
      </c>
      <c r="R190" s="103" t="str">
        <f t="shared" si="85"/>
        <v/>
      </c>
      <c r="S190" s="52">
        <v>0</v>
      </c>
      <c r="T190" s="102" t="str">
        <f t="shared" si="86"/>
        <v/>
      </c>
      <c r="U190" s="103" t="str">
        <f t="shared" si="87"/>
        <v/>
      </c>
      <c r="V190" s="52">
        <v>0</v>
      </c>
      <c r="W190" s="87" t="str">
        <f t="shared" si="88"/>
        <v/>
      </c>
      <c r="X190" s="103" t="str">
        <f t="shared" si="89"/>
        <v/>
      </c>
      <c r="Y190" s="52">
        <v>0</v>
      </c>
      <c r="Z190" s="56" t="str">
        <f t="shared" si="90"/>
        <v/>
      </c>
      <c r="AA190" s="56" t="str">
        <f t="shared" si="91"/>
        <v/>
      </c>
      <c r="AB190" s="56" t="str">
        <f t="shared" si="92"/>
        <v/>
      </c>
      <c r="AC190" s="56" t="str">
        <f t="shared" si="93"/>
        <v/>
      </c>
      <c r="AD190" s="56" t="str">
        <f t="shared" si="94"/>
        <v/>
      </c>
      <c r="AE190" s="40"/>
      <c r="AF190" s="40"/>
      <c r="AG190" s="40"/>
      <c r="AH190" s="56" t="str">
        <f t="shared" si="95"/>
        <v/>
      </c>
      <c r="AI190" s="54"/>
      <c r="AJ190" s="54"/>
      <c r="AK190" s="54"/>
      <c r="AL190" s="54"/>
      <c r="AM190" s="54"/>
    </row>
    <row r="191" spans="1:39">
      <c r="A191" s="45" t="str" cm="1">
        <f t="array" ref="A191">IF(H191="PROJECT", CHAR(10) &amp; "- " &amp; _xlfn.TEXTJOIN(CHAR(10) &amp; "- ", TRUE, _xlfn._xlws.FILTER($I$9:$I$1000, ($B$9:$B$1000=B191) * ($H$9:$H$1000="Topic"))), "")</f>
        <v/>
      </c>
      <c r="B191" s="45" t="str">
        <f t="shared" si="79"/>
        <v/>
      </c>
      <c r="C191" s="95"/>
      <c r="D191" s="46"/>
      <c r="E191" s="58"/>
      <c r="F191" s="67"/>
      <c r="G191" s="53"/>
      <c r="H191" s="53"/>
      <c r="I191" s="50"/>
      <c r="J191" s="51"/>
      <c r="K191" s="129" t="str">
        <f t="shared" si="80"/>
        <v/>
      </c>
      <c r="L191" s="103" t="str">
        <f t="shared" si="81"/>
        <v/>
      </c>
      <c r="M191" s="53">
        <v>0</v>
      </c>
      <c r="N191" s="102" t="str">
        <f t="shared" si="82"/>
        <v/>
      </c>
      <c r="O191" s="103" t="str">
        <f t="shared" si="83"/>
        <v/>
      </c>
      <c r="P191" s="53">
        <v>0</v>
      </c>
      <c r="Q191" s="102" t="str">
        <f t="shared" si="84"/>
        <v/>
      </c>
      <c r="R191" s="103" t="str">
        <f t="shared" si="85"/>
        <v/>
      </c>
      <c r="S191" s="53">
        <v>0</v>
      </c>
      <c r="T191" s="102" t="str">
        <f t="shared" si="86"/>
        <v/>
      </c>
      <c r="U191" s="103" t="str">
        <f t="shared" si="87"/>
        <v/>
      </c>
      <c r="V191" s="53">
        <v>0</v>
      </c>
      <c r="W191" s="87" t="str">
        <f t="shared" si="88"/>
        <v/>
      </c>
      <c r="X191" s="103" t="str">
        <f t="shared" si="89"/>
        <v/>
      </c>
      <c r="Y191" s="53">
        <v>0</v>
      </c>
      <c r="Z191" s="56" t="str">
        <f t="shared" si="90"/>
        <v/>
      </c>
      <c r="AA191" s="56" t="str">
        <f t="shared" si="91"/>
        <v/>
      </c>
      <c r="AB191" s="56" t="str">
        <f t="shared" si="92"/>
        <v/>
      </c>
      <c r="AC191" s="56" t="str">
        <f t="shared" si="93"/>
        <v/>
      </c>
      <c r="AD191" s="56" t="str">
        <f t="shared" si="94"/>
        <v/>
      </c>
      <c r="AE191" s="40"/>
      <c r="AF191" s="40"/>
      <c r="AG191" s="40"/>
      <c r="AH191" s="56" t="str">
        <f t="shared" si="95"/>
        <v/>
      </c>
      <c r="AI191" s="54"/>
      <c r="AJ191" s="54"/>
      <c r="AK191" s="54"/>
      <c r="AL191" s="54"/>
      <c r="AM191" s="54"/>
    </row>
    <row r="192" spans="1:39">
      <c r="A192" s="45" t="str" cm="1">
        <f t="array" ref="A192">IF(H192="PROJECT", CHAR(10) &amp; "- " &amp; _xlfn.TEXTJOIN(CHAR(10) &amp; "- ", TRUE, _xlfn._xlws.FILTER($I$9:$I$1000, ($B$9:$B$1000=B192) * ($H$9:$H$1000="Topic"))), "")</f>
        <v/>
      </c>
      <c r="B192" s="45" t="str">
        <f t="shared" si="79"/>
        <v/>
      </c>
      <c r="C192" s="95"/>
      <c r="D192" s="57"/>
      <c r="E192" s="58"/>
      <c r="F192" s="54"/>
      <c r="G192" s="52"/>
      <c r="H192" s="52"/>
      <c r="I192" s="61"/>
      <c r="J192" s="62"/>
      <c r="K192" s="129" t="str">
        <f t="shared" si="80"/>
        <v/>
      </c>
      <c r="L192" s="103" t="str">
        <f t="shared" si="81"/>
        <v/>
      </c>
      <c r="M192" s="52">
        <v>0</v>
      </c>
      <c r="N192" s="102" t="str">
        <f t="shared" si="82"/>
        <v/>
      </c>
      <c r="O192" s="103" t="str">
        <f t="shared" si="83"/>
        <v/>
      </c>
      <c r="P192" s="52">
        <v>0</v>
      </c>
      <c r="Q192" s="102" t="str">
        <f t="shared" si="84"/>
        <v/>
      </c>
      <c r="R192" s="103" t="str">
        <f t="shared" si="85"/>
        <v/>
      </c>
      <c r="S192" s="52">
        <v>0</v>
      </c>
      <c r="T192" s="102" t="str">
        <f t="shared" si="86"/>
        <v/>
      </c>
      <c r="U192" s="103" t="str">
        <f t="shared" si="87"/>
        <v/>
      </c>
      <c r="V192" s="52">
        <v>0</v>
      </c>
      <c r="W192" s="87" t="str">
        <f t="shared" si="88"/>
        <v/>
      </c>
      <c r="X192" s="103" t="str">
        <f t="shared" si="89"/>
        <v/>
      </c>
      <c r="Y192" s="52">
        <v>0</v>
      </c>
      <c r="Z192" s="56" t="str">
        <f t="shared" si="90"/>
        <v/>
      </c>
      <c r="AA192" s="56" t="str">
        <f t="shared" si="91"/>
        <v/>
      </c>
      <c r="AB192" s="56" t="str">
        <f t="shared" si="92"/>
        <v/>
      </c>
      <c r="AC192" s="56" t="str">
        <f t="shared" si="93"/>
        <v/>
      </c>
      <c r="AD192" s="56" t="str">
        <f t="shared" si="94"/>
        <v/>
      </c>
      <c r="AE192" s="40"/>
      <c r="AF192" s="40"/>
      <c r="AG192" s="40"/>
      <c r="AH192" s="56" t="str">
        <f t="shared" si="95"/>
        <v/>
      </c>
      <c r="AI192" s="54"/>
      <c r="AJ192" s="54"/>
      <c r="AK192" s="54"/>
      <c r="AL192" s="54"/>
      <c r="AM192" s="54"/>
    </row>
    <row r="193" spans="1:39">
      <c r="A193" s="45" t="str" cm="1">
        <f t="array" ref="A193">IF(H193="PROJECT", CHAR(10) &amp; "- " &amp; _xlfn.TEXTJOIN(CHAR(10) &amp; "- ", TRUE, _xlfn._xlws.FILTER($I$9:$I$1000, ($B$9:$B$1000=B193) * ($H$9:$H$1000="Topic"))), "")</f>
        <v/>
      </c>
      <c r="B193" s="45" t="str">
        <f t="shared" si="79"/>
        <v/>
      </c>
      <c r="C193" s="95"/>
      <c r="D193" s="46"/>
      <c r="E193" s="58"/>
      <c r="F193" s="67"/>
      <c r="G193" s="53"/>
      <c r="H193" s="53"/>
      <c r="I193" s="50"/>
      <c r="J193" s="51"/>
      <c r="K193" s="129" t="str">
        <f t="shared" si="80"/>
        <v/>
      </c>
      <c r="L193" s="103" t="str">
        <f t="shared" si="81"/>
        <v/>
      </c>
      <c r="M193" s="53">
        <v>0</v>
      </c>
      <c r="N193" s="102" t="str">
        <f t="shared" si="82"/>
        <v/>
      </c>
      <c r="O193" s="103" t="str">
        <f t="shared" si="83"/>
        <v/>
      </c>
      <c r="P193" s="53">
        <v>0</v>
      </c>
      <c r="Q193" s="102" t="str">
        <f t="shared" si="84"/>
        <v/>
      </c>
      <c r="R193" s="103" t="str">
        <f t="shared" si="85"/>
        <v/>
      </c>
      <c r="S193" s="53">
        <v>0</v>
      </c>
      <c r="T193" s="102" t="str">
        <f t="shared" si="86"/>
        <v/>
      </c>
      <c r="U193" s="103" t="str">
        <f t="shared" si="87"/>
        <v/>
      </c>
      <c r="V193" s="53">
        <v>0</v>
      </c>
      <c r="W193" s="87" t="str">
        <f t="shared" si="88"/>
        <v/>
      </c>
      <c r="X193" s="103" t="str">
        <f t="shared" si="89"/>
        <v/>
      </c>
      <c r="Y193" s="53">
        <v>0</v>
      </c>
      <c r="Z193" s="56" t="str">
        <f t="shared" si="90"/>
        <v/>
      </c>
      <c r="AA193" s="56" t="str">
        <f t="shared" si="91"/>
        <v/>
      </c>
      <c r="AB193" s="56" t="str">
        <f t="shared" si="92"/>
        <v/>
      </c>
      <c r="AC193" s="56" t="str">
        <f t="shared" si="93"/>
        <v/>
      </c>
      <c r="AD193" s="56" t="str">
        <f t="shared" si="94"/>
        <v/>
      </c>
      <c r="AE193" s="40"/>
      <c r="AF193" s="40"/>
      <c r="AG193" s="40"/>
      <c r="AH193" s="56" t="str">
        <f t="shared" si="95"/>
        <v/>
      </c>
      <c r="AI193" s="54"/>
      <c r="AJ193" s="54"/>
      <c r="AK193" s="54"/>
      <c r="AL193" s="54"/>
      <c r="AM193" s="54"/>
    </row>
    <row r="194" spans="1:39">
      <c r="A194" s="45" t="str" cm="1">
        <f t="array" ref="A194">IF(H194="PROJECT", CHAR(10) &amp; "- " &amp; _xlfn.TEXTJOIN(CHAR(10) &amp; "- ", TRUE, _xlfn._xlws.FILTER($I$9:$I$1000, ($B$9:$B$1000=B194) * ($H$9:$H$1000="Topic"))), "")</f>
        <v/>
      </c>
      <c r="B194" s="45" t="str">
        <f t="shared" si="79"/>
        <v/>
      </c>
      <c r="C194" s="95"/>
      <c r="D194" s="57"/>
      <c r="E194" s="58"/>
      <c r="F194" s="54"/>
      <c r="G194" s="52"/>
      <c r="H194" s="52"/>
      <c r="I194" s="61"/>
      <c r="J194" s="62"/>
      <c r="K194" s="129" t="str">
        <f t="shared" si="80"/>
        <v/>
      </c>
      <c r="L194" s="103" t="str">
        <f t="shared" si="81"/>
        <v/>
      </c>
      <c r="M194" s="52">
        <v>0</v>
      </c>
      <c r="N194" s="102" t="str">
        <f t="shared" si="82"/>
        <v/>
      </c>
      <c r="O194" s="103" t="str">
        <f t="shared" si="83"/>
        <v/>
      </c>
      <c r="P194" s="52">
        <v>0</v>
      </c>
      <c r="Q194" s="102" t="str">
        <f t="shared" si="84"/>
        <v/>
      </c>
      <c r="R194" s="103" t="str">
        <f t="shared" si="85"/>
        <v/>
      </c>
      <c r="S194" s="52">
        <v>0</v>
      </c>
      <c r="T194" s="102" t="str">
        <f t="shared" si="86"/>
        <v/>
      </c>
      <c r="U194" s="103" t="str">
        <f t="shared" si="87"/>
        <v/>
      </c>
      <c r="V194" s="52">
        <v>0</v>
      </c>
      <c r="W194" s="87" t="str">
        <f t="shared" si="88"/>
        <v/>
      </c>
      <c r="X194" s="103" t="str">
        <f t="shared" si="89"/>
        <v/>
      </c>
      <c r="Y194" s="52">
        <v>0</v>
      </c>
      <c r="Z194" s="56" t="str">
        <f t="shared" si="90"/>
        <v/>
      </c>
      <c r="AA194" s="56" t="str">
        <f t="shared" si="91"/>
        <v/>
      </c>
      <c r="AB194" s="56" t="str">
        <f t="shared" si="92"/>
        <v/>
      </c>
      <c r="AC194" s="56" t="str">
        <f t="shared" si="93"/>
        <v/>
      </c>
      <c r="AD194" s="56" t="str">
        <f t="shared" si="94"/>
        <v/>
      </c>
      <c r="AE194" s="40"/>
      <c r="AF194" s="40"/>
      <c r="AG194" s="40"/>
      <c r="AH194" s="56" t="str">
        <f t="shared" si="95"/>
        <v/>
      </c>
      <c r="AI194" s="54"/>
      <c r="AJ194" s="54"/>
      <c r="AK194" s="54"/>
      <c r="AL194" s="54"/>
      <c r="AM194" s="54"/>
    </row>
    <row r="195" spans="1:39">
      <c r="A195" s="45" t="str" cm="1">
        <f t="array" ref="A195">IF(H195="PROJECT", CHAR(10) &amp; "- " &amp; _xlfn.TEXTJOIN(CHAR(10) &amp; "- ", TRUE, _xlfn._xlws.FILTER($I$9:$I$1000, ($B$9:$B$1000=B195) * ($H$9:$H$1000="Topic"))), "")</f>
        <v/>
      </c>
      <c r="B195" s="45" t="str">
        <f t="shared" si="79"/>
        <v/>
      </c>
      <c r="C195" s="95"/>
      <c r="D195" s="46"/>
      <c r="E195" s="58"/>
      <c r="F195" s="67"/>
      <c r="G195" s="53"/>
      <c r="H195" s="53"/>
      <c r="I195" s="50"/>
      <c r="J195" s="51"/>
      <c r="K195" s="129" t="str">
        <f t="shared" si="80"/>
        <v/>
      </c>
      <c r="L195" s="103" t="str">
        <f t="shared" si="81"/>
        <v/>
      </c>
      <c r="M195" s="53">
        <v>0</v>
      </c>
      <c r="N195" s="102" t="str">
        <f t="shared" si="82"/>
        <v/>
      </c>
      <c r="O195" s="103" t="str">
        <f t="shared" si="83"/>
        <v/>
      </c>
      <c r="P195" s="53">
        <v>0</v>
      </c>
      <c r="Q195" s="102" t="str">
        <f t="shared" si="84"/>
        <v/>
      </c>
      <c r="R195" s="103" t="str">
        <f t="shared" si="85"/>
        <v/>
      </c>
      <c r="S195" s="53">
        <v>0</v>
      </c>
      <c r="T195" s="102" t="str">
        <f t="shared" si="86"/>
        <v/>
      </c>
      <c r="U195" s="103" t="str">
        <f t="shared" si="87"/>
        <v/>
      </c>
      <c r="V195" s="53">
        <v>0</v>
      </c>
      <c r="W195" s="87" t="str">
        <f t="shared" si="88"/>
        <v/>
      </c>
      <c r="X195" s="103" t="str">
        <f t="shared" si="89"/>
        <v/>
      </c>
      <c r="Y195" s="53">
        <v>0</v>
      </c>
      <c r="Z195" s="56" t="str">
        <f t="shared" si="90"/>
        <v/>
      </c>
      <c r="AA195" s="56" t="str">
        <f t="shared" si="91"/>
        <v/>
      </c>
      <c r="AB195" s="56" t="str">
        <f t="shared" si="92"/>
        <v/>
      </c>
      <c r="AC195" s="56" t="str">
        <f t="shared" si="93"/>
        <v/>
      </c>
      <c r="AD195" s="56" t="str">
        <f t="shared" si="94"/>
        <v/>
      </c>
      <c r="AE195" s="40"/>
      <c r="AF195" s="40"/>
      <c r="AG195" s="40"/>
      <c r="AH195" s="56" t="str">
        <f t="shared" si="95"/>
        <v/>
      </c>
      <c r="AI195" s="54"/>
      <c r="AJ195" s="54"/>
      <c r="AK195" s="54"/>
      <c r="AL195" s="54"/>
      <c r="AM195" s="54"/>
    </row>
    <row r="196" spans="1:39">
      <c r="A196" s="45" t="str" cm="1">
        <f t="array" ref="A196">IF(H196="PROJECT", CHAR(10) &amp; "- " &amp; _xlfn.TEXTJOIN(CHAR(10) &amp; "- ", TRUE, _xlfn._xlws.FILTER($I$9:$I$1000, ($B$9:$B$1000=B196) * ($H$9:$H$1000="Topic"))), "")</f>
        <v/>
      </c>
      <c r="B196" s="45" t="str">
        <f t="shared" si="79"/>
        <v/>
      </c>
      <c r="C196" s="95"/>
      <c r="D196" s="57"/>
      <c r="E196" s="58"/>
      <c r="F196" s="54"/>
      <c r="G196" s="52"/>
      <c r="H196" s="52"/>
      <c r="I196" s="61"/>
      <c r="J196" s="62"/>
      <c r="K196" s="129" t="str">
        <f t="shared" si="80"/>
        <v/>
      </c>
      <c r="L196" s="103" t="str">
        <f t="shared" si="81"/>
        <v/>
      </c>
      <c r="M196" s="52">
        <v>0</v>
      </c>
      <c r="N196" s="102" t="str">
        <f t="shared" si="82"/>
        <v/>
      </c>
      <c r="O196" s="103" t="str">
        <f t="shared" si="83"/>
        <v/>
      </c>
      <c r="P196" s="52">
        <v>0</v>
      </c>
      <c r="Q196" s="102" t="str">
        <f t="shared" si="84"/>
        <v/>
      </c>
      <c r="R196" s="103" t="str">
        <f t="shared" si="85"/>
        <v/>
      </c>
      <c r="S196" s="52">
        <v>0</v>
      </c>
      <c r="T196" s="102" t="str">
        <f t="shared" si="86"/>
        <v/>
      </c>
      <c r="U196" s="103" t="str">
        <f t="shared" si="87"/>
        <v/>
      </c>
      <c r="V196" s="52">
        <v>0</v>
      </c>
      <c r="W196" s="87" t="str">
        <f t="shared" si="88"/>
        <v/>
      </c>
      <c r="X196" s="103" t="str">
        <f t="shared" si="89"/>
        <v/>
      </c>
      <c r="Y196" s="52">
        <v>0</v>
      </c>
      <c r="Z196" s="56" t="str">
        <f t="shared" si="90"/>
        <v/>
      </c>
      <c r="AA196" s="56" t="str">
        <f t="shared" si="91"/>
        <v/>
      </c>
      <c r="AB196" s="56" t="str">
        <f t="shared" si="92"/>
        <v/>
      </c>
      <c r="AC196" s="56" t="str">
        <f t="shared" si="93"/>
        <v/>
      </c>
      <c r="AD196" s="56" t="str">
        <f t="shared" si="94"/>
        <v/>
      </c>
      <c r="AE196" s="40"/>
      <c r="AF196" s="40"/>
      <c r="AG196" s="40"/>
      <c r="AH196" s="56" t="str">
        <f t="shared" si="95"/>
        <v/>
      </c>
      <c r="AI196" s="54"/>
      <c r="AJ196" s="54"/>
      <c r="AK196" s="54"/>
      <c r="AL196" s="54"/>
      <c r="AM196" s="54"/>
    </row>
    <row r="197" spans="1:39">
      <c r="A197" s="45" t="str" cm="1">
        <f t="array" ref="A197">IF(H197="PROJECT", CHAR(10) &amp; "- " &amp; _xlfn.TEXTJOIN(CHAR(10) &amp; "- ", TRUE, _xlfn._xlws.FILTER($I$9:$I$1000, ($B$9:$B$1000=B197) * ($H$9:$H$1000="Topic"))), "")</f>
        <v/>
      </c>
      <c r="B197" s="45" t="str">
        <f t="shared" si="79"/>
        <v/>
      </c>
      <c r="C197" s="95"/>
      <c r="D197" s="46"/>
      <c r="E197" s="58"/>
      <c r="F197" s="67"/>
      <c r="G197" s="53"/>
      <c r="H197" s="53"/>
      <c r="I197" s="50"/>
      <c r="J197" s="51"/>
      <c r="K197" s="129" t="str">
        <f t="shared" si="80"/>
        <v/>
      </c>
      <c r="L197" s="103" t="str">
        <f t="shared" si="81"/>
        <v/>
      </c>
      <c r="M197" s="53">
        <v>0</v>
      </c>
      <c r="N197" s="102" t="str">
        <f t="shared" si="82"/>
        <v/>
      </c>
      <c r="O197" s="103" t="str">
        <f t="shared" si="83"/>
        <v/>
      </c>
      <c r="P197" s="53">
        <v>0</v>
      </c>
      <c r="Q197" s="102" t="str">
        <f t="shared" si="84"/>
        <v/>
      </c>
      <c r="R197" s="103" t="str">
        <f t="shared" si="85"/>
        <v/>
      </c>
      <c r="S197" s="53">
        <v>0</v>
      </c>
      <c r="T197" s="102" t="str">
        <f t="shared" si="86"/>
        <v/>
      </c>
      <c r="U197" s="103" t="str">
        <f t="shared" si="87"/>
        <v/>
      </c>
      <c r="V197" s="53">
        <v>0</v>
      </c>
      <c r="W197" s="87" t="str">
        <f t="shared" si="88"/>
        <v/>
      </c>
      <c r="X197" s="103" t="str">
        <f t="shared" si="89"/>
        <v/>
      </c>
      <c r="Y197" s="53">
        <v>0</v>
      </c>
      <c r="Z197" s="56" t="str">
        <f t="shared" si="90"/>
        <v/>
      </c>
      <c r="AA197" s="56" t="str">
        <f t="shared" si="91"/>
        <v/>
      </c>
      <c r="AB197" s="56" t="str">
        <f t="shared" si="92"/>
        <v/>
      </c>
      <c r="AC197" s="56" t="str">
        <f t="shared" si="93"/>
        <v/>
      </c>
      <c r="AD197" s="56" t="str">
        <f t="shared" si="94"/>
        <v/>
      </c>
      <c r="AE197" s="40"/>
      <c r="AF197" s="40"/>
      <c r="AG197" s="40"/>
      <c r="AH197" s="56" t="str">
        <f t="shared" si="95"/>
        <v/>
      </c>
      <c r="AI197" s="54"/>
      <c r="AJ197" s="54"/>
      <c r="AK197" s="54"/>
      <c r="AL197" s="54"/>
      <c r="AM197" s="54"/>
    </row>
    <row r="198" spans="1:39">
      <c r="A198" s="45" t="str" cm="1">
        <f t="array" ref="A198">IF(H198="PROJECT", CHAR(10) &amp; "- " &amp; _xlfn.TEXTJOIN(CHAR(10) &amp; "- ", TRUE, _xlfn._xlws.FILTER($I$9:$I$1000, ($B$9:$B$1000=B198) * ($H$9:$H$1000="Topic"))), "")</f>
        <v/>
      </c>
      <c r="B198" s="45" t="str">
        <f t="shared" si="79"/>
        <v/>
      </c>
      <c r="C198" s="95"/>
      <c r="D198" s="57"/>
      <c r="E198" s="58"/>
      <c r="F198" s="54"/>
      <c r="G198" s="52"/>
      <c r="H198" s="52"/>
      <c r="I198" s="61"/>
      <c r="J198" s="62"/>
      <c r="K198" s="129" t="str">
        <f t="shared" si="80"/>
        <v/>
      </c>
      <c r="L198" s="103" t="str">
        <f t="shared" si="81"/>
        <v/>
      </c>
      <c r="M198" s="52">
        <v>0</v>
      </c>
      <c r="N198" s="102" t="str">
        <f t="shared" si="82"/>
        <v/>
      </c>
      <c r="O198" s="103" t="str">
        <f t="shared" si="83"/>
        <v/>
      </c>
      <c r="P198" s="52">
        <v>0</v>
      </c>
      <c r="Q198" s="102" t="str">
        <f t="shared" si="84"/>
        <v/>
      </c>
      <c r="R198" s="103" t="str">
        <f t="shared" si="85"/>
        <v/>
      </c>
      <c r="S198" s="52">
        <v>0</v>
      </c>
      <c r="T198" s="102" t="str">
        <f t="shared" si="86"/>
        <v/>
      </c>
      <c r="U198" s="103" t="str">
        <f t="shared" si="87"/>
        <v/>
      </c>
      <c r="V198" s="52">
        <v>0</v>
      </c>
      <c r="W198" s="87" t="str">
        <f t="shared" si="88"/>
        <v/>
      </c>
      <c r="X198" s="103" t="str">
        <f t="shared" si="89"/>
        <v/>
      </c>
      <c r="Y198" s="52">
        <v>0</v>
      </c>
      <c r="Z198" s="56" t="str">
        <f t="shared" si="90"/>
        <v/>
      </c>
      <c r="AA198" s="56" t="str">
        <f t="shared" si="91"/>
        <v/>
      </c>
      <c r="AB198" s="56" t="str">
        <f t="shared" si="92"/>
        <v/>
      </c>
      <c r="AC198" s="56" t="str">
        <f t="shared" si="93"/>
        <v/>
      </c>
      <c r="AD198" s="56" t="str">
        <f t="shared" si="94"/>
        <v/>
      </c>
      <c r="AE198" s="40"/>
      <c r="AF198" s="40"/>
      <c r="AG198" s="40"/>
      <c r="AH198" s="56" t="str">
        <f t="shared" si="95"/>
        <v/>
      </c>
      <c r="AI198" s="54"/>
      <c r="AJ198" s="54"/>
      <c r="AK198" s="54"/>
      <c r="AL198" s="54"/>
      <c r="AM198" s="54"/>
    </row>
    <row r="199" spans="1:39">
      <c r="A199" s="45" t="str" cm="1">
        <f t="array" ref="A199">IF(H199="PROJECT", CHAR(10) &amp; "- " &amp; _xlfn.TEXTJOIN(CHAR(10) &amp; "- ", TRUE, _xlfn._xlws.FILTER($I$9:$I$1000, ($B$9:$B$1000=B199) * ($H$9:$H$1000="Topic"))), "")</f>
        <v/>
      </c>
      <c r="B199" s="45" t="str">
        <f t="shared" si="79"/>
        <v/>
      </c>
      <c r="C199" s="95"/>
      <c r="D199" s="46"/>
      <c r="E199" s="58"/>
      <c r="F199" s="67"/>
      <c r="G199" s="53"/>
      <c r="H199" s="53"/>
      <c r="I199" s="50"/>
      <c r="J199" s="51"/>
      <c r="K199" s="129" t="str">
        <f t="shared" si="80"/>
        <v/>
      </c>
      <c r="L199" s="103" t="str">
        <f t="shared" si="81"/>
        <v/>
      </c>
      <c r="M199" s="53">
        <v>0</v>
      </c>
      <c r="N199" s="102" t="str">
        <f t="shared" si="82"/>
        <v/>
      </c>
      <c r="O199" s="103" t="str">
        <f t="shared" si="83"/>
        <v/>
      </c>
      <c r="P199" s="53">
        <v>0</v>
      </c>
      <c r="Q199" s="102" t="str">
        <f t="shared" si="84"/>
        <v/>
      </c>
      <c r="R199" s="103" t="str">
        <f t="shared" si="85"/>
        <v/>
      </c>
      <c r="S199" s="53">
        <v>0</v>
      </c>
      <c r="T199" s="102" t="str">
        <f t="shared" si="86"/>
        <v/>
      </c>
      <c r="U199" s="103" t="str">
        <f t="shared" si="87"/>
        <v/>
      </c>
      <c r="V199" s="53">
        <v>0</v>
      </c>
      <c r="W199" s="87" t="str">
        <f t="shared" si="88"/>
        <v/>
      </c>
      <c r="X199" s="103" t="str">
        <f t="shared" si="89"/>
        <v/>
      </c>
      <c r="Y199" s="53">
        <v>0</v>
      </c>
      <c r="Z199" s="56" t="str">
        <f t="shared" si="90"/>
        <v/>
      </c>
      <c r="AA199" s="56" t="str">
        <f t="shared" si="91"/>
        <v/>
      </c>
      <c r="AB199" s="56" t="str">
        <f t="shared" si="92"/>
        <v/>
      </c>
      <c r="AC199" s="56" t="str">
        <f t="shared" si="93"/>
        <v/>
      </c>
      <c r="AD199" s="56" t="str">
        <f t="shared" si="94"/>
        <v/>
      </c>
      <c r="AE199" s="40"/>
      <c r="AF199" s="40"/>
      <c r="AG199" s="40"/>
      <c r="AH199" s="56" t="str">
        <f t="shared" si="95"/>
        <v/>
      </c>
      <c r="AI199" s="54"/>
      <c r="AJ199" s="54"/>
      <c r="AK199" s="54"/>
      <c r="AL199" s="54"/>
      <c r="AM199" s="54"/>
    </row>
    <row r="200" spans="1:39">
      <c r="A200" s="45" t="str" cm="1">
        <f t="array" ref="A200">IF(H200="PROJECT", CHAR(10) &amp; "- " &amp; _xlfn.TEXTJOIN(CHAR(10) &amp; "- ", TRUE, _xlfn._xlws.FILTER($I$9:$I$1000, ($B$9:$B$1000=B200) * ($H$9:$H$1000="Topic"))), "")</f>
        <v/>
      </c>
      <c r="B200" s="45" t="str">
        <f t="shared" si="79"/>
        <v/>
      </c>
      <c r="C200" s="95"/>
      <c r="D200" s="68"/>
      <c r="E200" s="58"/>
      <c r="F200" s="54"/>
      <c r="G200" s="69"/>
      <c r="H200" s="69"/>
      <c r="I200" s="70"/>
      <c r="J200" s="71"/>
      <c r="K200" s="129" t="str">
        <f t="shared" si="80"/>
        <v/>
      </c>
      <c r="L200" s="103" t="str">
        <f t="shared" si="81"/>
        <v/>
      </c>
      <c r="M200" s="69">
        <v>0</v>
      </c>
      <c r="N200" s="102" t="str">
        <f t="shared" si="82"/>
        <v/>
      </c>
      <c r="O200" s="103" t="str">
        <f t="shared" si="83"/>
        <v/>
      </c>
      <c r="P200" s="69">
        <v>0</v>
      </c>
      <c r="Q200" s="102" t="str">
        <f t="shared" si="84"/>
        <v/>
      </c>
      <c r="R200" s="103" t="str">
        <f t="shared" si="85"/>
        <v/>
      </c>
      <c r="S200" s="69">
        <v>0</v>
      </c>
      <c r="T200" s="102" t="str">
        <f t="shared" si="86"/>
        <v/>
      </c>
      <c r="U200" s="103" t="str">
        <f t="shared" si="87"/>
        <v/>
      </c>
      <c r="V200" s="69">
        <v>0</v>
      </c>
      <c r="W200" s="87" t="str">
        <f t="shared" si="88"/>
        <v/>
      </c>
      <c r="X200" s="103" t="str">
        <f t="shared" si="89"/>
        <v/>
      </c>
      <c r="Y200" s="69">
        <v>0</v>
      </c>
      <c r="Z200" s="56" t="str">
        <f t="shared" si="90"/>
        <v/>
      </c>
      <c r="AA200" s="56" t="str">
        <f t="shared" si="91"/>
        <v/>
      </c>
      <c r="AB200" s="56" t="str">
        <f t="shared" si="92"/>
        <v/>
      </c>
      <c r="AC200" s="56" t="str">
        <f t="shared" si="93"/>
        <v/>
      </c>
      <c r="AD200" s="56" t="str">
        <f t="shared" si="94"/>
        <v/>
      </c>
      <c r="AE200" s="40"/>
      <c r="AF200" s="40"/>
      <c r="AG200" s="40"/>
      <c r="AH200" s="56" t="str">
        <f t="shared" si="95"/>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673</v>
      </c>
    </row>
    <row r="3" spans="1:1">
      <c r="A3" t="s">
        <v>674</v>
      </c>
    </row>
    <row r="5" spans="1:1" ht="18">
      <c r="A5" s="115" t="s">
        <v>675</v>
      </c>
    </row>
    <row r="7" spans="1:1" ht="21">
      <c r="A7" s="132" t="s">
        <v>676</v>
      </c>
    </row>
    <row r="8" spans="1:1">
      <c r="A8" s="116"/>
    </row>
    <row r="9" spans="1:1">
      <c r="A9" s="116" t="s">
        <v>677</v>
      </c>
    </row>
    <row r="10" spans="1:1">
      <c r="A10" s="116" t="s">
        <v>678</v>
      </c>
    </row>
    <row r="11" spans="1:1">
      <c r="A11" s="116" t="s">
        <v>679</v>
      </c>
    </row>
    <row r="12" spans="1:1">
      <c r="A12" s="116" t="s">
        <v>680</v>
      </c>
    </row>
    <row r="13" spans="1:1">
      <c r="A13" s="116" t="s">
        <v>681</v>
      </c>
    </row>
    <row r="15" spans="1:1" ht="21">
      <c r="A15" s="132" t="s">
        <v>682</v>
      </c>
    </row>
    <row r="17" spans="1:1">
      <c r="A17" t="s">
        <v>683</v>
      </c>
    </row>
    <row r="18" spans="1:1">
      <c r="A18" s="116"/>
    </row>
    <row r="19" spans="1:1">
      <c r="A19" s="117" t="s">
        <v>684</v>
      </c>
    </row>
    <row r="20" spans="1:1">
      <c r="A20" s="118" t="s">
        <v>685</v>
      </c>
    </row>
    <row r="21" spans="1:1">
      <c r="A21" s="118" t="s">
        <v>686</v>
      </c>
    </row>
    <row r="22" spans="1:1">
      <c r="A22" s="118" t="s">
        <v>687</v>
      </c>
    </row>
    <row r="23" spans="1:1">
      <c r="A23" s="118" t="s">
        <v>688</v>
      </c>
    </row>
    <row r="24" spans="1:1">
      <c r="A24" s="116"/>
    </row>
    <row r="25" spans="1:1">
      <c r="A25" s="117" t="s">
        <v>689</v>
      </c>
    </row>
    <row r="29" spans="1:1">
      <c r="A29" s="133"/>
    </row>
    <row r="30" spans="1:1">
      <c r="A30" s="134"/>
    </row>
    <row r="31" spans="1:1">
      <c r="A31" s="133"/>
    </row>
    <row r="32" spans="1:1">
      <c r="A32" s="133"/>
    </row>
    <row r="33" spans="1:1">
      <c r="A33" s="134"/>
    </row>
    <row r="34" spans="1:1">
      <c r="A34" s="133"/>
    </row>
    <row r="35" spans="1:1">
      <c r="A35" s="133"/>
    </row>
    <row r="36" spans="1:1" ht="21">
      <c r="A36" s="132" t="s">
        <v>690</v>
      </c>
    </row>
    <row r="38" spans="1:1">
      <c r="A38" t="s">
        <v>691</v>
      </c>
    </row>
    <row r="39" spans="1:1">
      <c r="A39" s="116"/>
    </row>
    <row r="40" spans="1:1">
      <c r="A40" s="116" t="s">
        <v>692</v>
      </c>
    </row>
    <row r="41" spans="1:1">
      <c r="A41" s="116" t="s">
        <v>693</v>
      </c>
    </row>
    <row r="42" spans="1:1">
      <c r="A42" s="116" t="s">
        <v>694</v>
      </c>
    </row>
    <row r="44" spans="1:1" ht="18">
      <c r="A44" s="115" t="s">
        <v>695</v>
      </c>
    </row>
    <row r="45" spans="1:1">
      <c r="A45" s="116"/>
    </row>
    <row r="46" spans="1:1">
      <c r="A46" s="116" t="s">
        <v>696</v>
      </c>
    </row>
    <row r="47" spans="1:1">
      <c r="A47" s="116" t="s">
        <v>697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workbookViewId="0">
      <selection activeCell="E16" sqref="E16"/>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Python OOP</v>
      </c>
    </row>
    <row r="2" spans="1:5" ht="26.25">
      <c r="C2" s="122" t="s">
        <v>266</v>
      </c>
      <c r="D2" s="123" t="str">
        <f>IF(PromptGenerator!I3="","",PromptGenerator!I3)</f>
        <v>CustomTkinter</v>
      </c>
    </row>
    <row r="5" spans="1:5">
      <c r="A5" s="124" t="s">
        <v>634</v>
      </c>
      <c r="B5" s="124" t="s">
        <v>23</v>
      </c>
      <c r="C5" s="124" t="s">
        <v>577</v>
      </c>
      <c r="D5" s="124" t="s">
        <v>612</v>
      </c>
      <c r="E5" s="124" t="s">
        <v>611</v>
      </c>
    </row>
    <row r="6" spans="1:5">
      <c r="A6" s="125" t="s">
        <v>0</v>
      </c>
      <c r="B6" t="s">
        <v>48</v>
      </c>
      <c r="C6" t="s">
        <v>599</v>
      </c>
      <c r="D6" t="s">
        <v>599</v>
      </c>
      <c r="E6" s="120" t="s">
        <v>840</v>
      </c>
    </row>
    <row r="7" spans="1:5">
      <c r="A7" s="125" t="s">
        <v>0</v>
      </c>
      <c r="B7" t="s">
        <v>48</v>
      </c>
      <c r="C7" s="136" t="s">
        <v>179</v>
      </c>
      <c r="D7" t="s">
        <v>603</v>
      </c>
      <c r="E7" s="121" t="s">
        <v>765</v>
      </c>
    </row>
    <row r="8" spans="1:5">
      <c r="A8" s="125" t="s">
        <v>0</v>
      </c>
      <c r="B8" t="s">
        <v>48</v>
      </c>
      <c r="C8" s="136" t="s">
        <v>179</v>
      </c>
      <c r="D8" t="s">
        <v>604</v>
      </c>
      <c r="E8" t="s">
        <v>749</v>
      </c>
    </row>
    <row r="9" spans="1:5">
      <c r="A9" s="125" t="s">
        <v>0</v>
      </c>
      <c r="B9" t="s">
        <v>48</v>
      </c>
      <c r="C9" s="136" t="s">
        <v>179</v>
      </c>
      <c r="D9" t="s">
        <v>605</v>
      </c>
      <c r="E9" t="s">
        <v>750</v>
      </c>
    </row>
    <row r="10" spans="1:5">
      <c r="A10" s="125" t="s">
        <v>0</v>
      </c>
      <c r="B10" t="s">
        <v>48</v>
      </c>
      <c r="C10" s="136" t="s">
        <v>606</v>
      </c>
      <c r="D10" t="s">
        <v>607</v>
      </c>
      <c r="E10" s="120" t="s">
        <v>768</v>
      </c>
    </row>
    <row r="11" spans="1:5">
      <c r="A11" s="125" t="s">
        <v>0</v>
      </c>
      <c r="B11" t="s">
        <v>48</v>
      </c>
      <c r="C11" s="136" t="s">
        <v>606</v>
      </c>
      <c r="D11" t="s">
        <v>608</v>
      </c>
      <c r="E11" t="s">
        <v>769</v>
      </c>
    </row>
    <row r="12" spans="1:5">
      <c r="A12" s="125" t="s">
        <v>0</v>
      </c>
      <c r="B12" t="s">
        <v>48</v>
      </c>
      <c r="C12" s="136" t="s">
        <v>606</v>
      </c>
      <c r="D12" t="s">
        <v>718</v>
      </c>
      <c r="E12" s="120" t="s">
        <v>841</v>
      </c>
    </row>
    <row r="13" spans="1:5">
      <c r="A13" s="125" t="s">
        <v>0</v>
      </c>
      <c r="B13" t="s">
        <v>48</v>
      </c>
      <c r="C13" s="136" t="s">
        <v>606</v>
      </c>
      <c r="D13" t="s">
        <v>742</v>
      </c>
      <c r="E13" s="120" t="s">
        <v>839</v>
      </c>
    </row>
    <row r="14" spans="1:5">
      <c r="A14" s="125" t="s">
        <v>0</v>
      </c>
      <c r="B14" t="s">
        <v>48</v>
      </c>
      <c r="C14" s="136" t="s">
        <v>598</v>
      </c>
      <c r="D14" t="s">
        <v>609</v>
      </c>
      <c r="E14" t="s">
        <v>720</v>
      </c>
    </row>
    <row r="15" spans="1:5">
      <c r="A15" s="125" t="s">
        <v>0</v>
      </c>
      <c r="B15" t="s">
        <v>48</v>
      </c>
      <c r="C15" s="136" t="s">
        <v>598</v>
      </c>
      <c r="D15" t="s">
        <v>610</v>
      </c>
      <c r="E15" t="s">
        <v>721</v>
      </c>
    </row>
    <row r="16" spans="1:5">
      <c r="A16" s="125" t="s">
        <v>0</v>
      </c>
      <c r="B16" t="s">
        <v>48</v>
      </c>
      <c r="C16" s="136" t="s">
        <v>225</v>
      </c>
      <c r="D16" t="s">
        <v>601</v>
      </c>
      <c r="E16" t="s">
        <v>740</v>
      </c>
    </row>
    <row r="17" spans="1:5">
      <c r="A17" s="125" t="s">
        <v>0</v>
      </c>
      <c r="B17" t="s">
        <v>48</v>
      </c>
      <c r="C17" s="136" t="s">
        <v>225</v>
      </c>
      <c r="D17" t="s">
        <v>602</v>
      </c>
      <c r="E17" t="s">
        <v>741</v>
      </c>
    </row>
    <row r="18" spans="1:5">
      <c r="A18" s="125" t="s">
        <v>0</v>
      </c>
      <c r="B18" t="s">
        <v>613</v>
      </c>
      <c r="C18" s="136" t="s">
        <v>614</v>
      </c>
      <c r="D18" t="s">
        <v>615</v>
      </c>
      <c r="E18" t="s">
        <v>723</v>
      </c>
    </row>
    <row r="19" spans="1:5">
      <c r="A19" s="125" t="s">
        <v>0</v>
      </c>
      <c r="B19" t="s">
        <v>613</v>
      </c>
      <c r="C19" s="136" t="s">
        <v>614</v>
      </c>
      <c r="D19" t="s">
        <v>616</v>
      </c>
      <c r="E19" t="s">
        <v>751</v>
      </c>
    </row>
    <row r="20" spans="1:5">
      <c r="A20" s="125" t="s">
        <v>0</v>
      </c>
      <c r="B20" t="s">
        <v>613</v>
      </c>
      <c r="C20" s="136" t="s">
        <v>614</v>
      </c>
      <c r="D20" t="s">
        <v>617</v>
      </c>
      <c r="E20" t="s">
        <v>709</v>
      </c>
    </row>
    <row r="21" spans="1:5">
      <c r="A21" s="125" t="s">
        <v>0</v>
      </c>
      <c r="B21" t="s">
        <v>613</v>
      </c>
      <c r="C21" s="136" t="s">
        <v>606</v>
      </c>
      <c r="D21" t="s">
        <v>719</v>
      </c>
      <c r="E21" t="s">
        <v>722</v>
      </c>
    </row>
    <row r="22" spans="1:5">
      <c r="A22" s="125" t="s">
        <v>0</v>
      </c>
      <c r="B22" t="s">
        <v>600</v>
      </c>
      <c r="C22" s="136" t="s">
        <v>618</v>
      </c>
      <c r="D22" t="s">
        <v>47</v>
      </c>
      <c r="E22" t="s">
        <v>766</v>
      </c>
    </row>
    <row r="23" spans="1:5">
      <c r="A23" s="125" t="s">
        <v>0</v>
      </c>
      <c r="B23" t="s">
        <v>600</v>
      </c>
      <c r="C23" s="136" t="s">
        <v>618</v>
      </c>
      <c r="D23" t="s">
        <v>158</v>
      </c>
      <c r="E23" t="s">
        <v>752</v>
      </c>
    </row>
    <row r="24" spans="1:5">
      <c r="A24" s="125" t="s">
        <v>0</v>
      </c>
      <c r="B24" t="s">
        <v>600</v>
      </c>
      <c r="C24" s="136" t="s">
        <v>618</v>
      </c>
      <c r="D24" t="s">
        <v>159</v>
      </c>
      <c r="E24" t="s">
        <v>753</v>
      </c>
    </row>
    <row r="25" spans="1:5">
      <c r="A25" s="125" t="s">
        <v>0</v>
      </c>
      <c r="B25" t="s">
        <v>600</v>
      </c>
      <c r="C25" s="136" t="s">
        <v>619</v>
      </c>
      <c r="D25" t="s">
        <v>620</v>
      </c>
      <c r="E25" t="s">
        <v>754</v>
      </c>
    </row>
    <row r="26" spans="1:5">
      <c r="A26" s="125" t="s">
        <v>0</v>
      </c>
      <c r="B26" t="s">
        <v>600</v>
      </c>
      <c r="C26" s="136" t="s">
        <v>619</v>
      </c>
      <c r="D26" t="s">
        <v>621</v>
      </c>
      <c r="E26" t="s">
        <v>724</v>
      </c>
    </row>
    <row r="27" spans="1:5">
      <c r="A27" s="125" t="s">
        <v>0</v>
      </c>
      <c r="B27" t="s">
        <v>600</v>
      </c>
      <c r="C27" s="136" t="s">
        <v>619</v>
      </c>
      <c r="D27" t="s">
        <v>622</v>
      </c>
      <c r="E27" t="s">
        <v>755</v>
      </c>
    </row>
    <row r="28" spans="1:5">
      <c r="A28" s="125" t="s">
        <v>0</v>
      </c>
      <c r="B28" t="s">
        <v>600</v>
      </c>
      <c r="C28" s="136" t="s">
        <v>619</v>
      </c>
      <c r="D28" t="s">
        <v>623</v>
      </c>
      <c r="E28" t="s">
        <v>710</v>
      </c>
    </row>
    <row r="29" spans="1:5">
      <c r="A29" s="126" t="s">
        <v>270</v>
      </c>
      <c r="B29" t="s">
        <v>48</v>
      </c>
      <c r="C29" s="136" t="s">
        <v>624</v>
      </c>
      <c r="D29" t="s">
        <v>625</v>
      </c>
      <c r="E29" t="s">
        <v>725</v>
      </c>
    </row>
    <row r="30" spans="1:5">
      <c r="A30" s="126" t="s">
        <v>270</v>
      </c>
      <c r="B30" t="s">
        <v>48</v>
      </c>
      <c r="C30" s="136" t="s">
        <v>624</v>
      </c>
      <c r="D30" t="s">
        <v>626</v>
      </c>
      <c r="E30" t="s">
        <v>726</v>
      </c>
    </row>
    <row r="31" spans="1:5">
      <c r="A31" s="126" t="s">
        <v>270</v>
      </c>
      <c r="B31" t="s">
        <v>48</v>
      </c>
      <c r="C31" s="136" t="s">
        <v>624</v>
      </c>
      <c r="D31" t="s">
        <v>627</v>
      </c>
      <c r="E31" t="s">
        <v>727</v>
      </c>
    </row>
    <row r="32" spans="1:5">
      <c r="A32" s="126" t="s">
        <v>270</v>
      </c>
      <c r="B32" t="s">
        <v>48</v>
      </c>
      <c r="C32" s="136" t="s">
        <v>745</v>
      </c>
      <c r="D32" t="s">
        <v>628</v>
      </c>
      <c r="E32" t="s">
        <v>756</v>
      </c>
    </row>
    <row r="33" spans="1:5">
      <c r="A33" s="126" t="s">
        <v>270</v>
      </c>
      <c r="B33" t="s">
        <v>48</v>
      </c>
      <c r="C33" s="136" t="s">
        <v>746</v>
      </c>
      <c r="D33" t="s">
        <v>629</v>
      </c>
      <c r="E33" t="s">
        <v>837</v>
      </c>
    </row>
    <row r="34" spans="1:5">
      <c r="A34" s="126" t="s">
        <v>270</v>
      </c>
      <c r="B34" t="s">
        <v>48</v>
      </c>
      <c r="C34" s="136" t="s">
        <v>630</v>
      </c>
      <c r="D34" t="s">
        <v>631</v>
      </c>
      <c r="E34" t="s">
        <v>757</v>
      </c>
    </row>
    <row r="35" spans="1:5">
      <c r="A35" s="126" t="s">
        <v>270</v>
      </c>
      <c r="B35" t="s">
        <v>48</v>
      </c>
      <c r="C35" s="136" t="s">
        <v>630</v>
      </c>
      <c r="D35" t="s">
        <v>632</v>
      </c>
      <c r="E35" t="s">
        <v>758</v>
      </c>
    </row>
    <row r="36" spans="1:5">
      <c r="A36" s="126" t="s">
        <v>270</v>
      </c>
      <c r="B36" t="s">
        <v>48</v>
      </c>
      <c r="C36" s="136" t="s">
        <v>630</v>
      </c>
      <c r="D36" t="s">
        <v>633</v>
      </c>
      <c r="E36" t="s">
        <v>728</v>
      </c>
    </row>
    <row r="37" spans="1:5">
      <c r="A37" s="126" t="s">
        <v>270</v>
      </c>
      <c r="B37" t="s">
        <v>613</v>
      </c>
      <c r="C37" s="136" t="s">
        <v>635</v>
      </c>
      <c r="D37" t="s">
        <v>636</v>
      </c>
      <c r="E37" t="s">
        <v>729</v>
      </c>
    </row>
    <row r="38" spans="1:5">
      <c r="A38" s="126" t="s">
        <v>270</v>
      </c>
      <c r="B38" t="s">
        <v>613</v>
      </c>
      <c r="C38" s="136" t="s">
        <v>635</v>
      </c>
      <c r="D38" t="s">
        <v>637</v>
      </c>
      <c r="E38" t="s">
        <v>730</v>
      </c>
    </row>
    <row r="39" spans="1:5">
      <c r="A39" s="126" t="s">
        <v>270</v>
      </c>
      <c r="B39" t="s">
        <v>613</v>
      </c>
      <c r="C39" s="136" t="s">
        <v>635</v>
      </c>
      <c r="D39" t="s">
        <v>638</v>
      </c>
      <c r="E39" t="s">
        <v>731</v>
      </c>
    </row>
    <row r="40" spans="1:5">
      <c r="A40" s="126" t="s">
        <v>270</v>
      </c>
      <c r="B40" t="s">
        <v>613</v>
      </c>
      <c r="C40" s="136" t="s">
        <v>635</v>
      </c>
      <c r="D40" t="s">
        <v>639</v>
      </c>
      <c r="E40" t="s">
        <v>732</v>
      </c>
    </row>
    <row r="41" spans="1:5">
      <c r="A41" s="126" t="s">
        <v>270</v>
      </c>
      <c r="B41" t="s">
        <v>600</v>
      </c>
      <c r="C41" s="136" t="s">
        <v>747</v>
      </c>
      <c r="D41" t="s">
        <v>640</v>
      </c>
      <c r="E41" t="s">
        <v>759</v>
      </c>
    </row>
    <row r="42" spans="1:5">
      <c r="A42" s="126" t="s">
        <v>270</v>
      </c>
      <c r="B42" t="s">
        <v>600</v>
      </c>
      <c r="C42" s="136" t="s">
        <v>747</v>
      </c>
      <c r="D42" t="s">
        <v>641</v>
      </c>
      <c r="E42" t="s">
        <v>754</v>
      </c>
    </row>
    <row r="43" spans="1:5">
      <c r="A43" s="126" t="s">
        <v>270</v>
      </c>
      <c r="B43" t="s">
        <v>600</v>
      </c>
      <c r="C43" s="136" t="s">
        <v>747</v>
      </c>
      <c r="D43" t="s">
        <v>642</v>
      </c>
      <c r="E43" t="s">
        <v>733</v>
      </c>
    </row>
    <row r="44" spans="1:5">
      <c r="A44" s="126" t="s">
        <v>270</v>
      </c>
      <c r="B44" t="s">
        <v>600</v>
      </c>
      <c r="C44" s="136" t="s">
        <v>747</v>
      </c>
      <c r="D44" t="s">
        <v>643</v>
      </c>
      <c r="E44" t="s">
        <v>734</v>
      </c>
    </row>
    <row r="45" spans="1:5">
      <c r="A45" s="127" t="s">
        <v>335</v>
      </c>
      <c r="B45" t="s">
        <v>48</v>
      </c>
      <c r="C45" s="136" t="s">
        <v>649</v>
      </c>
      <c r="D45" t="s">
        <v>645</v>
      </c>
      <c r="E45" t="s">
        <v>838</v>
      </c>
    </row>
    <row r="46" spans="1:5">
      <c r="A46" s="127" t="s">
        <v>335</v>
      </c>
      <c r="B46" t="s">
        <v>48</v>
      </c>
      <c r="C46" s="136" t="s">
        <v>650</v>
      </c>
      <c r="D46" t="s">
        <v>646</v>
      </c>
      <c r="E46" t="s">
        <v>738</v>
      </c>
    </row>
    <row r="47" spans="1:5">
      <c r="A47" s="127" t="s">
        <v>335</v>
      </c>
      <c r="B47" t="s">
        <v>48</v>
      </c>
      <c r="C47" s="136" t="s">
        <v>651</v>
      </c>
      <c r="D47" t="s">
        <v>647</v>
      </c>
      <c r="E47" t="s">
        <v>760</v>
      </c>
    </row>
    <row r="48" spans="1:5">
      <c r="A48" s="127" t="s">
        <v>335</v>
      </c>
      <c r="B48" t="s">
        <v>48</v>
      </c>
      <c r="C48" s="136" t="s">
        <v>651</v>
      </c>
      <c r="D48" t="s">
        <v>648</v>
      </c>
      <c r="E48" t="s">
        <v>767</v>
      </c>
    </row>
    <row r="49" spans="1:5">
      <c r="A49" s="127" t="s">
        <v>335</v>
      </c>
      <c r="B49" t="s">
        <v>613</v>
      </c>
      <c r="C49" s="136" t="s">
        <v>649</v>
      </c>
      <c r="D49" t="s">
        <v>652</v>
      </c>
      <c r="E49" t="s">
        <v>735</v>
      </c>
    </row>
    <row r="50" spans="1:5">
      <c r="A50" s="127" t="s">
        <v>335</v>
      </c>
      <c r="B50" t="s">
        <v>613</v>
      </c>
      <c r="C50" s="136" t="s">
        <v>651</v>
      </c>
      <c r="D50" t="s">
        <v>653</v>
      </c>
      <c r="E50" t="s">
        <v>736</v>
      </c>
    </row>
    <row r="51" spans="1:5">
      <c r="A51" s="127" t="s">
        <v>335</v>
      </c>
      <c r="B51" t="s">
        <v>613</v>
      </c>
      <c r="C51" s="136" t="s">
        <v>651</v>
      </c>
      <c r="D51" t="s">
        <v>654</v>
      </c>
      <c r="E51" t="s">
        <v>761</v>
      </c>
    </row>
    <row r="52" spans="1:5">
      <c r="A52" s="127" t="s">
        <v>335</v>
      </c>
      <c r="B52" t="s">
        <v>600</v>
      </c>
      <c r="C52" s="136" t="s">
        <v>747</v>
      </c>
      <c r="D52" t="s">
        <v>655</v>
      </c>
      <c r="E52" t="s">
        <v>739</v>
      </c>
    </row>
    <row r="53" spans="1:5">
      <c r="A53" s="127" t="s">
        <v>335</v>
      </c>
      <c r="B53" t="s">
        <v>600</v>
      </c>
      <c r="C53" s="136" t="s">
        <v>747</v>
      </c>
      <c r="D53" t="s">
        <v>641</v>
      </c>
      <c r="E53" t="s">
        <v>754</v>
      </c>
    </row>
    <row r="54" spans="1:5">
      <c r="A54" s="127" t="s">
        <v>335</v>
      </c>
      <c r="B54" t="s">
        <v>600</v>
      </c>
      <c r="C54" s="136" t="s">
        <v>747</v>
      </c>
      <c r="D54" t="s">
        <v>656</v>
      </c>
      <c r="E54" t="s">
        <v>737</v>
      </c>
    </row>
    <row r="55" spans="1:5">
      <c r="A55" s="127" t="s">
        <v>335</v>
      </c>
      <c r="B55" t="s">
        <v>600</v>
      </c>
      <c r="C55" s="136" t="s">
        <v>747</v>
      </c>
      <c r="D55" t="s">
        <v>657</v>
      </c>
      <c r="E55" t="s">
        <v>762</v>
      </c>
    </row>
    <row r="56" spans="1:5">
      <c r="A56" s="121" t="s">
        <v>411</v>
      </c>
      <c r="B56" t="s">
        <v>600</v>
      </c>
      <c r="C56" t="s">
        <v>661</v>
      </c>
      <c r="D56" t="s">
        <v>662</v>
      </c>
      <c r="E56" t="s">
        <v>763</v>
      </c>
    </row>
    <row r="57" spans="1:5">
      <c r="A57" s="128" t="s">
        <v>448</v>
      </c>
      <c r="B57" t="s">
        <v>600</v>
      </c>
      <c r="C57" t="s">
        <v>661</v>
      </c>
      <c r="D57" t="s">
        <v>662</v>
      </c>
      <c r="E57" t="s">
        <v>764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04"/>
  <sheetViews>
    <sheetView showGridLines="0" tabSelected="1" topLeftCell="D1" zoomScaleNormal="100" workbookViewId="0">
      <selection activeCell="H4" sqref="H4:J14"/>
    </sheetView>
  </sheetViews>
  <sheetFormatPr defaultRowHeight="15"/>
  <cols>
    <col min="1" max="1" width="5.42578125" customWidth="1"/>
    <col min="2" max="2" width="35.85546875" customWidth="1"/>
    <col min="3" max="3" width="33" customWidth="1"/>
    <col min="4" max="4" width="100.5703125" customWidth="1"/>
    <col min="5" max="5" width="39.5703125" style="85" customWidth="1"/>
    <col min="6" max="6" width="4" customWidth="1"/>
  </cols>
  <sheetData>
    <row r="2" spans="1:29" ht="36">
      <c r="B2" s="78" t="s">
        <v>446</v>
      </c>
      <c r="D2" s="81" t="s">
        <v>0</v>
      </c>
      <c r="H2" s="82"/>
      <c r="T2" s="82"/>
    </row>
    <row r="3" spans="1:29">
      <c r="B3" s="76" t="s">
        <v>221</v>
      </c>
      <c r="C3" s="76" t="s">
        <v>577</v>
      </c>
      <c r="D3" s="76" t="s">
        <v>578</v>
      </c>
      <c r="E3" s="88" t="s">
        <v>228</v>
      </c>
      <c r="F3" s="4" t="s">
        <v>224</v>
      </c>
      <c r="AC3" t="s">
        <v>224</v>
      </c>
    </row>
    <row r="4" spans="1:29">
      <c r="A4">
        <f>LEN(D4)</f>
        <v>49</v>
      </c>
      <c r="B4" s="75" t="s">
        <v>222</v>
      </c>
      <c r="C4" s="54" t="s">
        <v>160</v>
      </c>
      <c r="D4" s="94" t="s">
        <v>161</v>
      </c>
      <c r="E4" s="77" t="str">
        <f t="shared" ref="E4:E48" si="0">IF(D4="","",""""&amp;C4&amp;" "&amp;IF(C4="[FOOTER RULE - STRICT]",D4,IF(RIGHT(D4,6)=" | "&amp;CHAR(34)&amp;" &amp;",D4,D4&amp;" | "&amp;CHAR(34)&amp;" &amp;")))</f>
        <v>"[ROLE] Friendly tutor specializing in " &amp; $I$2 &amp; " | " &amp;</v>
      </c>
      <c r="F4" s="54" t="s">
        <v>224</v>
      </c>
    </row>
    <row r="5" spans="1:29">
      <c r="A5">
        <f t="shared" ref="A5:A49" si="1">LEN(D5)</f>
        <v>16</v>
      </c>
      <c r="B5" s="75" t="s">
        <v>222</v>
      </c>
      <c r="C5" s="54" t="s">
        <v>164</v>
      </c>
      <c r="D5" s="94" t="s">
        <v>165</v>
      </c>
      <c r="E5" s="77" t="str">
        <f t="shared" si="0"/>
        <v>"[TOPIC] " &amp; I9 &amp; " | " &amp;</v>
      </c>
      <c r="F5" s="54" t="s">
        <v>224</v>
      </c>
    </row>
    <row r="6" spans="1:29">
      <c r="A6">
        <f t="shared" si="1"/>
        <v>16</v>
      </c>
      <c r="B6" s="75" t="s">
        <v>222</v>
      </c>
      <c r="C6" s="54" t="s">
        <v>166</v>
      </c>
      <c r="D6" s="94" t="s">
        <v>167</v>
      </c>
      <c r="E6" s="77" t="str">
        <f t="shared" si="0"/>
        <v>"[LEVEL] " &amp; G9 &amp; " | " &amp;</v>
      </c>
      <c r="F6" s="54" t="s">
        <v>224</v>
      </c>
    </row>
    <row r="7" spans="1:29">
      <c r="A7">
        <f t="shared" si="1"/>
        <v>25</v>
      </c>
      <c r="B7" s="75" t="s">
        <v>222</v>
      </c>
      <c r="C7" s="54" t="s">
        <v>168</v>
      </c>
      <c r="D7" s="94" t="s">
        <v>169</v>
      </c>
      <c r="E7" s="77" t="str">
        <f t="shared" si="0"/>
        <v>"[COUNT] " &amp; D9 &amp; " examples | " &amp;</v>
      </c>
      <c r="F7" s="54" t="s">
        <v>224</v>
      </c>
    </row>
    <row r="8" spans="1:29">
      <c r="A8">
        <f t="shared" si="1"/>
        <v>18</v>
      </c>
      <c r="B8" s="75" t="s">
        <v>222</v>
      </c>
      <c r="C8" s="54" t="s">
        <v>229</v>
      </c>
      <c r="D8" s="94" t="s">
        <v>267</v>
      </c>
      <c r="E8" s="77" t="str">
        <f t="shared" si="0"/>
        <v>"[LIBRARY BEING LEARNED] " &amp; $I$3 &amp; " | " &amp;</v>
      </c>
      <c r="F8" s="54" t="s">
        <v>224</v>
      </c>
    </row>
    <row r="9" spans="1:29">
      <c r="A9">
        <f t="shared" si="1"/>
        <v>474</v>
      </c>
      <c r="B9" s="83" t="s">
        <v>223</v>
      </c>
      <c r="C9" s="32" t="s">
        <v>225</v>
      </c>
      <c r="D9" s="137"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9"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9" s="54" t="s">
        <v>224</v>
      </c>
    </row>
    <row r="10" spans="1:29">
      <c r="A10">
        <f t="shared" si="1"/>
        <v>406</v>
      </c>
      <c r="B10" s="75" t="s">
        <v>222</v>
      </c>
      <c r="C10" s="54" t="s">
        <v>172</v>
      </c>
      <c r="D10" s="94" t="s">
        <v>173</v>
      </c>
      <c r="E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5" t="s">
        <v>222</v>
      </c>
      <c r="C11" s="54" t="s">
        <v>489</v>
      </c>
      <c r="D11" s="94" t="s">
        <v>481</v>
      </c>
      <c r="E11" s="77"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5" t="s">
        <v>222</v>
      </c>
      <c r="C12" s="54" t="s">
        <v>218</v>
      </c>
      <c r="D12" s="94" t="s">
        <v>219</v>
      </c>
      <c r="E12" s="77" t="str">
        <f t="shared" si="0"/>
        <v>"[LANGUAGE] " &amp; $B$6 &amp; " | " &amp;</v>
      </c>
      <c r="F12" s="54" t="s">
        <v>224</v>
      </c>
    </row>
    <row r="13" spans="1:29">
      <c r="A13">
        <f t="shared" si="1"/>
        <v>255</v>
      </c>
      <c r="B13" s="75" t="s">
        <v>222</v>
      </c>
      <c r="C13" s="54" t="s">
        <v>231</v>
      </c>
      <c r="D13" s="94" t="s">
        <v>711</v>
      </c>
      <c r="E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517</v>
      </c>
      <c r="B14" s="83" t="s">
        <v>223</v>
      </c>
      <c r="C14" s="32" t="s">
        <v>179</v>
      </c>
      <c r="D14" s="137"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IF(G9="Beginner","Focus strictly on basic class definitions, the 'init' method, and simple object instantiation. DO NOT use flat linear scripts or procedural code outside of classes.", IF(G9="Intermediate", "STRICT REQUIREMENT: Integrate custom class definitions ('class'), 'init' constructor methods, and instance methods in EVERY example.", "Advanced OOP: Inheritance, method overriding, custom dunder methods ('str', 'repr', 'len'), property decorators (@property), and class/static methods.")) &amp; " | " &amp;</v>
      </c>
      <c r="E14" s="77" t="str">
        <f t="shared" si="0"/>
        <v>"[FUNCTION RULE] Rule: " &amp; IF(G9="Beginner","Focus strictly on basic class definitions, the 'init' method, and simple object instantiation. DO NOT use flat linear scripts or procedural code outside of classes.", IF(G9="Intermediate", "STRICT REQUIREMENT: Integrate custom class definitions ('class'), 'init' constructor methods, and instance methods in EVERY example.", "Advanced OOP: Inheritance, method overriding, custom dunder methods ('str', 'repr', 'len'), property decorators (@property), and class/static methods.")) &amp; " | " &amp;</v>
      </c>
      <c r="F14" s="54" t="s">
        <v>224</v>
      </c>
    </row>
    <row r="15" spans="1:29">
      <c r="A15">
        <f t="shared" si="1"/>
        <v>0</v>
      </c>
      <c r="B15" s="83" t="s">
        <v>223</v>
      </c>
      <c r="C15" s="54" t="s">
        <v>230</v>
      </c>
      <c r="D15" s="94"/>
      <c r="E15" s="77" t="str">
        <f t="shared" si="0"/>
        <v/>
      </c>
      <c r="F15" s="54" t="s">
        <v>224</v>
      </c>
    </row>
    <row r="16" spans="1:29">
      <c r="A16">
        <f t="shared" si="1"/>
        <v>0</v>
      </c>
      <c r="B16" s="83" t="s">
        <v>223</v>
      </c>
      <c r="C16" s="54" t="s">
        <v>230</v>
      </c>
      <c r="D16" s="94"/>
      <c r="E16" s="77" t="str">
        <f t="shared" si="0"/>
        <v/>
      </c>
      <c r="F16" s="54" t="s">
        <v>224</v>
      </c>
    </row>
    <row r="17" spans="1:6">
      <c r="A17">
        <f t="shared" si="1"/>
        <v>0</v>
      </c>
      <c r="B17" s="83" t="s">
        <v>223</v>
      </c>
      <c r="C17" s="54" t="s">
        <v>230</v>
      </c>
      <c r="D17" s="94"/>
      <c r="E17" s="77" t="str">
        <f t="shared" si="0"/>
        <v/>
      </c>
      <c r="F17" s="54" t="s">
        <v>224</v>
      </c>
    </row>
    <row r="18" spans="1:6">
      <c r="A18">
        <f t="shared" si="1"/>
        <v>690</v>
      </c>
      <c r="B18" s="83" t="s">
        <v>223</v>
      </c>
      <c r="C18" s="32" t="s">
        <v>606</v>
      </c>
      <c r="D18" s="137" t="str">
        <f>"Each example MUST: - " &amp; Variables!E10 &amp; " - " &amp; Variables!E11 &amp; " - " &amp; Variables!E12 &amp; " - " &amp; Variables!E13 &amp; " | " &amp; CHAR(34) &amp; " &amp;"</f>
        <v>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 &amp;</v>
      </c>
      <c r="E18" s="77" t="str">
        <f t="shared" si="0"/>
        <v>"[CODE_CONSTRAINTS_RULE]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 &amp;</v>
      </c>
      <c r="F18" s="54" t="s">
        <v>224</v>
      </c>
    </row>
    <row r="19" spans="1:6">
      <c r="A19">
        <f t="shared" si="1"/>
        <v>158</v>
      </c>
      <c r="B19" s="84" t="s">
        <v>223</v>
      </c>
      <c r="C19" s="32" t="s">
        <v>598</v>
      </c>
      <c r="D19" s="137" t="str">
        <f>Variables!E14 &amp; " - " &amp; Variables!E15 &amp; " | " &amp; CHAR(34) &amp; " &amp;"</f>
        <v>Basic primitive types (int, float, str, bool) or simple lists/dictionaries. - print() statements with comma-separated values to display outputs clearly. | " &amp;</v>
      </c>
      <c r="E19" s="77" t="str">
        <f t="shared" si="0"/>
        <v>"[I_O_PARADIGM] Basic primitive types (int, float, str, bool) or simple lists/dictionaries. - print() statements with comma-separated values to display outputs clearly. | " &amp;</v>
      </c>
      <c r="F19" s="54" t="s">
        <v>224</v>
      </c>
    </row>
    <row r="20" spans="1:6">
      <c r="A20">
        <f t="shared" si="1"/>
        <v>181</v>
      </c>
      <c r="B20" s="84" t="s">
        <v>223</v>
      </c>
      <c r="C20" s="32" t="s">
        <v>599</v>
      </c>
      <c r="D20" s="137" t="str">
        <f>Variables!E6&amp;" Assume no project configuration file exists."&amp; " | " &amp; CHAR(34) &amp; " &amp;"</f>
        <v>Must include 'import customtkinter as ctk' on its own dedicated top-level line, separated by a newline from any class declaration. Assume no project configuration file exists. | " &amp;</v>
      </c>
      <c r="E20" s="77" t="str">
        <f t="shared" si="0"/>
        <v>"[INLINE_PACKAGE_MANAGER] Must include 'import customtkinter as ctk' on its own dedicated top-level line, separated by a newline from any class declaration. Assume no project configuration file exists. | " &amp;</v>
      </c>
      <c r="F20" s="54" t="s">
        <v>224</v>
      </c>
    </row>
    <row r="21" spans="1:6">
      <c r="A21">
        <f t="shared" si="1"/>
        <v>267</v>
      </c>
      <c r="B21" s="83" t="s">
        <v>223</v>
      </c>
      <c r="C21" s="54" t="s">
        <v>743</v>
      </c>
      <c r="D21" s="94" t="s">
        <v>744</v>
      </c>
      <c r="E21" s="77"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4" t="s">
        <v>271</v>
      </c>
      <c r="C22" s="54" t="s">
        <v>180</v>
      </c>
      <c r="D22" s="94" t="s">
        <v>700</v>
      </c>
      <c r="E22" s="77"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4" t="s">
        <v>271</v>
      </c>
      <c r="C23" s="54" t="s">
        <v>594</v>
      </c>
      <c r="D23" s="94" t="s">
        <v>701</v>
      </c>
      <c r="E23" s="77"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4" t="s">
        <v>271</v>
      </c>
      <c r="C24" s="54" t="s">
        <v>207</v>
      </c>
      <c r="D24" s="94" t="s">
        <v>280</v>
      </c>
      <c r="E24" s="77" t="str">
        <f t="shared" si="0"/>
        <v>"[FORMAT RULE] Only valid markdown code blocks allowed | " &amp;</v>
      </c>
      <c r="F24" s="54" t="s">
        <v>224</v>
      </c>
    </row>
    <row r="25" spans="1:6">
      <c r="A25">
        <f t="shared" si="1"/>
        <v>114</v>
      </c>
      <c r="B25" s="84" t="s">
        <v>271</v>
      </c>
      <c r="C25" s="54" t="s">
        <v>209</v>
      </c>
      <c r="D25" s="94" t="s">
        <v>595</v>
      </c>
      <c r="E25" s="77" t="str">
        <f t="shared" si="0"/>
        <v>"[LANGUAGE TAG RULE] ALWAYS label markdown code blocks with the correct underlying programming language (e.g., elixir, javascript, sql) | " &amp;</v>
      </c>
      <c r="F25" s="54" t="s">
        <v>224</v>
      </c>
    </row>
    <row r="26" spans="1:6">
      <c r="A26">
        <f t="shared" si="1"/>
        <v>324</v>
      </c>
      <c r="B26" s="84" t="s">
        <v>271</v>
      </c>
      <c r="C26" s="54" t="s">
        <v>215</v>
      </c>
      <c r="D26" s="94" t="s">
        <v>579</v>
      </c>
      <c r="E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4" t="s">
        <v>271</v>
      </c>
      <c r="C27" s="54" t="s">
        <v>187</v>
      </c>
      <c r="D27" s="94" t="s">
        <v>698</v>
      </c>
      <c r="E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4" t="s">
        <v>271</v>
      </c>
      <c r="C28" s="54" t="s">
        <v>170</v>
      </c>
      <c r="D28" s="94" t="s">
        <v>171</v>
      </c>
      <c r="E28" s="77" t="str">
        <f t="shared" si="0"/>
        <v>"[PERSONA RULE] Act as a friendly, clear tutor | " &amp;</v>
      </c>
      <c r="F28" s="54" t="s">
        <v>224</v>
      </c>
    </row>
    <row r="29" spans="1:6">
      <c r="A29">
        <f t="shared" si="1"/>
        <v>67</v>
      </c>
      <c r="B29" s="84" t="s">
        <v>271</v>
      </c>
      <c r="C29" s="54" t="s">
        <v>162</v>
      </c>
      <c r="D29" s="94" t="s">
        <v>163</v>
      </c>
      <c r="E29" s="77" t="str">
        <f t="shared" si="0"/>
        <v>"[TASK] Teach and explain concepts clearly with correct code examples | " &amp;</v>
      </c>
      <c r="F29" s="54" t="s">
        <v>224</v>
      </c>
    </row>
    <row r="30" spans="1:6">
      <c r="A30">
        <f t="shared" si="1"/>
        <v>545</v>
      </c>
      <c r="B30" s="84" t="s">
        <v>271</v>
      </c>
      <c r="C30" s="54" t="s">
        <v>177</v>
      </c>
      <c r="D30" s="94" t="s">
        <v>699</v>
      </c>
      <c r="E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4" t="s">
        <v>271</v>
      </c>
      <c r="C31" s="54" t="s">
        <v>180</v>
      </c>
      <c r="D31" s="94" t="s">
        <v>227</v>
      </c>
      <c r="E31" s="77" t="str">
        <f t="shared" si="0"/>
        <v>"[CODE QUALITY RULE] Code MUST be clean, readable, educational, executable, and produce correct and accurate results | " &amp;</v>
      </c>
      <c r="F31" s="54" t="s">
        <v>224</v>
      </c>
    </row>
    <row r="32" spans="1:6">
      <c r="A32">
        <f t="shared" si="1"/>
        <v>96</v>
      </c>
      <c r="B32" s="84" t="s">
        <v>271</v>
      </c>
      <c r="C32" s="54" t="s">
        <v>181</v>
      </c>
      <c r="D32" s="94" t="s">
        <v>182</v>
      </c>
      <c r="E32" s="77" t="str">
        <f t="shared" si="0"/>
        <v>"[COMMENT RULE - STRICT] Code MUST include sufficient inline comments explaining important lines and logical blocks | " &amp;</v>
      </c>
      <c r="F32" s="54" t="s">
        <v>224</v>
      </c>
    </row>
    <row r="33" spans="1:6">
      <c r="A33">
        <f t="shared" si="1"/>
        <v>77</v>
      </c>
      <c r="B33" s="84" t="s">
        <v>271</v>
      </c>
      <c r="C33" s="54" t="s">
        <v>183</v>
      </c>
      <c r="D33" s="94" t="s">
        <v>184</v>
      </c>
      <c r="E33" s="77" t="str">
        <f t="shared" si="0"/>
        <v>"[COMMENT DEPTH RULE] Comments MUST explain WHAT the code does AND WHY it is written that way | " &amp;</v>
      </c>
      <c r="F33" s="54" t="s">
        <v>224</v>
      </c>
    </row>
    <row r="34" spans="1:6">
      <c r="A34">
        <f t="shared" si="1"/>
        <v>101</v>
      </c>
      <c r="B34" s="84" t="s">
        <v>271</v>
      </c>
      <c r="C34" s="54" t="s">
        <v>197</v>
      </c>
      <c r="D34" s="94" t="s">
        <v>198</v>
      </c>
      <c r="E34" s="77" t="str">
        <f t="shared" si="0"/>
        <v>"[EXPLANATION RULE] Explanation within 'Mini-Lección' MUST explain WHAT, WHY, HOW, and real-world context concisely | " &amp;</v>
      </c>
      <c r="F34" s="54" t="s">
        <v>224</v>
      </c>
    </row>
    <row r="35" spans="1:6">
      <c r="A35">
        <f t="shared" si="1"/>
        <v>47</v>
      </c>
      <c r="B35" s="84" t="s">
        <v>271</v>
      </c>
      <c r="C35" s="54" t="s">
        <v>199</v>
      </c>
      <c r="D35" s="94" t="s">
        <v>200</v>
      </c>
      <c r="E35" s="77" t="str">
        <f t="shared" si="0"/>
        <v>"[LEARNING RULE] Each example MUST highlight a key insight | " &amp;</v>
      </c>
      <c r="F35" s="54" t="s">
        <v>224</v>
      </c>
    </row>
    <row r="36" spans="1:6">
      <c r="A36">
        <f t="shared" si="1"/>
        <v>53</v>
      </c>
      <c r="B36" s="84" t="s">
        <v>271</v>
      </c>
      <c r="C36" s="54" t="s">
        <v>201</v>
      </c>
      <c r="D36" s="94" t="s">
        <v>202</v>
      </c>
      <c r="E36" s="77" t="str">
        <f t="shared" si="0"/>
        <v>"[COMMON MISTAKES RULE] Include a short mistake note after each example | " &amp;</v>
      </c>
      <c r="F36" s="54" t="s">
        <v>224</v>
      </c>
    </row>
    <row r="37" spans="1:6">
      <c r="A37">
        <f t="shared" si="1"/>
        <v>63</v>
      </c>
      <c r="B37" s="84" t="s">
        <v>271</v>
      </c>
      <c r="C37" s="54" t="s">
        <v>203</v>
      </c>
      <c r="D37" s="94" t="s">
        <v>204</v>
      </c>
      <c r="E37" s="77" t="str">
        <f t="shared" si="0"/>
        <v>"[MINI CHALLENGE RULE] Include a short reinforcement question after each example | " &amp;</v>
      </c>
      <c r="F37" s="54" t="s">
        <v>224</v>
      </c>
    </row>
    <row r="38" spans="1:6">
      <c r="A38">
        <f t="shared" si="1"/>
        <v>51</v>
      </c>
      <c r="B38" s="84" t="s">
        <v>271</v>
      </c>
      <c r="C38" s="54" t="s">
        <v>205</v>
      </c>
      <c r="D38" s="94" t="s">
        <v>206</v>
      </c>
      <c r="E38" s="77" t="str">
        <f t="shared" si="0"/>
        <v>"[REAL WORLD RULE] Connect each example to a real-world use case | " &amp;</v>
      </c>
      <c r="F38" s="54" t="s">
        <v>224</v>
      </c>
    </row>
    <row r="39" spans="1:6">
      <c r="A39">
        <f t="shared" si="1"/>
        <v>45</v>
      </c>
      <c r="B39" s="84" t="s">
        <v>271</v>
      </c>
      <c r="C39" s="54" t="s">
        <v>207</v>
      </c>
      <c r="D39" s="94" t="s">
        <v>208</v>
      </c>
      <c r="E39" s="77" t="str">
        <f t="shared" si="0"/>
        <v>"[FORMAT RULE] Only valid markdown code blocks allowed | " &amp;</v>
      </c>
      <c r="F39" s="54" t="s">
        <v>224</v>
      </c>
    </row>
    <row r="40" spans="1:6">
      <c r="A40">
        <f t="shared" si="1"/>
        <v>120</v>
      </c>
      <c r="B40" s="84" t="s">
        <v>271</v>
      </c>
      <c r="C40" s="54" t="s">
        <v>209</v>
      </c>
      <c r="D40" s="94" t="s">
        <v>210</v>
      </c>
      <c r="E40" s="77" t="str">
        <f t="shared" si="0"/>
        <v>"[LANGUAGE TAG RULE] ALWAYS label markdown code blocks with the correct underlying programming language (e.g., python, javascript, sql) | " &amp;</v>
      </c>
      <c r="F40" s="54" t="s">
        <v>224</v>
      </c>
    </row>
    <row r="41" spans="1:6">
      <c r="A41">
        <f t="shared" si="1"/>
        <v>58</v>
      </c>
      <c r="B41" s="84" t="s">
        <v>271</v>
      </c>
      <c r="C41" s="54" t="s">
        <v>212</v>
      </c>
      <c r="D41" s="94" t="s">
        <v>213</v>
      </c>
      <c r="E41" s="77" t="str">
        <f t="shared" si="0"/>
        <v>"[CONSISTENCY RULE] All examples MUST have similar complexity and length | " &amp;</v>
      </c>
      <c r="F41" s="54" t="s">
        <v>224</v>
      </c>
    </row>
    <row r="42" spans="1:6">
      <c r="A42">
        <f t="shared" si="1"/>
        <v>75</v>
      </c>
      <c r="B42" s="84" t="s">
        <v>271</v>
      </c>
      <c r="C42" s="54" t="s">
        <v>214</v>
      </c>
      <c r="D42" s="94" t="s">
        <v>232</v>
      </c>
      <c r="E42" s="77" t="str">
        <f t="shared" si="0"/>
        <v>"[FINAL OUTPUT RULE] Include Key Takeaway section at the end | " &amp; IF(AJ9&lt;&gt;"", AJ9, "") &amp;" | " &amp;</v>
      </c>
      <c r="F42" s="54" t="s">
        <v>224</v>
      </c>
    </row>
    <row r="43" spans="1:6">
      <c r="A43">
        <f t="shared" si="1"/>
        <v>422</v>
      </c>
      <c r="B43" s="84" t="s">
        <v>271</v>
      </c>
      <c r="C43" s="54" t="s">
        <v>174</v>
      </c>
      <c r="D43" s="94" t="s">
        <v>702</v>
      </c>
      <c r="E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4" t="s">
        <v>271</v>
      </c>
      <c r="C44" s="54" t="s">
        <v>175</v>
      </c>
      <c r="D44" s="94" t="s">
        <v>176</v>
      </c>
      <c r="E44" s="77" t="str">
        <f t="shared" si="0"/>
        <v>"[DATA SUMMARY FORMAT RULE] When a dataset is present, you MUST display IMMEDIATELY AFTER THE HEADER: Dataset Summary: - File Type: - Columns / Fields: - Data Types: - Notes: | " &amp;</v>
      </c>
      <c r="F44" s="54" t="s">
        <v>224</v>
      </c>
    </row>
    <row r="45" spans="1:6">
      <c r="A45">
        <f t="shared" si="1"/>
        <v>28</v>
      </c>
      <c r="B45" s="84" t="s">
        <v>271</v>
      </c>
      <c r="C45" s="54" t="s">
        <v>192</v>
      </c>
      <c r="D45" s="94" t="s">
        <v>193</v>
      </c>
      <c r="E45" s="77" t="str">
        <f t="shared" si="0"/>
        <v>"[DATA CONSISTENCY RULE] Respect dataset schema | " &amp;</v>
      </c>
      <c r="F45" s="54" t="s">
        <v>224</v>
      </c>
    </row>
    <row r="46" spans="1:6">
      <c r="A46">
        <f t="shared" si="1"/>
        <v>87</v>
      </c>
      <c r="B46" s="84" t="s">
        <v>271</v>
      </c>
      <c r="C46" s="54" t="s">
        <v>185</v>
      </c>
      <c r="D46" s="94" t="s">
        <v>186</v>
      </c>
      <c r="E46" s="77" t="str">
        <f t="shared" si="0"/>
        <v>"[COMMENT DENSITY RULE] Beginner = high, Intermediate = medium, Advanced = lower but present in key logic | " &amp;</v>
      </c>
      <c r="F46" s="54" t="s">
        <v>224</v>
      </c>
    </row>
    <row r="47" spans="1:6">
      <c r="A47">
        <f t="shared" si="1"/>
        <v>33</v>
      </c>
      <c r="B47" s="84" t="s">
        <v>271</v>
      </c>
      <c r="C47" s="54" t="s">
        <v>195</v>
      </c>
      <c r="D47" s="94" t="s">
        <v>196</v>
      </c>
      <c r="E47" s="77" t="str">
        <f t="shared" si="0"/>
        <v>"[DIFFICULTY RULE] Complexity MUST match level | " &amp;</v>
      </c>
      <c r="F47" s="54" t="s">
        <v>224</v>
      </c>
    </row>
    <row r="48" spans="1:6">
      <c r="A48">
        <f t="shared" si="1"/>
        <v>78</v>
      </c>
      <c r="B48" s="84" t="s">
        <v>271</v>
      </c>
      <c r="C48" s="54" t="s">
        <v>216</v>
      </c>
      <c r="D48" s="94" t="s">
        <v>217</v>
      </c>
      <c r="E48" s="77" t="str">
        <f t="shared" si="0"/>
        <v>"[OUTPUT] Only header, introduction, examples, outputs, notes, summary, and footer | " &amp;</v>
      </c>
      <c r="F48" s="54" t="s">
        <v>224</v>
      </c>
    </row>
    <row r="49" spans="1:6">
      <c r="A49">
        <f t="shared" si="1"/>
        <v>166</v>
      </c>
      <c r="B49" s="84" t="s">
        <v>271</v>
      </c>
      <c r="C49" s="54" t="s">
        <v>220</v>
      </c>
      <c r="D49" s="94" t="s">
        <v>233</v>
      </c>
      <c r="E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4"/>
      <c r="C50" s="54"/>
      <c r="D50" s="94"/>
      <c r="E50" s="88" t="str">
        <f>"IF(H9=""PROJECT"", Z9, """"))"</f>
        <v>IF(H9="PROJECT", Z9, ""))</v>
      </c>
      <c r="F50" s="54"/>
    </row>
    <row r="51" spans="1:6">
      <c r="B51" s="74"/>
      <c r="C51" s="74"/>
      <c r="E51" s="86"/>
    </row>
    <row r="52" spans="1:6">
      <c r="B52" s="74"/>
      <c r="C52" s="74"/>
      <c r="E52" s="86"/>
    </row>
    <row r="53" spans="1:6" ht="36">
      <c r="B53" s="79" t="s">
        <v>445</v>
      </c>
      <c r="C53" s="74"/>
      <c r="E53" s="86"/>
    </row>
    <row r="54" spans="1:6">
      <c r="B54" s="76" t="s">
        <v>264</v>
      </c>
      <c r="C54" s="76" t="s">
        <v>577</v>
      </c>
      <c r="D54" s="76" t="s">
        <v>578</v>
      </c>
      <c r="E54" s="88" t="s">
        <v>265</v>
      </c>
      <c r="F54" s="32" t="s">
        <v>224</v>
      </c>
    </row>
    <row r="55" spans="1:6">
      <c r="B55" s="54" t="s">
        <v>222</v>
      </c>
      <c r="C55" s="54" t="s">
        <v>162</v>
      </c>
      <c r="D55" s="94" t="s">
        <v>268</v>
      </c>
      <c r="E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253</v>
      </c>
      <c r="D56" s="94" t="s">
        <v>712</v>
      </c>
      <c r="E56" s="77" t="str">
        <f t="shared" ref="E56:E79" si="2">IF(D56="","",""""&amp;C56&amp;" "&amp;IF(C56="[FOOTER RULE - STRICT]",D56,IF(RIGHT(D56,6)=" | "&amp;CHAR(34)&amp;" &amp;",D56,D56&amp;" | "&amp;CHAR(34)&amp;" &amp;")))</f>
        <v>"[TOPICS USED] " &amp; A9 &amp; " | " &amp;</v>
      </c>
      <c r="F56" s="32" t="s">
        <v>224</v>
      </c>
    </row>
    <row r="57" spans="1:6">
      <c r="B57" s="54" t="s">
        <v>222</v>
      </c>
      <c r="C57" s="54" t="s">
        <v>166</v>
      </c>
      <c r="D57" s="94" t="s">
        <v>167</v>
      </c>
      <c r="E57" s="77" t="str">
        <f t="shared" si="2"/>
        <v>"[LEVEL] " &amp; G9 &amp; " | " &amp;</v>
      </c>
      <c r="F57" s="32" t="s">
        <v>224</v>
      </c>
    </row>
    <row r="58" spans="1:6">
      <c r="B58" s="54" t="s">
        <v>222</v>
      </c>
      <c r="C58" s="54" t="s">
        <v>229</v>
      </c>
      <c r="D58" s="94" t="s">
        <v>267</v>
      </c>
      <c r="E58" s="77" t="str">
        <f t="shared" si="2"/>
        <v>"[LIBRARY BEING LEARNED] " &amp; $I$3 &amp; " | " &amp;</v>
      </c>
      <c r="F58" s="32" t="s">
        <v>224</v>
      </c>
    </row>
    <row r="59" spans="1:6">
      <c r="B59" s="83" t="s">
        <v>223</v>
      </c>
      <c r="C59" s="32" t="s">
        <v>225</v>
      </c>
      <c r="D59" s="137"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9" s="77"/>
      <c r="F59" s="32" t="s">
        <v>224</v>
      </c>
    </row>
    <row r="60" spans="1:6">
      <c r="B60" s="54" t="s">
        <v>222</v>
      </c>
      <c r="C60" s="54" t="s">
        <v>172</v>
      </c>
      <c r="D60" s="94" t="s">
        <v>254</v>
      </c>
      <c r="E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489</v>
      </c>
      <c r="D61" s="94" t="s">
        <v>481</v>
      </c>
      <c r="E61" s="77"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4" t="s">
        <v>219</v>
      </c>
      <c r="E62" s="77" t="str">
        <f t="shared" si="2"/>
        <v>"[LANGUAGE] " &amp; $B$6 &amp; " | " &amp;</v>
      </c>
      <c r="F62" s="32" t="s">
        <v>224</v>
      </c>
    </row>
    <row r="63" spans="1:6">
      <c r="B63" s="54" t="s">
        <v>223</v>
      </c>
      <c r="C63" s="54" t="s">
        <v>230</v>
      </c>
      <c r="D63" s="94"/>
      <c r="E63" s="77" t="str">
        <f t="shared" ref="E63:E64" si="3">IF(D63="","",""""&amp;C63&amp;" "&amp;IF(C63="[FOOTER RULE - STRICT]",D63,IF(RIGHT(D63,6)=" | "&amp;CHAR(34)&amp;" &amp;",D63,D63&amp;" | "&amp;CHAR(34)&amp;" &amp;")))</f>
        <v/>
      </c>
      <c r="F63" s="32" t="s">
        <v>224</v>
      </c>
    </row>
    <row r="64" spans="1:6">
      <c r="B64" s="54" t="s">
        <v>223</v>
      </c>
      <c r="C64" s="54" t="s">
        <v>230</v>
      </c>
      <c r="D64" s="94"/>
      <c r="E64" s="77" t="str">
        <f t="shared" si="3"/>
        <v/>
      </c>
      <c r="F64" s="32" t="s">
        <v>224</v>
      </c>
    </row>
    <row r="65" spans="2:6">
      <c r="B65" s="54" t="s">
        <v>223</v>
      </c>
      <c r="C65" s="32" t="s">
        <v>599</v>
      </c>
      <c r="D65" s="137" t="str">
        <f>"If using external packages, use " &amp; Variables!E6 &amp; " at the top of the code block. Assume no project configuration file exists." &amp; " | " &amp; CHAR(34) &amp; " &amp;"</f>
        <v>If using external packages, use Must include 'import customtkinter as ctk' on its own dedicated top-level line, separated by a newline from any class declaration. at the top of the code block. Assume no project configuration file exists. | " &amp;</v>
      </c>
      <c r="E65" s="77" t="str">
        <f t="shared" si="2"/>
        <v>"[INLINE_PACKAGE_MANAGER] If using external packages, use Must include 'import customtkinter as ctk' on its own dedicated top-level line, separated by a newline from any class declaration. at the top of the code block. Assume no project configuration file exists. | " &amp;</v>
      </c>
      <c r="F65" s="32" t="s">
        <v>224</v>
      </c>
    </row>
    <row r="66" spans="2:6">
      <c r="B66" s="54" t="s">
        <v>223</v>
      </c>
      <c r="C66" s="32" t="s">
        <v>606</v>
      </c>
      <c r="D66" s="137" t="str">
        <f>Variables!E21</f>
        <v>Standard basic logic validation using native assert statements.</v>
      </c>
      <c r="E66" s="77" t="str">
        <f t="shared" si="2"/>
        <v>"[CODE_CONSTRAINTS_RULE] Standard basic logic validation using native assert statements. | " &amp;</v>
      </c>
      <c r="F66" s="32" t="s">
        <v>224</v>
      </c>
    </row>
    <row r="67" spans="2:6">
      <c r="B67" s="54" t="s">
        <v>223</v>
      </c>
      <c r="C67" s="32" t="s">
        <v>614</v>
      </c>
      <c r="D67" s="137" t="str">
        <f>"1. Use " &amp; Variables!E18 &amp; " to map code to the planning phase. 2. Use " &amp; Variables!E19 &amp; ". 3. CRITICAL: NO comment or docstring line may exceed " &amp; Variables!E20 &amp; " in width. | " &amp; CHAR(34) &amp; " &amp;"</f>
        <v>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 &amp;</v>
      </c>
      <c r="E67" s="77" t="str">
        <f t="shared" si="2"/>
        <v>"[VISUAL_ARCHITECTURE_COMMENTS]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 &amp;</v>
      </c>
      <c r="F67" s="32" t="s">
        <v>224</v>
      </c>
    </row>
    <row r="68" spans="2:6">
      <c r="B68" s="84" t="s">
        <v>271</v>
      </c>
      <c r="C68" s="54" t="s">
        <v>190</v>
      </c>
      <c r="D68" s="94" t="s">
        <v>417</v>
      </c>
      <c r="E68" s="77" t="str">
        <f t="shared" si="2"/>
        <v>"[DATA ROBUSTNESS RULE] Handle real-world data safely | " &amp;</v>
      </c>
      <c r="F68" s="32" t="s">
        <v>224</v>
      </c>
    </row>
    <row r="69" spans="2:6">
      <c r="B69" s="84" t="s">
        <v>271</v>
      </c>
      <c r="C69" s="54" t="s">
        <v>178</v>
      </c>
      <c r="D69" s="94" t="s">
        <v>596</v>
      </c>
      <c r="E69" s="77" t="str">
        <f t="shared" si="2"/>
        <v>"[CODE CONSTRAINTS] MUST be between " &amp; IF(G9="Beginner", "25–40", IF(G9="Intermediate", "30–60", "40–100")) &amp; " lines (STRICT) - Multi-step flow | " &amp;</v>
      </c>
      <c r="F69" s="32" t="s">
        <v>224</v>
      </c>
    </row>
    <row r="70" spans="2:6">
      <c r="B70" s="84" t="s">
        <v>271</v>
      </c>
      <c r="C70" s="54" t="s">
        <v>194</v>
      </c>
      <c r="D70" s="94" t="s">
        <v>423</v>
      </c>
      <c r="E70" s="77" t="str">
        <f t="shared" si="2"/>
        <v>"[SUPPORT FILES RULE] Include config files before code if needed | " &amp;</v>
      </c>
      <c r="F70" s="32" t="s">
        <v>224</v>
      </c>
    </row>
    <row r="71" spans="2:6">
      <c r="B71" s="84" t="s">
        <v>271</v>
      </c>
      <c r="C71" s="54" t="s">
        <v>174</v>
      </c>
      <c r="D71" s="94" t="s">
        <v>255</v>
      </c>
      <c r="E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4" t="s">
        <v>271</v>
      </c>
      <c r="C72" s="54" t="s">
        <v>177</v>
      </c>
      <c r="D72" s="94" t="s">
        <v>256</v>
      </c>
      <c r="E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4" t="s">
        <v>271</v>
      </c>
      <c r="C73" s="54" t="s">
        <v>180</v>
      </c>
      <c r="D73" s="94" t="s">
        <v>257</v>
      </c>
      <c r="E73" s="77" t="str">
        <f t="shared" si="2"/>
        <v>"[CODE QUALITY RULE] Code MUST be clean, readable, correct, and educational | " &amp;</v>
      </c>
      <c r="F73" s="32" t="s">
        <v>224</v>
      </c>
    </row>
    <row r="74" spans="2:6">
      <c r="B74" s="84" t="s">
        <v>271</v>
      </c>
      <c r="C74" s="54" t="s">
        <v>207</v>
      </c>
      <c r="D74" s="94" t="s">
        <v>258</v>
      </c>
      <c r="E74" s="77" t="str">
        <f t="shared" si="2"/>
        <v>"[FORMAT RULE] Only markdown code blocks allowed | " &amp;</v>
      </c>
      <c r="F74" s="32" t="s">
        <v>224</v>
      </c>
    </row>
    <row r="75" spans="2:6">
      <c r="B75" s="84" t="s">
        <v>271</v>
      </c>
      <c r="C75" s="54" t="s">
        <v>259</v>
      </c>
      <c r="D75" s="94" t="s">
        <v>260</v>
      </c>
      <c r="E75" s="77" t="str">
        <f t="shared" si="2"/>
        <v>"[EXECUTION RULE] Code MUST run and produce correct output | " &amp;</v>
      </c>
      <c r="F75" s="32" t="s">
        <v>224</v>
      </c>
    </row>
    <row r="76" spans="2:6">
      <c r="B76" s="84" t="s">
        <v>271</v>
      </c>
      <c r="C76" s="54" t="s">
        <v>212</v>
      </c>
      <c r="D76" s="94" t="s">
        <v>261</v>
      </c>
      <c r="E76" s="77" t="str">
        <f t="shared" si="2"/>
        <v>"[CONSISTENCY RULE] Project must match objective | " &amp;</v>
      </c>
      <c r="F76" s="32" t="s">
        <v>224</v>
      </c>
    </row>
    <row r="77" spans="2:6">
      <c r="B77" s="84" t="s">
        <v>271</v>
      </c>
      <c r="C77" s="54" t="s">
        <v>215</v>
      </c>
      <c r="D77" s="94" t="s">
        <v>580</v>
      </c>
      <c r="E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4" t="s">
        <v>271</v>
      </c>
      <c r="C78" s="54" t="s">
        <v>216</v>
      </c>
      <c r="D78" s="94" t="s">
        <v>262</v>
      </c>
      <c r="E78" s="77" t="str">
        <f t="shared" si="2"/>
        <v>"[OUTPUT] Only header, dataset notice, objective, support file, code planning, expected output, code, and footer | " &amp;</v>
      </c>
      <c r="F78" s="32" t="s">
        <v>224</v>
      </c>
    </row>
    <row r="79" spans="2:6">
      <c r="B79" s="84" t="s">
        <v>271</v>
      </c>
      <c r="C79" s="54" t="s">
        <v>220</v>
      </c>
      <c r="D79" s="94" t="s">
        <v>263</v>
      </c>
      <c r="E79" s="77"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6"/>
      <c r="F80" t="s">
        <v>224</v>
      </c>
    </row>
    <row r="82" spans="2:6" ht="36">
      <c r="B82" s="80" t="s">
        <v>269</v>
      </c>
    </row>
    <row r="83" spans="2:6">
      <c r="B83" s="76" t="s">
        <v>221</v>
      </c>
      <c r="C83" s="76" t="s">
        <v>577</v>
      </c>
      <c r="D83" s="76" t="s">
        <v>578</v>
      </c>
      <c r="E83" s="88" t="s">
        <v>234</v>
      </c>
      <c r="F83" s="54" t="s">
        <v>224</v>
      </c>
    </row>
    <row r="84" spans="2:6">
      <c r="B84" s="54" t="s">
        <v>222</v>
      </c>
      <c r="C84" s="54" t="s">
        <v>235</v>
      </c>
      <c r="D84" s="94" t="s">
        <v>249</v>
      </c>
      <c r="E84" s="77"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4" t="s">
        <v>245</v>
      </c>
      <c r="E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4" t="s">
        <v>713</v>
      </c>
      <c r="E86" s="77"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4" t="s">
        <v>267</v>
      </c>
      <c r="E87" s="77" t="str">
        <f t="shared" si="4"/>
        <v>"[LIBRARY BEING LEARNED] " &amp; $I$3 &amp; " | " &amp;</v>
      </c>
      <c r="F87" s="54"/>
    </row>
    <row r="88" spans="2:6">
      <c r="B88" s="54" t="s">
        <v>222</v>
      </c>
      <c r="C88" s="54" t="s">
        <v>172</v>
      </c>
      <c r="D88" s="94" t="s">
        <v>247</v>
      </c>
      <c r="E88" s="77" t="str">
        <f t="shared" si="4"/>
        <v>"[LANGUAGE CONSISTENCY RULE] ALL output text MUST be written strictly in (" &amp; $B$6 &amp; "). | " &amp;</v>
      </c>
      <c r="F88" s="54" t="s">
        <v>224</v>
      </c>
    </row>
    <row r="89" spans="2:6">
      <c r="B89" s="54" t="s">
        <v>222</v>
      </c>
      <c r="C89" s="54" t="s">
        <v>489</v>
      </c>
      <c r="D89" s="94" t="s">
        <v>481</v>
      </c>
      <c r="E89" s="77"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4" t="s">
        <v>250</v>
      </c>
      <c r="E90" s="77" t="str">
        <f>IF(D90="","",""""&amp;C90&amp;" "&amp;IF(C90="[FOOTER RULE - STRICT]",D90,IF(RIGHT(D90,6)=" | "&amp;CHAR(34)&amp;" &amp;",D90,D90&amp;" | "&amp;CHAR(34)&amp;" &amp;")))</f>
        <v>"[LANGUAGE] " &amp; $B$6 &amp;" | " &amp;</v>
      </c>
      <c r="F90" s="54" t="s">
        <v>224</v>
      </c>
    </row>
    <row r="91" spans="2:6">
      <c r="B91" s="54" t="s">
        <v>223</v>
      </c>
      <c r="C91" s="54" t="s">
        <v>230</v>
      </c>
      <c r="D91" s="94"/>
      <c r="E91" s="77" t="str">
        <f t="shared" ref="E91:E92" si="5">IF(D91="","",""""&amp;C91&amp;" "&amp;IF(C91="[FOOTER RULE - STRICT]",D91,IF(RIGHT(D91,6)=" | "&amp;CHAR(34)&amp;" &amp;",D91,D91&amp;" | "&amp;CHAR(34)&amp;" &amp;")))</f>
        <v/>
      </c>
      <c r="F91" s="54" t="s">
        <v>224</v>
      </c>
    </row>
    <row r="92" spans="2:6">
      <c r="B92" s="54" t="s">
        <v>223</v>
      </c>
      <c r="C92" s="54" t="s">
        <v>230</v>
      </c>
      <c r="D92" s="94"/>
      <c r="E92" s="77" t="str">
        <f t="shared" si="5"/>
        <v/>
      </c>
      <c r="F92" s="54" t="s">
        <v>224</v>
      </c>
    </row>
    <row r="93" spans="2:6">
      <c r="B93" s="54" t="s">
        <v>223</v>
      </c>
      <c r="C93" s="32" t="s">
        <v>618</v>
      </c>
      <c r="D93" s="94"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"Evaluate based on basic class instantiation, attribute assignment, and simple method calls. Do NOT expect advanced inheritance or decorators unless explicitly demanded.", IF(G9="Intermediate", "Expect clean class definitions, proper encapsulation, instance initialization via init, and correct use of self. Enforce basic OOP principles.", "Expect advanced OOP architecture using abstract base classes (abc.ABC), inheritance, polymorphism, custom exceptions, and composition over inheritance.")) &amp; " | " &amp;</v>
      </c>
      <c r="E93" s="77" t="str">
        <f>IF(D93="","",""""&amp;C93&amp;" "&amp;IF(C93="[FOOTER RULE - STRICT]",D93,IF(RIGHT(D93,6)=" | "&amp;CHAR(34)&amp;" &amp;",D93,D93&amp;" | "&amp;CHAR(34)&amp;" &amp;")))</f>
        <v>"[MENTOR_SCOPE_EXPECTATIONS] " &amp; IF(G9="Beginner", "Evaluate based on basic class instantiation, attribute assignment, and simple method calls. Do NOT expect advanced inheritance or decorators unless explicitly demanded.", IF(G9="Intermediate", "Expect clean class definitions, proper encapsulation, instance initialization via init, and correct use of self. Enforce basic OOP principles.", "Expect advanced OOP architecture using abstract base classes (abc.ABC), inheritance, polymorphism, custom exceptions, and composition over inheritance.")) &amp; " | " &amp;</v>
      </c>
      <c r="F93" s="54" t="s">
        <v>224</v>
      </c>
    </row>
    <row r="94" spans="2:6">
      <c r="B94" s="54" t="s">
        <v>223</v>
      </c>
      <c r="C94" s="32" t="s">
        <v>619</v>
      </c>
      <c r="D94" s="94"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E94" s="77" t="str">
        <f>IF(D94="","",""""&amp;C94&amp;" "&amp;IF(C94="[FOOTER RULE - STRICT]",D94,IF(RIGHT(D94,6)=" | "&amp;CHAR(34)&amp;" &amp;",D94,D94&amp;" | "&amp;CHAR(34)&amp;" &amp;")))</f>
        <v>"[CODE_QUALITY_POLICIES]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F94" s="54" t="s">
        <v>224</v>
      </c>
    </row>
    <row r="95" spans="2:6">
      <c r="B95" s="84" t="s">
        <v>271</v>
      </c>
      <c r="C95" s="54" t="s">
        <v>174</v>
      </c>
      <c r="D95" s="94" t="s">
        <v>248</v>
      </c>
      <c r="E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4" t="s">
        <v>271</v>
      </c>
      <c r="C96" s="54" t="s">
        <v>238</v>
      </c>
      <c r="D96" s="94" t="s">
        <v>251</v>
      </c>
      <c r="E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4" t="s">
        <v>271</v>
      </c>
      <c r="C97" s="54" t="s">
        <v>162</v>
      </c>
      <c r="D97" s="94" t="s">
        <v>246</v>
      </c>
      <c r="E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4" t="s">
        <v>271</v>
      </c>
      <c r="C98" s="54" t="s">
        <v>239</v>
      </c>
      <c r="D98" s="94" t="s">
        <v>770</v>
      </c>
      <c r="E98" s="77" t="str">
        <f t="shared" si="4"/>
        <v>"[ATOMIC CODE PROTOCOL (MVCI) - STRICT] 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v>
      </c>
      <c r="F98" s="54" t="s">
        <v>224</v>
      </c>
    </row>
    <row r="99" spans="2:6">
      <c r="B99" s="84" t="s">
        <v>271</v>
      </c>
      <c r="C99" s="54" t="s">
        <v>240</v>
      </c>
      <c r="D99" s="94" t="s">
        <v>771</v>
      </c>
      <c r="E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4" t="s">
        <v>271</v>
      </c>
      <c r="C100" s="54" t="s">
        <v>241</v>
      </c>
      <c r="D100" s="94" t="s">
        <v>309</v>
      </c>
      <c r="E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4" t="s">
        <v>271</v>
      </c>
      <c r="C101" s="54" t="s">
        <v>242</v>
      </c>
      <c r="D101" s="94" t="s">
        <v>252</v>
      </c>
      <c r="E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4" t="s">
        <v>271</v>
      </c>
      <c r="C102" s="54" t="s">
        <v>244</v>
      </c>
      <c r="D102" s="94" t="s">
        <v>307</v>
      </c>
      <c r="E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4" t="s">
        <v>271</v>
      </c>
      <c r="C103" s="54" t="s">
        <v>215</v>
      </c>
      <c r="D103" s="94" t="s">
        <v>581</v>
      </c>
      <c r="E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4" t="s">
        <v>271</v>
      </c>
      <c r="C104" s="54" t="s">
        <v>220</v>
      </c>
      <c r="D104" s="94" t="s">
        <v>308</v>
      </c>
      <c r="E104" s="77" t="str">
        <f t="shared" si="4"/>
        <v>"[FOOTER RULE - STRICT] End your response with: '--- ⚡ *Coding5s Mentor System — Eliminating Epistemic Debt*' | ","")</v>
      </c>
      <c r="F104" s="54" t="s">
        <v>224</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9"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444</v>
      </c>
      <c r="D2" s="81" t="s">
        <v>270</v>
      </c>
      <c r="H2" s="82"/>
      <c r="T2" s="82"/>
    </row>
    <row r="3" spans="1:29">
      <c r="B3" s="76" t="s">
        <v>221</v>
      </c>
      <c r="C3" s="76" t="s">
        <v>577</v>
      </c>
      <c r="D3" s="76" t="s">
        <v>578</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474</v>
      </c>
      <c r="B10" s="83" t="s">
        <v>223</v>
      </c>
      <c r="C10" s="32" t="s">
        <v>225</v>
      </c>
      <c r="D10" s="93"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1:29">
      <c r="A11">
        <f t="shared" si="1"/>
        <v>313</v>
      </c>
      <c r="B11" s="75" t="s">
        <v>222</v>
      </c>
      <c r="C11" s="54" t="s">
        <v>215</v>
      </c>
      <c r="D11" s="93" t="s">
        <v>582</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489</v>
      </c>
      <c r="D13" s="93" t="s">
        <v>481</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366</v>
      </c>
      <c r="B16" s="83" t="s">
        <v>223</v>
      </c>
      <c r="C16" s="32" t="s">
        <v>188</v>
      </c>
      <c r="D16" s="93" t="str">
        <f>Variables!E29 &amp; " | " &amp; Variables!E30 &amp; " | " &amp; Variables!E31 &amp; " | " &amp; CHAR(34) &amp; " &amp;"</f>
        <v>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E16" s="77" t="str">
        <f t="shared" si="0"/>
        <v>"[FILE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F16" s="54" t="s">
        <v>224</v>
      </c>
    </row>
    <row r="17" spans="1:6">
      <c r="A17">
        <f t="shared" si="1"/>
        <v>86</v>
      </c>
      <c r="B17" s="83" t="s">
        <v>223</v>
      </c>
      <c r="C17" s="32" t="s">
        <v>745</v>
      </c>
      <c r="D17" s="93" t="str">
        <f>Variables!E32 &amp; " | " &amp; CHAR(34) &amp; " &amp;"</f>
        <v>Validation using native assert statements or standard unittest.TestCase classes. | " &amp;</v>
      </c>
      <c r="E17" s="77" t="str">
        <f t="shared" si="0"/>
        <v>"[TESTING_FRAMEWORK_RULE] Validation using native assert statements or standard unittest.TestCase classes. | " &amp;</v>
      </c>
      <c r="F17" s="54" t="s">
        <v>224</v>
      </c>
    </row>
    <row r="18" spans="1:6">
      <c r="A18">
        <f t="shared" si="1"/>
        <v>104</v>
      </c>
      <c r="B18" s="54" t="s">
        <v>223</v>
      </c>
      <c r="C18" s="32" t="s">
        <v>746</v>
      </c>
      <c r="D18" s="93" t="str">
        <f>Variables!E33 &amp; " | " &amp; CHAR(34) &amp; " &amp;"</f>
        <v>Requires customtkinter library. Standalone scripts must assume customtkinter is installed via pip. | " &amp;</v>
      </c>
      <c r="E18" s="77" t="str">
        <f t="shared" si="0"/>
        <v>"[DEPENDENCY_MANAGEMENT_RULE] Requires customtkinter library. Standalone scripts must assume customtkinter is installed via pip. | " &amp;</v>
      </c>
      <c r="F18" s="54" t="s">
        <v>224</v>
      </c>
    </row>
    <row r="19" spans="1:6">
      <c r="A19">
        <f t="shared" si="1"/>
        <v>445</v>
      </c>
      <c r="B19" s="54" t="s">
        <v>223</v>
      </c>
      <c r="C19" s="32" t="s">
        <v>178</v>
      </c>
      <c r="D19" s="93"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MUST include: EXACTLY 1 class definition, 1 init method, at least 1 instance method, and 1 class instantiation with method call. - " &amp; IF(G9="Beginner", "5–15", IF(G9="Intermediate", "10–25", "15–35")) &amp; " lines of EXECUTABLE broken Python code per challenge (STRICT: Do NOT count blank lines). All logic MUST be encapsulated inside class methods. | All challenges MUST have similar complexity, length, and functional scope. | " &amp;</v>
      </c>
      <c r="E19" s="77" t="str">
        <f t="shared" si="0"/>
        <v>"[CODE CONSTRAINTS] Each challenge MUST include: EXACTLY 1 class definition, 1 init method, at least 1 instance method, and 1 class instantiation with method call. - " &amp; IF(G9="Beginner", "5–15", IF(G9="Intermediate", "10–25", "15–35")) &amp; " lines of EXECUTABLE broken Python code per challenge (STRICT: Do NOT count blank lines). All logic MUST be encapsulated inside class methods. | All challenges MUST have similar complexity, length, and functional scope. | " &amp;</v>
      </c>
      <c r="F19" s="54" t="s">
        <v>224</v>
      </c>
    </row>
    <row r="20" spans="1:6">
      <c r="A20">
        <f t="shared" si="1"/>
        <v>888</v>
      </c>
      <c r="B20" s="54" t="s">
        <v>271</v>
      </c>
      <c r="C20" s="54" t="s">
        <v>187</v>
      </c>
      <c r="D20" s="93" t="s">
        <v>703</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704</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705</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443</v>
      </c>
      <c r="C45" s="74"/>
      <c r="E45" s="86"/>
    </row>
    <row r="46" spans="1:6">
      <c r="B46" s="76" t="s">
        <v>264</v>
      </c>
      <c r="C46" s="76" t="s">
        <v>577</v>
      </c>
      <c r="D46" s="76" t="s">
        <v>578</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310</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311</v>
      </c>
      <c r="D49" s="93" t="s">
        <v>165</v>
      </c>
      <c r="E49" s="77" t="str">
        <f t="shared" si="2"/>
        <v>"[PROJECT] " &amp; I9 &amp; " | " &amp;</v>
      </c>
      <c r="F49" s="32" t="s">
        <v>224</v>
      </c>
    </row>
    <row r="50" spans="2:6">
      <c r="B50" s="54" t="s">
        <v>222</v>
      </c>
      <c r="C50" s="54" t="s">
        <v>253</v>
      </c>
      <c r="D50" s="93" t="s">
        <v>712</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312</v>
      </c>
      <c r="E52" s="77" t="str">
        <f t="shared" si="2"/>
        <v>"[OUTPUT] Only header, dataset summary or statement (if any), email intro, objective, expected output, broken code, and footer | " &amp;</v>
      </c>
      <c r="F52" s="32" t="s">
        <v>224</v>
      </c>
    </row>
    <row r="53" spans="2:6">
      <c r="B53" s="54" t="s">
        <v>222</v>
      </c>
      <c r="C53" s="54" t="s">
        <v>215</v>
      </c>
      <c r="D53" s="93" t="s">
        <v>583</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223</v>
      </c>
      <c r="C55" s="32" t="s">
        <v>225</v>
      </c>
      <c r="D55" s="93" t="s">
        <v>254</v>
      </c>
      <c r="E55" s="77"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3" t="s">
        <v>313</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489</v>
      </c>
      <c r="D57" s="93" t="s">
        <v>481</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32" t="s">
        <v>292</v>
      </c>
      <c r="D59" s="93" t="str">
        <f>Variables!E37 &amp; " " &amp; Variables!E38 &amp; " " &amp; Variables!E39 &amp; " " &amp; Variables!E40 &amp; " | " &amp; CHAR(34) &amp; " &amp;"</f>
        <v>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E59" s="77" t="str">
        <f t="shared" si="2"/>
        <v>"[BUG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F59" s="32" t="s">
        <v>224</v>
      </c>
    </row>
    <row r="60" spans="2:6">
      <c r="B60" s="54" t="s">
        <v>271</v>
      </c>
      <c r="C60" s="54" t="s">
        <v>277</v>
      </c>
      <c r="D60" s="93" t="s">
        <v>314</v>
      </c>
      <c r="E60" s="77" t="str">
        <f t="shared" si="2"/>
        <v>"[ENV USAGE RULE] Bugs ONLY in code logic, not config files | " &amp;</v>
      </c>
      <c r="F60" s="32" t="s">
        <v>224</v>
      </c>
    </row>
    <row r="61" spans="2:6">
      <c r="B61" s="54" t="s">
        <v>271</v>
      </c>
      <c r="C61" s="54" t="s">
        <v>194</v>
      </c>
      <c r="D61" s="93" t="s">
        <v>315</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597</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316</v>
      </c>
      <c r="E63" s="77" t="str">
        <f t="shared" si="2"/>
        <v>"[PERSONA RULE] Use a messy, careless developer tone | " &amp;</v>
      </c>
      <c r="F63" s="32" t="s">
        <v>224</v>
      </c>
    </row>
    <row r="64" spans="2:6">
      <c r="B64" s="54" t="s">
        <v>271</v>
      </c>
      <c r="C64" s="54" t="s">
        <v>187</v>
      </c>
      <c r="D64" s="93" t="s">
        <v>317</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318</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319</v>
      </c>
      <c r="E66" s="77" t="str">
        <f t="shared" si="2"/>
        <v>"[STRUCTURE RULE] Do NOT add extra sections or explanations (except when required by SUPPORT FILES RULE) | " &amp;</v>
      </c>
      <c r="F66" s="32" t="s">
        <v>224</v>
      </c>
    </row>
    <row r="67" spans="2:6">
      <c r="B67" s="54" t="s">
        <v>271</v>
      </c>
      <c r="C67" s="54" t="s">
        <v>178</v>
      </c>
      <c r="D67" s="93" t="s">
        <v>320</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321</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322</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323</v>
      </c>
      <c r="E72" s="77" t="str">
        <f t="shared" si="2"/>
        <v>"[STRICT MODE] Enforce all rules strictly | " &amp;</v>
      </c>
      <c r="F72" s="32" t="s">
        <v>224</v>
      </c>
    </row>
    <row r="73" spans="2:6">
      <c r="B73" s="54" t="s">
        <v>271</v>
      </c>
      <c r="C73" s="54" t="s">
        <v>220</v>
      </c>
      <c r="D73" s="93" t="s">
        <v>324</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442</v>
      </c>
    </row>
    <row r="80" spans="2:6">
      <c r="B80" s="76" t="s">
        <v>221</v>
      </c>
      <c r="C80" s="76" t="s">
        <v>577</v>
      </c>
      <c r="D80" s="76" t="s">
        <v>578</v>
      </c>
      <c r="E80" s="88" t="s">
        <v>234</v>
      </c>
      <c r="F80" s="54" t="s">
        <v>224</v>
      </c>
    </row>
    <row r="81" spans="2:6">
      <c r="B81" s="54" t="s">
        <v>222</v>
      </c>
      <c r="C81" s="54" t="s">
        <v>325</v>
      </c>
      <c r="D81" s="93" t="s">
        <v>379</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326</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714</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327</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3" t="s">
        <v>481</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584</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32" t="s">
        <v>747</v>
      </c>
      <c r="D90" s="93" t="str">
        <f>Variables!E41 &amp; " " &amp; Variables!E42 &amp; " " &amp; Variables!E43 &amp; " " &amp; Variables!E44 &amp; " | " &amp; CHAR(34) &amp; " &amp;"</f>
        <v>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E90" s="17" t="str">
        <f t="shared" si="3"/>
        <v>"[CORE_QUALITY_POLICY]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F90" s="54" t="s">
        <v>224</v>
      </c>
    </row>
    <row r="91" spans="2:6">
      <c r="B91" s="54" t="s">
        <v>271</v>
      </c>
      <c r="C91" s="54" t="s">
        <v>238</v>
      </c>
      <c r="D91" s="93" t="s">
        <v>330</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331</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329</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332</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490</v>
      </c>
      <c r="D95" s="93" t="s">
        <v>491</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328</v>
      </c>
      <c r="D96" s="93" t="s">
        <v>333</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334</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9"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440</v>
      </c>
      <c r="D2" s="81" t="s">
        <v>335</v>
      </c>
      <c r="H2" s="82"/>
      <c r="T2" s="82"/>
    </row>
    <row r="3" spans="2:29">
      <c r="B3" s="76" t="s">
        <v>221</v>
      </c>
      <c r="C3" s="76" t="s">
        <v>577</v>
      </c>
      <c r="D3" s="76" t="s">
        <v>578</v>
      </c>
      <c r="E3" s="88" t="s">
        <v>228</v>
      </c>
      <c r="F3" s="4" t="s">
        <v>224</v>
      </c>
      <c r="AC3" t="s">
        <v>224</v>
      </c>
    </row>
    <row r="4" spans="2:29">
      <c r="B4" s="75" t="s">
        <v>222</v>
      </c>
      <c r="C4" s="54" t="s">
        <v>160</v>
      </c>
      <c r="D4" s="92" t="s">
        <v>336</v>
      </c>
      <c r="E4" s="77" t="str">
        <f t="shared" ref="E4:E37" si="0">IF(D4="","",""""&amp;C4&amp;" "&amp;IF(C4="[FOOTER RULE - STRICT]",D4,IF(RIGHT(D4,6)=" | "&amp;CHAR(34)&amp;" &amp;",D4,D4&amp;" | "&amp;CHAR(34)&amp;" &amp;")))</f>
        <v>"[ROLE] Tech Lead | " &amp;</v>
      </c>
      <c r="F4" s="54" t="s">
        <v>224</v>
      </c>
    </row>
    <row r="5" spans="2:29">
      <c r="B5" s="75" t="s">
        <v>222</v>
      </c>
      <c r="C5" s="54" t="s">
        <v>162</v>
      </c>
      <c r="D5" s="92" t="s">
        <v>337</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32" t="s">
        <v>225</v>
      </c>
      <c r="D10"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2:29">
      <c r="B11" s="75" t="s">
        <v>222</v>
      </c>
      <c r="C11" s="54" t="s">
        <v>215</v>
      </c>
      <c r="D11" s="92" t="s">
        <v>585</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489</v>
      </c>
      <c r="D13" s="92" t="s">
        <v>481</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649</v>
      </c>
      <c r="D15" s="92" t="str">
        <f>Variables!E45 &amp; " | " &amp; CHAR(34) &amp; " &amp;"</f>
        <v>Requires 'customtkinter' as the core UI dependency across all topics. | " &amp;</v>
      </c>
      <c r="E15" s="77" t="str">
        <f t="shared" si="0"/>
        <v>"[EXTERNAL_PACKAGE_PROTOCOL] Requires 'customtkinter' as the core UI dependency across all topics. | " &amp;</v>
      </c>
      <c r="F15" s="54" t="s">
        <v>224</v>
      </c>
    </row>
    <row r="16" spans="2:29">
      <c r="B16" s="83" t="s">
        <v>223</v>
      </c>
      <c r="C16" s="54" t="s">
        <v>650</v>
      </c>
      <c r="D16" s="92" t="str">
        <f>Variables!E46 &amp; " | " &amp; CHAR(34) &amp; " &amp;"</f>
        <v>Simple console output verification via standard print() statements. | " &amp;</v>
      </c>
      <c r="E16" s="77" t="str">
        <f t="shared" si="0"/>
        <v>"[TESTING_FRAMEWORK_PROTOCOL] Simple console output verification via standard print() statements. | " &amp;</v>
      </c>
      <c r="F16" s="54" t="s">
        <v>224</v>
      </c>
    </row>
    <row r="17" spans="2:6">
      <c r="B17" s="83" t="s">
        <v>223</v>
      </c>
      <c r="C17" s="54" t="s">
        <v>651</v>
      </c>
      <c r="D17" s="92"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level, # TODO MUST be atomic (1-2 simple lines max, e.g., basic attribute assignment, primitive print call, or direct comparison). NO complex buffer redirections or string parsing. - " &amp; IF(G9="Beginner","5–15", IF(G9="Intermediate","10–25","15–35")) &amp; " 5–15 lines of EXECUTABLE base code. Code outside # TODO MUST be 100% valid and readable. All code MUST be encapsulated within a class structure; NEVER use flat linear scripts. | " &amp;</v>
      </c>
      <c r="E17" s="77" t="str">
        <f t="shared" si="0"/>
        <v>"[CHALLENGE_CONSTRAINTS_POLICY] For Beginner level, # TODO MUST be atomic (1-2 simple lines max, e.g., basic attribute assignment, primitive print call, or direct comparison). NO complex buffer redirections or string parsing. - " &amp; IF(G9="Beginner","5–15", IF(G9="Intermediate","10–25","15–35")) &amp; " 5–15 lines of EXECUTABLE base code. Code outside # TODO MUST be 100% valid and readable. All code MUST be encapsulated within a class structure; NEVER use flat linear scripts. | " &amp;</v>
      </c>
      <c r="F17" s="54" t="s">
        <v>224</v>
      </c>
    </row>
    <row r="18" spans="2:6">
      <c r="B18" s="83" t="s">
        <v>271</v>
      </c>
      <c r="C18" s="54" t="s">
        <v>207</v>
      </c>
      <c r="D18" s="92" t="s">
        <v>644</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338</v>
      </c>
      <c r="D20" s="92" t="s">
        <v>365</v>
      </c>
      <c r="E20" s="77" t="str">
        <f t="shared" si="0"/>
        <v>"[SCORING ENFORCEMENT RULE] Score MUST be ONLY 3, 4, or 5 | " &amp;</v>
      </c>
      <c r="F20" s="54" t="s">
        <v>224</v>
      </c>
    </row>
    <row r="21" spans="2:6">
      <c r="B21" s="84" t="s">
        <v>271</v>
      </c>
      <c r="C21" s="54" t="s">
        <v>339</v>
      </c>
      <c r="D21" s="92" t="s">
        <v>340</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341</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342</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343</v>
      </c>
      <c r="D25" s="92" t="s">
        <v>344</v>
      </c>
      <c r="E25" s="77" t="str">
        <f t="shared" si="0"/>
        <v>"[OUTPUT TRUNCATION RULE - STRICT] If expected output is long, display ONLY the first 5 lines. Ensure accuracy. Do NOT use ellipsis (...) | " &amp;</v>
      </c>
      <c r="F25" s="54" t="s">
        <v>224</v>
      </c>
    </row>
    <row r="26" spans="2:6">
      <c r="B26" s="54" t="s">
        <v>271</v>
      </c>
      <c r="C26" s="54" t="s">
        <v>345</v>
      </c>
      <c r="D26" s="92" t="s">
        <v>346</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347</v>
      </c>
      <c r="D27" s="92" t="s">
        <v>348</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349</v>
      </c>
      <c r="D28" s="92" t="s">
        <v>350</v>
      </c>
      <c r="E28" s="77" t="str">
        <f t="shared" si="0"/>
        <v>"[TODO VARIATION RULE] TODO sections MUST vary: Single-line TODO, Multiple TODOs, Small blocks (2–4 lines). | " &amp;</v>
      </c>
      <c r="F28" s="54" t="s">
        <v>224</v>
      </c>
    </row>
    <row r="29" spans="2:6">
      <c r="B29" s="54" t="s">
        <v>271</v>
      </c>
      <c r="C29" s="54" t="s">
        <v>351</v>
      </c>
      <c r="D29" s="92" t="s">
        <v>352</v>
      </c>
      <c r="E29" s="77" t="str">
        <f t="shared" si="0"/>
        <v>"[VARIABILITY RULE - STRICT] Each challenge MUST be structurally different. Vary: Code length, Logic type, Position of TODO, Number of TODOs (1–3), Data flow. | " &amp;</v>
      </c>
      <c r="F29" s="54" t="s">
        <v>224</v>
      </c>
    </row>
    <row r="30" spans="2:6">
      <c r="B30" s="54" t="s">
        <v>271</v>
      </c>
      <c r="C30" s="54" t="s">
        <v>353</v>
      </c>
      <c r="D30" s="92" t="s">
        <v>354</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355</v>
      </c>
      <c r="D31" s="92" t="s">
        <v>356</v>
      </c>
      <c r="E31" s="77" t="str">
        <f t="shared" si="0"/>
        <v>"[TODO ISOLATION RULE - STRICT] ALL missing, incorrect, or output-affecting logic MUST exist ONLY inside the TODO block. | " &amp;</v>
      </c>
      <c r="F31" s="54" t="s">
        <v>224</v>
      </c>
    </row>
    <row r="32" spans="2:6">
      <c r="B32" s="54" t="s">
        <v>271</v>
      </c>
      <c r="C32" s="54" t="s">
        <v>303</v>
      </c>
      <c r="D32" s="92" t="s">
        <v>357</v>
      </c>
      <c r="E32" s="77" t="str">
        <f t="shared" si="0"/>
        <v>"[NO SOLUTION RULE - STRICT] The code under the # TODO MUST be left empty or with a 'pass'. DO NOT write the actual solution. | " &amp;</v>
      </c>
      <c r="F32" s="54" t="s">
        <v>224</v>
      </c>
    </row>
    <row r="33" spans="2:6">
      <c r="B33" s="54" t="s">
        <v>271</v>
      </c>
      <c r="C33" s="54" t="s">
        <v>358</v>
      </c>
      <c r="D33" s="92" t="s">
        <v>359</v>
      </c>
      <c r="E33" s="77" t="str">
        <f t="shared" si="0"/>
        <v>"[OUTPUT VERIFICATION RULE] The base code MUST print the final variables/results evaluated in the TODO block to verify correctness. | " &amp;</v>
      </c>
      <c r="F33" s="54" t="s">
        <v>224</v>
      </c>
    </row>
    <row r="34" spans="2:6">
      <c r="B34" s="54" t="s">
        <v>271</v>
      </c>
      <c r="C34" s="54" t="s">
        <v>360</v>
      </c>
      <c r="D34" s="92" t="s">
        <v>361</v>
      </c>
      <c r="E34" s="77" t="str">
        <f t="shared" si="0"/>
        <v>"[TODO GUIDANCE RULE] Rule " &amp; IF(G9="Beginner", "Clear explicit hint (no code) | ", IF(G9="Intermediate", "Brief hint | ", "Minimal hint | ")) &amp; " | " &amp;</v>
      </c>
      <c r="F34" s="54" t="s">
        <v>224</v>
      </c>
    </row>
    <row r="35" spans="2:6">
      <c r="B35" s="54" t="s">
        <v>271</v>
      </c>
      <c r="C35" s="54" t="s">
        <v>216</v>
      </c>
      <c r="D35" s="92" t="s">
        <v>362</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364</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363</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441</v>
      </c>
      <c r="C45" s="74"/>
      <c r="E45" s="86"/>
    </row>
    <row r="46" spans="2:6">
      <c r="B46" s="76" t="s">
        <v>264</v>
      </c>
      <c r="C46" s="76" t="s">
        <v>577</v>
      </c>
      <c r="D46" s="76" t="s">
        <v>578</v>
      </c>
      <c r="E46" s="88" t="s">
        <v>265</v>
      </c>
      <c r="F46" s="32" t="s">
        <v>224</v>
      </c>
    </row>
    <row r="47" spans="2:6">
      <c r="B47" s="54" t="s">
        <v>222</v>
      </c>
      <c r="C47" s="54" t="s">
        <v>160</v>
      </c>
      <c r="D47" s="92" t="s">
        <v>336</v>
      </c>
      <c r="E47" s="77" t="str">
        <f t="shared" ref="E47:E76" si="1">IF(D47="","",""""&amp;C47&amp;" "&amp;IF(C47="[FOOTER RULE - STRICT]",D47,IF(RIGHT(D47,6)=" | "&amp;CHAR(34)&amp;" &amp;",D47,D47&amp;" | "&amp;CHAR(34)&amp;" &amp;")))</f>
        <v>"[ROLE] Tech Lead | " &amp;</v>
      </c>
      <c r="F47" s="32" t="s">
        <v>224</v>
      </c>
    </row>
    <row r="48" spans="2:6">
      <c r="B48" s="54" t="s">
        <v>222</v>
      </c>
      <c r="C48" s="54" t="s">
        <v>162</v>
      </c>
      <c r="D48" s="92" t="s">
        <v>366</v>
      </c>
      <c r="E48" s="77" t="str">
        <f t="shared" si="1"/>
        <v>"[TASK] Assign incomplete project script | " &amp;</v>
      </c>
      <c r="F48" s="32" t="s">
        <v>224</v>
      </c>
    </row>
    <row r="49" spans="2:6">
      <c r="B49" s="54" t="s">
        <v>222</v>
      </c>
      <c r="C49" s="54" t="s">
        <v>311</v>
      </c>
      <c r="D49" s="92" t="s">
        <v>165</v>
      </c>
      <c r="E49" s="77" t="str">
        <f t="shared" si="1"/>
        <v>"[PROJECT] " &amp; I9 &amp; " | " &amp;</v>
      </c>
      <c r="F49" s="32" t="s">
        <v>224</v>
      </c>
    </row>
    <row r="50" spans="2:6">
      <c r="B50" s="54" t="s">
        <v>222</v>
      </c>
      <c r="C50" s="54" t="s">
        <v>253</v>
      </c>
      <c r="D50" s="92" t="s">
        <v>712</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3" s="77" t="str">
        <f t="shared" si="1"/>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53" s="32" t="s">
        <v>224</v>
      </c>
    </row>
    <row r="54" spans="2:6">
      <c r="B54" s="54" t="s">
        <v>223</v>
      </c>
      <c r="C54" s="32" t="s">
        <v>172</v>
      </c>
      <c r="D54" s="92" t="s">
        <v>254</v>
      </c>
      <c r="E54"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489</v>
      </c>
      <c r="D55" s="92" t="s">
        <v>481</v>
      </c>
      <c r="E55" s="77"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586</v>
      </c>
      <c r="E56" s="77"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649</v>
      </c>
      <c r="D57" s="92" t="str">
        <f>Variables!E49 &amp; " | " &amp; CHAR(34) &amp; " &amp;"</f>
        <v>Require standard pip tooling and requirements.txt file for external dependencies when applicable. | " &amp;</v>
      </c>
      <c r="E57" s="77" t="str">
        <f t="shared" si="1"/>
        <v>"[EXTERNAL_PACKAGE_PROTOCOL] Require standard pip tooling and requirements.txt file for external dependencies when applicable. | " &amp;</v>
      </c>
      <c r="F57" s="32" t="s">
        <v>224</v>
      </c>
    </row>
    <row r="58" spans="2:6">
      <c r="B58" s="54" t="s">
        <v>223</v>
      </c>
      <c r="C58" s="32" t="s">
        <v>651</v>
      </c>
      <c r="D58" s="92"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MUST be between 25–40 lines of EXECUTABLE base Python code (STRICT: Do NOT count comments or # TODO blocks). " &amp; IF(G9="Beginner","25–40", IF(G9="Intermediate","30–60","40–100")) &amp; " Class-based object architecture. Require at least 1 class with internal state management. Logic integration located exclusively inside # TODO blocks. | " &amp;</v>
      </c>
      <c r="E58" s="77" t="str">
        <f t="shared" si="1"/>
        <v>"[CHALLENGE_CONSTRAINTS_POLICY] MUST be between 25–40 lines of EXECUTABLE base Python code (STRICT: Do NOT count comments or # TODO blocks). " &amp; IF(G9="Beginner","25–40", IF(G9="Intermediate","30–60","40–100")) &amp; " Class-based object architecture. Require at least 1 class with internal state management. Logic integration located exclusively inside # TODO blocks. | " &amp;</v>
      </c>
      <c r="F58" s="32" t="s">
        <v>224</v>
      </c>
    </row>
    <row r="59" spans="2:6">
      <c r="B59" s="54" t="s">
        <v>271</v>
      </c>
      <c r="C59" s="54" t="s">
        <v>207</v>
      </c>
      <c r="D59" s="92" t="s">
        <v>280</v>
      </c>
      <c r="E59" s="77" t="str">
        <f t="shared" si="1"/>
        <v>"[FORMAT RULE] Only valid markdown code blocks allowed | " &amp;</v>
      </c>
      <c r="F59" s="32" t="s">
        <v>224</v>
      </c>
    </row>
    <row r="60" spans="2:6">
      <c r="B60" s="54" t="s">
        <v>271</v>
      </c>
      <c r="C60" s="54" t="s">
        <v>209</v>
      </c>
      <c r="D60" s="92" t="s">
        <v>281</v>
      </c>
      <c r="E60" s="77" t="str">
        <f t="shared" si="1"/>
        <v>"[LANGUAGE TAG RULE] ALWAYS label markdown code blocks with the correct underlying programming language (e.g., python, javascript, sql) | " &amp;</v>
      </c>
      <c r="F60" s="32" t="s">
        <v>224</v>
      </c>
    </row>
    <row r="61" spans="2:6">
      <c r="B61" s="54" t="s">
        <v>271</v>
      </c>
      <c r="C61" s="54" t="s">
        <v>339</v>
      </c>
      <c r="D61" s="92" t="s">
        <v>367</v>
      </c>
      <c r="E61" s="77"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368</v>
      </c>
      <c r="E62" s="77"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369</v>
      </c>
      <c r="E63" s="77" t="str">
        <f t="shared" si="1"/>
        <v>"[OUTPUT CONTRACT] EXACTLY 1 project. Structure MUST be: Tech Lead Intro Message, Project: Objective (max 6 lines), Expected Output (code block), Incomplete Code | " &amp;</v>
      </c>
      <c r="F63" s="32" t="s">
        <v>224</v>
      </c>
    </row>
    <row r="64" spans="2:6">
      <c r="B64" s="54" t="s">
        <v>271</v>
      </c>
      <c r="C64" s="54" t="s">
        <v>370</v>
      </c>
      <c r="D64" s="92" t="s">
        <v>371</v>
      </c>
      <c r="E64" s="77" t="str">
        <f t="shared" si="1"/>
        <v>"[OUTPUT TRUNCATION RULE] If output is large, show only first 5 lines. Do NOT use ellipsis (...) | " &amp;</v>
      </c>
      <c r="F64" s="32" t="s">
        <v>224</v>
      </c>
    </row>
    <row r="65" spans="2:6">
      <c r="B65" s="54" t="s">
        <v>271</v>
      </c>
      <c r="C65" s="54" t="s">
        <v>345</v>
      </c>
      <c r="D65" s="92" t="s">
        <v>372</v>
      </c>
      <c r="E65" s="77" t="str">
        <f t="shared" si="1"/>
        <v>"[OUTPUT EXECUTION RULE - STRICT] Expected output MUST be explicit, complete, and produced via final print(). | " &amp;</v>
      </c>
      <c r="F65" s="32" t="s">
        <v>224</v>
      </c>
    </row>
    <row r="66" spans="2:6">
      <c r="B66" s="54" t="s">
        <v>271</v>
      </c>
      <c r="C66" s="54" t="s">
        <v>347</v>
      </c>
      <c r="D66" s="92" t="s">
        <v>373</v>
      </c>
      <c r="E66" s="77" t="str">
        <f t="shared" si="1"/>
        <v>"[BASE CODE INTEGRITY RULE - STRICT] Code outside the TODO block MUST be 100% valid, logically correct, and run without errors. Do NOT use 'pass', '...', or empty placeholders outside the TODO. | " &amp;</v>
      </c>
      <c r="F66" s="32" t="s">
        <v>224</v>
      </c>
    </row>
    <row r="67" spans="2:6">
      <c r="B67" s="54" t="s">
        <v>271</v>
      </c>
      <c r="C67" s="54" t="s">
        <v>374</v>
      </c>
      <c r="D67" s="92" t="s">
        <v>375</v>
      </c>
      <c r="E67" s="77" t="str">
        <f t="shared" si="1"/>
        <v>"[TODO REALISM RULE] TODO must represent realistic integration bugs. Describe what is incorrect/incomplete. | " &amp;</v>
      </c>
      <c r="F67" s="32" t="s">
        <v>224</v>
      </c>
    </row>
    <row r="68" spans="2:6">
      <c r="B68" s="54" t="s">
        <v>271</v>
      </c>
      <c r="C68" s="54" t="s">
        <v>355</v>
      </c>
      <c r="D68" s="92" t="s">
        <v>376</v>
      </c>
      <c r="E68" s="77" t="str">
        <f t="shared" si="1"/>
        <v>"[TODO ISOLATION RULE - STRICT] ALL missing, incorrect, or output-affecting logic MUST exist ONLY inside the TODO block. Replace ONLY integration logic. | " &amp;</v>
      </c>
      <c r="F68" s="32" t="s">
        <v>224</v>
      </c>
    </row>
    <row r="69" spans="2:6">
      <c r="B69" s="54" t="s">
        <v>271</v>
      </c>
      <c r="C69" s="54" t="s">
        <v>303</v>
      </c>
      <c r="D69" s="92" t="s">
        <v>357</v>
      </c>
      <c r="E69" s="77" t="str">
        <f t="shared" si="1"/>
        <v>"[NO SOLUTION RULE - STRICT] The code under the # TODO MUST be left empty or with a 'pass'. DO NOT write the actual solution. | " &amp;</v>
      </c>
      <c r="F69" s="32" t="s">
        <v>224</v>
      </c>
    </row>
    <row r="70" spans="2:6">
      <c r="B70" s="54" t="s">
        <v>271</v>
      </c>
      <c r="C70" s="54" t="s">
        <v>216</v>
      </c>
      <c r="D70" s="92" t="s">
        <v>377</v>
      </c>
      <c r="E70" s="77" t="str">
        <f t="shared" si="1"/>
        <v>"[OUTPUT] Only header, dataset summary or statement (if any), intro message, objective, expected output, incomplete code, and footer | " &amp;</v>
      </c>
      <c r="F70" s="32" t="s">
        <v>224</v>
      </c>
    </row>
    <row r="71" spans="2:6">
      <c r="B71" s="54" t="s">
        <v>271</v>
      </c>
      <c r="C71" s="54" t="s">
        <v>220</v>
      </c>
      <c r="D71" s="92" t="s">
        <v>378</v>
      </c>
      <c r="E71" s="77"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1"/>
        <v/>
      </c>
      <c r="F72" s="32" t="s">
        <v>224</v>
      </c>
    </row>
    <row r="73" spans="2:6">
      <c r="B73" s="54"/>
      <c r="C73" s="54"/>
      <c r="D73" s="92"/>
      <c r="E73" s="77" t="str">
        <f t="shared" si="1"/>
        <v/>
      </c>
      <c r="F73" s="32" t="s">
        <v>224</v>
      </c>
    </row>
    <row r="74" spans="2:6">
      <c r="B74" s="54"/>
      <c r="C74" s="54"/>
      <c r="D74" s="92"/>
      <c r="E74" s="77" t="str">
        <f t="shared" si="1"/>
        <v/>
      </c>
      <c r="F74" s="32" t="s">
        <v>224</v>
      </c>
    </row>
    <row r="75" spans="2:6">
      <c r="B75" s="54"/>
      <c r="C75" s="54"/>
      <c r="D75" s="92"/>
      <c r="E75" s="77" t="str">
        <f t="shared" si="1"/>
        <v/>
      </c>
      <c r="F75" s="32" t="s">
        <v>224</v>
      </c>
    </row>
    <row r="76" spans="2:6">
      <c r="B76" s="54"/>
      <c r="C76" s="54"/>
      <c r="D76" s="92"/>
      <c r="E76" s="77" t="str">
        <f t="shared" si="1"/>
        <v/>
      </c>
      <c r="F76" s="32" t="s">
        <v>224</v>
      </c>
    </row>
    <row r="77" spans="2:6">
      <c r="E77" s="86"/>
      <c r="F77" t="s">
        <v>224</v>
      </c>
    </row>
    <row r="79" spans="2:6" ht="36">
      <c r="B79" s="80" t="s">
        <v>439</v>
      </c>
    </row>
    <row r="80" spans="2:6">
      <c r="B80" s="76" t="s">
        <v>221</v>
      </c>
      <c r="C80" s="76" t="s">
        <v>577</v>
      </c>
      <c r="D80" s="76" t="s">
        <v>578</v>
      </c>
      <c r="E80" s="89" t="s">
        <v>234</v>
      </c>
      <c r="F80" s="54" t="s">
        <v>224</v>
      </c>
    </row>
    <row r="81" spans="2:6">
      <c r="B81" s="54" t="s">
        <v>222</v>
      </c>
      <c r="C81" s="54" t="s">
        <v>380</v>
      </c>
      <c r="D81" s="92" t="s">
        <v>381</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382</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715</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383</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2"/>
        <v>"[LIBRARY BEING LEARNED] " &amp; $I$3 &amp; " | " &amp;</v>
      </c>
      <c r="F85" s="54" t="s">
        <v>224</v>
      </c>
    </row>
    <row r="86" spans="2:6">
      <c r="B86" s="54" t="s">
        <v>222</v>
      </c>
      <c r="C86" s="54" t="s">
        <v>172</v>
      </c>
      <c r="D86" s="92"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2" t="s">
        <v>481</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587</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2"/>
        <v/>
      </c>
      <c r="F89" s="54" t="s">
        <v>224</v>
      </c>
    </row>
    <row r="90" spans="2:6">
      <c r="B90" s="54" t="s">
        <v>223</v>
      </c>
      <c r="C90" s="32" t="s">
        <v>747</v>
      </c>
      <c r="D90" s="92" t="str">
        <f>Variables!E52 &amp; " " &amp; Variables!E53 &amp; " " &amp; Variables!E54 &amp; " " &amp; Variables!E55 &amp; " | " &amp; CHAR(34) &amp; " &amp;"</f>
        <v>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 &amp;</v>
      </c>
      <c r="E90" s="17" t="str">
        <f t="shared" si="2"/>
        <v>"[CORE_QUALITY_POLICY]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 &amp;</v>
      </c>
      <c r="F90" s="54" t="s">
        <v>224</v>
      </c>
    </row>
    <row r="91" spans="2:6">
      <c r="B91" s="54" t="s">
        <v>271</v>
      </c>
      <c r="C91" s="54" t="s">
        <v>238</v>
      </c>
      <c r="D91" s="92" t="s">
        <v>384</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385</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386</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387</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328</v>
      </c>
      <c r="D95" s="92" t="s">
        <v>388</v>
      </c>
      <c r="E95" s="17" t="str">
        <f t="shared" si="2"/>
        <v>"[FOOTER RULE] End your response with: '--- ⚡ *Coding5s Mentor System — Eliminating Epistemic Debt &amp; Connecting the Flow*',</v>
      </c>
      <c r="F95" s="54" t="s">
        <v>224</v>
      </c>
    </row>
    <row r="96" spans="2:6">
      <c r="B96" s="54"/>
      <c r="C96" s="54"/>
      <c r="D96" s="54"/>
      <c r="E96" s="89" t="s">
        <v>334</v>
      </c>
      <c r="F96" s="54" t="s">
        <v>224</v>
      </c>
    </row>
    <row r="97" spans="2:6">
      <c r="B97" s="54"/>
      <c r="C97" s="54"/>
      <c r="D97" s="54"/>
      <c r="E97" s="77" t="str">
        <f t="shared" ref="E97:E100" si="3">IF(D97="","",""""&amp;C97&amp;" "&amp;IF(C97="[FOOTER RULE - STRICT]",D97,IF(RIGHT(D97,6)=" | "&amp;CHAR(34)&amp;" &amp;",D97,D97&amp;" | "&amp;CHAR(34)&amp;" &amp;")))</f>
        <v/>
      </c>
      <c r="F97" s="54" t="s">
        <v>224</v>
      </c>
    </row>
    <row r="98" spans="2:6">
      <c r="B98" s="54"/>
      <c r="C98" s="54"/>
      <c r="D98" s="54"/>
      <c r="E98" s="77" t="str">
        <f t="shared" si="3"/>
        <v/>
      </c>
      <c r="F98" s="54" t="s">
        <v>224</v>
      </c>
    </row>
    <row r="99" spans="2:6">
      <c r="B99" s="54"/>
      <c r="C99" s="54"/>
      <c r="D99" s="54"/>
      <c r="E99" s="77" t="str">
        <f t="shared" si="3"/>
        <v/>
      </c>
      <c r="F99" s="54" t="s">
        <v>224</v>
      </c>
    </row>
    <row r="100" spans="2:6">
      <c r="B100" s="54"/>
      <c r="C100" s="54"/>
      <c r="D100" s="54"/>
      <c r="E100" s="77"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76"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438</v>
      </c>
      <c r="D2" s="81" t="s">
        <v>411</v>
      </c>
      <c r="H2" s="82"/>
      <c r="T2" s="82"/>
    </row>
    <row r="3" spans="2:29">
      <c r="B3" s="76" t="s">
        <v>221</v>
      </c>
      <c r="C3" s="76" t="s">
        <v>577</v>
      </c>
      <c r="D3" s="76" t="s">
        <v>578</v>
      </c>
      <c r="E3" s="88" t="s">
        <v>228</v>
      </c>
      <c r="F3" s="4" t="s">
        <v>224</v>
      </c>
      <c r="AC3" t="s">
        <v>224</v>
      </c>
    </row>
    <row r="4" spans="2:29">
      <c r="B4" s="75" t="s">
        <v>222</v>
      </c>
      <c r="C4" s="54" t="s">
        <v>160</v>
      </c>
      <c r="D4" s="90" t="s">
        <v>336</v>
      </c>
      <c r="E4" s="77" t="str">
        <f t="shared" ref="E4:E39" si="0">IF(D4="","",""""&amp;C4&amp;" "&amp;IF(C4="[FOOTER RULE - STRICT]",D4,IF(RIGHT(D4,6)=" | "&amp;CHAR(34)&amp;" &amp;",D4,D4&amp;" | "&amp;CHAR(34)&amp;" &amp;")))</f>
        <v>"[ROLE] Tech Lead | " &amp;</v>
      </c>
      <c r="F4" s="54" t="s">
        <v>224</v>
      </c>
    </row>
    <row r="5" spans="2:29">
      <c r="B5" s="75" t="s">
        <v>222</v>
      </c>
      <c r="C5" s="54" t="s">
        <v>162</v>
      </c>
      <c r="D5" s="90" t="s">
        <v>389</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Must include 'import customtkinter as ctk' on its own dedicated top-level line, separated by a newline from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v>
      </c>
      <c r="E10" s="77" t="str">
        <f t="shared" si="0"/>
        <v>"[ECOSYSTEM ORIENTATION RULE] If a module or ecosystem like Must include 'import customtkinter as ctk' on its own dedicated top-level line, separated by a newline from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v>
      </c>
      <c r="F10" s="54" t="s">
        <v>224</v>
      </c>
    </row>
    <row r="11" spans="2:29">
      <c r="B11" s="75" t="s">
        <v>222</v>
      </c>
      <c r="C11" s="54" t="s">
        <v>170</v>
      </c>
      <c r="D11" s="90" t="s">
        <v>390</v>
      </c>
      <c r="E11" s="77" t="str">
        <f t="shared" si="0"/>
        <v>"[PERSONA RULE] Act as a Tech Lead. A junior wrote this working but messy code. Tone: professional but exhausted by the code quality | " &amp;</v>
      </c>
      <c r="F11" s="54" t="s">
        <v>224</v>
      </c>
    </row>
    <row r="12" spans="2:29">
      <c r="B12" s="75" t="s">
        <v>222</v>
      </c>
      <c r="C12" s="54" t="s">
        <v>172</v>
      </c>
      <c r="D12" s="90" t="s">
        <v>391</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588</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489</v>
      </c>
      <c r="D14" s="90" t="s">
        <v>481</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392</v>
      </c>
      <c r="E18" s="77" t="str">
        <f t="shared" si="0"/>
        <v>"[CODE QUALITY RULE] Code MUST be executable and correct BUT intentionally messy, inconsistent, or suboptimal | " &amp;</v>
      </c>
      <c r="F18" s="54" t="s">
        <v>224</v>
      </c>
    </row>
    <row r="19" spans="2:6">
      <c r="B19" s="54" t="s">
        <v>271</v>
      </c>
      <c r="C19" s="54" t="s">
        <v>393</v>
      </c>
      <c r="D19" s="90" t="s">
        <v>394</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395</v>
      </c>
      <c r="D20" s="90" t="s">
        <v>396</v>
      </c>
      <c r="E20" s="77" t="str">
        <f t="shared" si="0"/>
        <v>"[STYLE INCONSISTENCY RULE] Each challenge should feel like it was written at a different time with different formatting styles | " &amp;</v>
      </c>
      <c r="F20" s="54" t="s">
        <v>224</v>
      </c>
    </row>
    <row r="21" spans="2:6">
      <c r="B21" s="54" t="s">
        <v>271</v>
      </c>
      <c r="C21" s="54" t="s">
        <v>188</v>
      </c>
      <c r="D21" s="90" t="s">
        <v>660</v>
      </c>
      <c r="E21" s="77" t="str">
        <f t="shared" si="0"/>
        <v>"[FILE HANDLING RULE] Use correct loaders and enforce encoding='utf-8' and newline='' when applicable if the programming language supports it. | " &amp;</v>
      </c>
      <c r="F21" s="54" t="s">
        <v>224</v>
      </c>
    </row>
    <row r="22" spans="2:6">
      <c r="B22" s="54" t="s">
        <v>271</v>
      </c>
      <c r="C22" s="54" t="s">
        <v>189</v>
      </c>
      <c r="D22" s="90" t="s">
        <v>659</v>
      </c>
      <c r="E22" s="77" t="str">
        <f t="shared" si="0"/>
        <v>"[DATA TYPE RULE] Explicit casting required before calculations when the programming language requires it. | " &amp;</v>
      </c>
      <c r="F22" s="54" t="s">
        <v>224</v>
      </c>
    </row>
    <row r="23" spans="2:6">
      <c r="B23" s="54" t="s">
        <v>271</v>
      </c>
      <c r="C23" s="54" t="s">
        <v>190</v>
      </c>
      <c r="D23" s="90" t="s">
        <v>397</v>
      </c>
      <c r="E23" s="77" t="str">
        <f t="shared" si="0"/>
        <v>"[DATA ROBUSTNESS RULE] Handle missing, malformed, or inconsistent data safely | " &amp;</v>
      </c>
      <c r="F23" s="54" t="s">
        <v>224</v>
      </c>
    </row>
    <row r="24" spans="2:6">
      <c r="B24" s="54" t="s">
        <v>271</v>
      </c>
      <c r="C24" s="54" t="s">
        <v>191</v>
      </c>
      <c r="D24" s="90" t="s">
        <v>658</v>
      </c>
      <c r="E24" s="77" t="str">
        <f t="shared" si="0"/>
        <v>"[BOOLEAN HANDLING RULE] Normalize boolean values before comparison when the programming language requires it. | " &amp;</v>
      </c>
      <c r="F24" s="54" t="s">
        <v>224</v>
      </c>
    </row>
    <row r="25" spans="2:6">
      <c r="B25" s="54" t="s">
        <v>271</v>
      </c>
      <c r="C25" s="54" t="s">
        <v>192</v>
      </c>
      <c r="D25" s="90" t="s">
        <v>398</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399</v>
      </c>
      <c r="E28" s="77" t="str">
        <f t="shared" si="0"/>
        <v>"[OUTPUT FORMAT RULE] Monetary values formatted with '$', commas, 2 decimals | " &amp;</v>
      </c>
      <c r="F28" s="54" t="s">
        <v>224</v>
      </c>
    </row>
    <row r="29" spans="2:6">
      <c r="B29" s="54" t="s">
        <v>271</v>
      </c>
      <c r="C29" s="54" t="s">
        <v>216</v>
      </c>
      <c r="D29" s="90" t="s">
        <v>400</v>
      </c>
      <c r="E29" s="77" t="str">
        <f t="shared" si="0"/>
        <v>"[OUTPUT] Only header, dataset summary or statement (if any), intro, challenges, code, outputs, and footer | " &amp;</v>
      </c>
      <c r="F29" s="54" t="s">
        <v>224</v>
      </c>
    </row>
    <row r="30" spans="2:6">
      <c r="B30" s="54" t="s">
        <v>271</v>
      </c>
      <c r="C30" s="54" t="s">
        <v>174</v>
      </c>
      <c r="D30" s="90" t="s">
        <v>340</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401</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402</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403</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404</v>
      </c>
      <c r="D34" s="90" t="s">
        <v>405</v>
      </c>
      <c r="E34" s="77" t="str">
        <f t="shared" si="0"/>
        <v>"[REVIEW INTENT RULE] The user is expected to review, identify issues, and refactor the code to production-level quality | " &amp;</v>
      </c>
      <c r="F34" s="54" t="s">
        <v>224</v>
      </c>
    </row>
    <row r="35" spans="2:6">
      <c r="B35" s="54" t="s">
        <v>271</v>
      </c>
      <c r="C35" s="54" t="s">
        <v>178</v>
      </c>
      <c r="D35" s="90" t="s">
        <v>406</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407</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408</v>
      </c>
      <c r="E37" s="77" t="str">
        <f t="shared" si="0"/>
        <v>"[DIFFICULTY RULE] Complexity MUST match level | " &amp;</v>
      </c>
      <c r="F37" s="54" t="s">
        <v>224</v>
      </c>
    </row>
    <row r="38" spans="2:6">
      <c r="B38" s="54" t="s">
        <v>271</v>
      </c>
      <c r="C38" s="54" t="s">
        <v>409</v>
      </c>
      <c r="D38" s="90" t="s">
        <v>410</v>
      </c>
      <c r="E38" s="77" t="str">
        <f t="shared" si="0"/>
        <v>"[DIFFICULTY CONSISTENCY RULE] All challenges MUST have similar complexity and length, even if coding styles differ | " &amp;</v>
      </c>
      <c r="F38" s="54" t="s">
        <v>224</v>
      </c>
    </row>
    <row r="39" spans="2:6">
      <c r="B39" s="54" t="s">
        <v>271</v>
      </c>
      <c r="C39" s="54" t="s">
        <v>220</v>
      </c>
      <c r="D39" s="90" t="s">
        <v>364</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412</v>
      </c>
      <c r="F40" s="54" t="s">
        <v>224</v>
      </c>
    </row>
    <row r="41" spans="2:6">
      <c r="B41" s="54"/>
      <c r="C41" s="54"/>
      <c r="D41" s="90"/>
      <c r="E41" s="77"/>
      <c r="F41" s="54"/>
    </row>
    <row r="42" spans="2:6">
      <c r="B42" s="74"/>
      <c r="C42" s="74"/>
      <c r="E42" s="86"/>
    </row>
    <row r="43" spans="2:6">
      <c r="B43" s="74"/>
      <c r="C43" s="74"/>
      <c r="E43" s="86"/>
    </row>
    <row r="44" spans="2:6" ht="36">
      <c r="B44" s="79" t="s">
        <v>437</v>
      </c>
      <c r="C44" s="74"/>
      <c r="E44" s="86"/>
    </row>
    <row r="45" spans="2:6">
      <c r="B45" s="76" t="s">
        <v>264</v>
      </c>
      <c r="C45" s="76" t="s">
        <v>577</v>
      </c>
      <c r="D45" s="76" t="s">
        <v>578</v>
      </c>
      <c r="E45" s="88" t="s">
        <v>265</v>
      </c>
      <c r="F45" s="32" t="s">
        <v>224</v>
      </c>
    </row>
    <row r="46" spans="2:6">
      <c r="B46" s="54" t="s">
        <v>222</v>
      </c>
      <c r="C46" s="54" t="s">
        <v>160</v>
      </c>
      <c r="D46" s="90" t="s">
        <v>336</v>
      </c>
      <c r="E46" s="77" t="str">
        <f>IF(D46="","",""""&amp;C46&amp;" "&amp;IF(C46="[FOOTER RULE - STRICT]",D46,IF(RIGHT(D46,6)=" | "&amp;CHAR(34)&amp;" &amp;",D46,D46&amp;" | "&amp;CHAR(34)&amp;" &amp;")))</f>
        <v>"[ROLE] Tech Lead | " &amp;</v>
      </c>
      <c r="F46" s="32" t="s">
        <v>224</v>
      </c>
    </row>
    <row r="47" spans="2:6">
      <c r="B47" s="54" t="s">
        <v>222</v>
      </c>
      <c r="C47" s="54" t="s">
        <v>162</v>
      </c>
      <c r="D47" s="90" t="s">
        <v>413</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311</v>
      </c>
      <c r="D48" s="90" t="s">
        <v>165</v>
      </c>
      <c r="E48" s="77" t="str">
        <f t="shared" si="1"/>
        <v>"[PROJECT] " &amp; I9 &amp; " | " &amp;</v>
      </c>
      <c r="F48" s="32" t="s">
        <v>224</v>
      </c>
    </row>
    <row r="49" spans="2:6">
      <c r="B49" s="54" t="s">
        <v>222</v>
      </c>
      <c r="C49" s="54" t="s">
        <v>253</v>
      </c>
      <c r="D49" s="90" t="s">
        <v>712</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414</v>
      </c>
      <c r="E51" s="77" t="str">
        <f t="shared" si="1"/>
        <v>"[PERSONA RULE] Act as a Tech Lead. A junior wrote this working but messy code. Tone: professional but exhausted | " &amp;</v>
      </c>
      <c r="F51" s="32" t="s">
        <v>224</v>
      </c>
    </row>
    <row r="52" spans="2:6">
      <c r="B52" s="54" t="s">
        <v>222</v>
      </c>
      <c r="C52" s="54" t="s">
        <v>215</v>
      </c>
      <c r="D52" s="90" t="s">
        <v>589</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Must include 'import customtkinter as ctk' on its own dedicated top-level line, separated by a newline from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489</v>
      </c>
      <c r="D56" s="90" t="s">
        <v>481</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415</v>
      </c>
      <c r="E60" s="77" t="str">
        <f t="shared" si="1"/>
        <v>"[CODE QUALITY RULE] Code MUST be correct and executable but not perfectly clean | " &amp;</v>
      </c>
      <c r="F60" s="32" t="s">
        <v>224</v>
      </c>
    </row>
    <row r="61" spans="2:6">
      <c r="B61" s="54" t="s">
        <v>271</v>
      </c>
      <c r="C61" s="54" t="s">
        <v>393</v>
      </c>
      <c r="D61" s="90" t="s">
        <v>416</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417</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418</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419</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420</v>
      </c>
      <c r="E67" s="77" t="str">
        <f t="shared" si="1"/>
        <v>"[OUTPUT CONTRACT] EXACTLY 1 project. Structure MUST be: 1. Tech Lead Intro Email 2. Project: Objective (max 6 lines), Expected Output (code block), Dirty Code | " &amp;</v>
      </c>
      <c r="F67" s="32" t="s">
        <v>224</v>
      </c>
    </row>
    <row r="68" spans="2:6">
      <c r="B68" s="54" t="s">
        <v>271</v>
      </c>
      <c r="C68" s="54" t="s">
        <v>404</v>
      </c>
      <c r="D68" s="90" t="s">
        <v>421</v>
      </c>
      <c r="E68" s="77" t="str">
        <f t="shared" si="1"/>
        <v>"[REVIEW INTENT RULE] The user is expected to review and refactor the project to improve structure, readability, and maintainability | " &amp;</v>
      </c>
      <c r="F68" s="32" t="s">
        <v>224</v>
      </c>
    </row>
    <row r="69" spans="2:6">
      <c r="B69" s="54" t="s">
        <v>271</v>
      </c>
      <c r="C69" s="54" t="s">
        <v>178</v>
      </c>
      <c r="D69" s="90" t="s">
        <v>422</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423</v>
      </c>
      <c r="E70" s="77" t="str">
        <f t="shared" si="1"/>
        <v>"[SUPPORT FILES RULE] Include config files before code if needed | " &amp;</v>
      </c>
      <c r="F70" s="32" t="s">
        <v>224</v>
      </c>
    </row>
    <row r="71" spans="2:6">
      <c r="B71" s="54" t="s">
        <v>271</v>
      </c>
      <c r="C71" s="54" t="s">
        <v>259</v>
      </c>
      <c r="D71" s="90" t="s">
        <v>424</v>
      </c>
      <c r="E71" s="77" t="str">
        <f t="shared" si="1"/>
        <v>"[EXECUTION RULE] Code MUST run and produce correct output | " &amp;</v>
      </c>
      <c r="F71" s="32" t="s">
        <v>224</v>
      </c>
    </row>
    <row r="72" spans="2:6">
      <c r="B72" s="54" t="s">
        <v>271</v>
      </c>
      <c r="C72" s="54" t="s">
        <v>212</v>
      </c>
      <c r="D72" s="90" t="s">
        <v>425</v>
      </c>
      <c r="E72" s="77" t="str">
        <f t="shared" si="1"/>
        <v>"[CONSISTENCY RULE] Project must match objective | " &amp;</v>
      </c>
      <c r="F72" s="32" t="s">
        <v>224</v>
      </c>
    </row>
    <row r="73" spans="2:6">
      <c r="B73" s="54" t="s">
        <v>271</v>
      </c>
      <c r="C73" s="54" t="s">
        <v>216</v>
      </c>
      <c r="D73" s="90" t="s">
        <v>426</v>
      </c>
      <c r="E73" s="77" t="str">
        <f t="shared" si="1"/>
        <v>"[OUTPUT] Only header, dataset summary or statement (if any), intro email, objective, expected output, code, and footer | " &amp;</v>
      </c>
      <c r="F73" s="32" t="s">
        <v>224</v>
      </c>
    </row>
    <row r="74" spans="2:6">
      <c r="B74" s="54" t="s">
        <v>271</v>
      </c>
      <c r="C74" s="54" t="s">
        <v>220</v>
      </c>
      <c r="D74" s="90" t="s">
        <v>378</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436</v>
      </c>
    </row>
    <row r="80" spans="2:6">
      <c r="B80" s="76" t="s">
        <v>221</v>
      </c>
      <c r="C80" s="76" t="s">
        <v>577</v>
      </c>
      <c r="D80" s="76" t="s">
        <v>578</v>
      </c>
      <c r="E80" s="89" t="s">
        <v>234</v>
      </c>
      <c r="F80" s="54" t="s">
        <v>224</v>
      </c>
    </row>
    <row r="81" spans="2:6">
      <c r="B81" s="54" t="s">
        <v>222</v>
      </c>
      <c r="C81" s="54" t="s">
        <v>427</v>
      </c>
      <c r="D81" s="90" t="s">
        <v>428</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429</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716</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430</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0" t="s">
        <v>481</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590</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Variables!E56 &amp; " | " &amp; CHAR(34) &amp; " &amp;"</f>
        <v>Code MUST adhere strictly to PEP 8 guidelines. Use PascalCase for Classes, snake_case for methods/variables. Enforce solid OOP patterns: encapsulation, inheritance, and object composition. | " &amp;</v>
      </c>
      <c r="E91" s="17" t="str">
        <f t="shared" si="2"/>
        <v>"[PYTHON QUALITY RULE - STRICT] Code MUST adhere strictly to PEP 8 guidelines. Use PascalCase for Classes, snake_case for methods/variables. Enforce solid OOP patterns: encapsulation, inheritance, and object composition. | " &amp;</v>
      </c>
      <c r="F91" s="54" t="s">
        <v>224</v>
      </c>
    </row>
    <row r="92" spans="2:6">
      <c r="B92" s="54" t="s">
        <v>271</v>
      </c>
      <c r="C92" s="54" t="s">
        <v>238</v>
      </c>
      <c r="D92" s="90" t="s">
        <v>431</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432</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433</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434</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328</v>
      </c>
      <c r="D96" s="90" t="s">
        <v>498</v>
      </c>
      <c r="E96" s="17" t="str">
        <f t="shared" si="2"/>
        <v>"[FOOTER RULE] End your response with: '--- ⚡ *Coding5s Mentor System — Eliminating Technical Debt with Elegance*'",</v>
      </c>
      <c r="F96" s="54" t="s">
        <v>224</v>
      </c>
    </row>
    <row r="97" spans="2:6">
      <c r="B97" s="54"/>
      <c r="C97" s="54"/>
      <c r="D97" s="90"/>
      <c r="E97" s="88" t="s">
        <v>435</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9"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447</v>
      </c>
      <c r="D2" s="81" t="s">
        <v>448</v>
      </c>
      <c r="H2" s="82"/>
      <c r="T2" s="82"/>
    </row>
    <row r="3" spans="2:29">
      <c r="B3" s="76" t="s">
        <v>221</v>
      </c>
      <c r="C3" s="76" t="s">
        <v>577</v>
      </c>
      <c r="D3" s="76" t="s">
        <v>578</v>
      </c>
      <c r="E3" s="88" t="s">
        <v>228</v>
      </c>
      <c r="F3" s="4" t="s">
        <v>224</v>
      </c>
      <c r="AC3" t="s">
        <v>224</v>
      </c>
    </row>
    <row r="4" spans="2:29">
      <c r="B4" s="75" t="s">
        <v>222</v>
      </c>
      <c r="C4" s="54" t="s">
        <v>160</v>
      </c>
      <c r="D4" s="91" t="s">
        <v>451</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452</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Must include 'import customtkinter as ctk' on its own dedicated top-level line, separated by a newline from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v>
      </c>
      <c r="E9" s="77" t="str">
        <f t="shared" si="0"/>
        <v>"[ECOSYSTEM ORIENTATION RULE] If a module or ecosystem like Must include 'import customtkinter as ctk' on its own dedicated top-level line, separated by a newline from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v>
      </c>
      <c r="F9" s="54" t="s">
        <v>224</v>
      </c>
    </row>
    <row r="10" spans="2:29">
      <c r="B10" s="75" t="s">
        <v>222</v>
      </c>
      <c r="C10" s="54" t="s">
        <v>170</v>
      </c>
      <c r="D10" s="91" t="s">
        <v>453</v>
      </c>
      <c r="E10" s="77" t="str">
        <f t="shared" si="0"/>
        <v>"[PERSONA RULE] Act as a professional Tech Product Manager writing clear Jira tickets | " &amp;</v>
      </c>
      <c r="F10" s="54" t="s">
        <v>224</v>
      </c>
    </row>
    <row r="11" spans="2:29">
      <c r="B11" s="75" t="s">
        <v>222</v>
      </c>
      <c r="C11" s="54" t="s">
        <v>172</v>
      </c>
      <c r="D11" s="91" t="s">
        <v>391</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489</v>
      </c>
      <c r="D12" s="91" t="s">
        <v>481</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591</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667</v>
      </c>
      <c r="D16" s="91" t="s">
        <v>458</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666</v>
      </c>
      <c r="D17" s="91" t="s">
        <v>668</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459</v>
      </c>
      <c r="E18" s="77" t="str">
        <f t="shared" si="0"/>
        <v>"[CODE QUALITY RULE] Code MUST be clean, readable, and production-like | " &amp;</v>
      </c>
      <c r="F18" s="54" t="s">
        <v>224</v>
      </c>
    </row>
    <row r="19" spans="2:6">
      <c r="B19" s="54" t="s">
        <v>271</v>
      </c>
      <c r="C19" s="54" t="s">
        <v>188</v>
      </c>
      <c r="D19" s="91" t="s">
        <v>665</v>
      </c>
      <c r="E19" s="77" t="str">
        <f t="shared" si="0"/>
        <v>"[FILE HANDLING RULE] Use correct loaders and enforce encoding='utf-8' and newline=' when applicable or supported by the programming language. | " &amp;</v>
      </c>
      <c r="F19" s="54" t="s">
        <v>224</v>
      </c>
    </row>
    <row r="20" spans="2:6">
      <c r="B20" s="54" t="s">
        <v>271</v>
      </c>
      <c r="C20" s="54" t="s">
        <v>189</v>
      </c>
      <c r="D20" s="91" t="s">
        <v>664</v>
      </c>
      <c r="E20" s="77" t="str">
        <f t="shared" si="0"/>
        <v>"[DATA TYPE RULE] Explicit casting required before calculations if the programming language requires it. | " &amp;</v>
      </c>
      <c r="F20" s="54" t="s">
        <v>224</v>
      </c>
    </row>
    <row r="21" spans="2:6">
      <c r="B21" s="54" t="s">
        <v>271</v>
      </c>
      <c r="C21" s="54" t="s">
        <v>190</v>
      </c>
      <c r="D21" s="91" t="s">
        <v>460</v>
      </c>
      <c r="E21" s="77" t="str">
        <f t="shared" si="0"/>
        <v>"[DATA ROBUSTNESS RULE] Handle missing or malformed data safely | " &amp;</v>
      </c>
      <c r="F21" s="54" t="s">
        <v>224</v>
      </c>
    </row>
    <row r="22" spans="2:6">
      <c r="B22" s="54" t="s">
        <v>271</v>
      </c>
      <c r="C22" s="54" t="s">
        <v>191</v>
      </c>
      <c r="D22" s="91" t="s">
        <v>663</v>
      </c>
      <c r="E22" s="77" t="str">
        <f t="shared" si="0"/>
        <v>"[BOOLEAN HANDLING RULE] Normalize boolean values before comparison if the programming language requires it. | " &amp;</v>
      </c>
      <c r="F22" s="54" t="s">
        <v>224</v>
      </c>
    </row>
    <row r="23" spans="2:6">
      <c r="B23" s="54" t="s">
        <v>271</v>
      </c>
      <c r="C23" s="54" t="s">
        <v>192</v>
      </c>
      <c r="D23" s="91" t="s">
        <v>398</v>
      </c>
      <c r="E23" s="77" t="str">
        <f t="shared" si="0"/>
        <v>"[DATA CONSISTENCY RULE] Respect dataset schema | " &amp;</v>
      </c>
      <c r="F23" s="54" t="s">
        <v>224</v>
      </c>
    </row>
    <row r="24" spans="2:6">
      <c r="B24" s="54" t="s">
        <v>271</v>
      </c>
      <c r="C24" s="54" t="s">
        <v>454</v>
      </c>
      <c r="D24" s="91" t="s">
        <v>455</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670</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401</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488</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456</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461</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408</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462</v>
      </c>
      <c r="E33" s="77" t="str">
        <f t="shared" si="0"/>
        <v>"[OUTPUT] Only header, dataset summary or statement (if any), the defined sections, and footer | " &amp;</v>
      </c>
      <c r="F33" s="54" t="s">
        <v>224</v>
      </c>
    </row>
    <row r="34" spans="2:6">
      <c r="B34" s="54" t="s">
        <v>271</v>
      </c>
      <c r="C34" s="54" t="s">
        <v>220</v>
      </c>
      <c r="D34" s="91" t="s">
        <v>463</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464</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449</v>
      </c>
      <c r="C45" s="74"/>
      <c r="E45" s="86"/>
    </row>
    <row r="46" spans="2:6">
      <c r="B46" s="76" t="s">
        <v>264</v>
      </c>
      <c r="C46" s="76" t="s">
        <v>577</v>
      </c>
      <c r="D46" s="76" t="s">
        <v>578</v>
      </c>
      <c r="E46" s="88" t="s">
        <v>265</v>
      </c>
      <c r="F46" s="32" t="s">
        <v>224</v>
      </c>
    </row>
    <row r="47" spans="2:6">
      <c r="B47" s="54" t="s">
        <v>222</v>
      </c>
      <c r="C47" s="54" t="s">
        <v>160</v>
      </c>
      <c r="D47" s="91" t="s">
        <v>451</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465</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311</v>
      </c>
      <c r="D49" s="91" t="s">
        <v>165</v>
      </c>
      <c r="E49" s="77" t="str">
        <f t="shared" si="1"/>
        <v>"[PROJECT] " &amp; I9 &amp; " | " &amp;</v>
      </c>
      <c r="F49" s="32" t="s">
        <v>224</v>
      </c>
    </row>
    <row r="50" spans="2:6">
      <c r="B50" s="54" t="s">
        <v>222</v>
      </c>
      <c r="C50" s="54" t="s">
        <v>253</v>
      </c>
      <c r="D50" s="91" t="s">
        <v>712</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466</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Must include 'import customtkinter as ctk' on its own dedicated top-level line, separated by a newline from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v>
      </c>
      <c r="E54" s="77" t="str">
        <f t="shared" si="1"/>
        <v>"[ECOSYSTEM ORIENTATION RULE] If a module or ecosystem like Must include 'import customtkinter as ctk' on its own dedicated top-level line, separated by a newline from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v>
      </c>
      <c r="F54" s="32" t="s">
        <v>224</v>
      </c>
    </row>
    <row r="55" spans="2:6">
      <c r="B55" s="54" t="s">
        <v>222</v>
      </c>
      <c r="C55" s="54" t="s">
        <v>215</v>
      </c>
      <c r="D55" s="91" t="s">
        <v>592</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467</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489</v>
      </c>
      <c r="D57" s="91" t="s">
        <v>481</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669</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457</v>
      </c>
      <c r="D61" s="91" t="s">
        <v>468</v>
      </c>
      <c r="E61" s="77" t="str">
        <f t="shared" si="1"/>
        <v>"[CRITICAL OUTPUT RULE] Output MUST match real execution - Convert sets to sorted lists before printing | " &amp;</v>
      </c>
      <c r="F61" s="32" t="s">
        <v>224</v>
      </c>
    </row>
    <row r="62" spans="2:6">
      <c r="B62" s="54" t="s">
        <v>271</v>
      </c>
      <c r="C62" s="54" t="s">
        <v>179</v>
      </c>
      <c r="D62" s="91" t="s">
        <v>469</v>
      </c>
      <c r="E62" s="77" t="str">
        <f t="shared" si="1"/>
        <v>"[FUNCTION RULE] " &amp; IF(G9="Beginner", "Avoid complex structure. ", IF(G9="Intermediate", "Functions optional. ", "Use structured modular functions. ")) &amp; " | " &amp;</v>
      </c>
      <c r="F62" s="32" t="s">
        <v>224</v>
      </c>
    </row>
    <row r="63" spans="2:6">
      <c r="B63" s="54" t="s">
        <v>271</v>
      </c>
      <c r="C63" s="54" t="s">
        <v>454</v>
      </c>
      <c r="D63" s="91" t="s">
        <v>470</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471</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472</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473</v>
      </c>
      <c r="E66" s="77" t="str">
        <f t="shared" si="1"/>
        <v>"[CODE QUALITY RULE] Code MUST be clean and realistic | " &amp;</v>
      </c>
      <c r="F66" s="32" t="s">
        <v>224</v>
      </c>
    </row>
    <row r="67" spans="2:6">
      <c r="B67" s="54" t="s">
        <v>271</v>
      </c>
      <c r="C67" s="54" t="s">
        <v>190</v>
      </c>
      <c r="D67" s="91" t="s">
        <v>417</v>
      </c>
      <c r="E67" s="77" t="str">
        <f t="shared" si="1"/>
        <v>"[DATA ROBUSTNESS RULE] Handle real-world data safely | " &amp;</v>
      </c>
      <c r="F67" s="32" t="s">
        <v>224</v>
      </c>
    </row>
    <row r="68" spans="2:6">
      <c r="B68" s="54" t="s">
        <v>271</v>
      </c>
      <c r="C68" s="54" t="s">
        <v>207</v>
      </c>
      <c r="D68" s="91" t="s">
        <v>474</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475</v>
      </c>
      <c r="E70" s="77" t="str">
        <f t="shared" si="1"/>
        <v>"[EXECUTION RULE] Code MUST run correctly | " &amp;</v>
      </c>
      <c r="F70" s="32" t="s">
        <v>224</v>
      </c>
    </row>
    <row r="71" spans="2:6">
      <c r="B71" s="54" t="s">
        <v>271</v>
      </c>
      <c r="C71" s="54" t="s">
        <v>216</v>
      </c>
      <c r="D71" s="91" t="s">
        <v>476</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450</v>
      </c>
    </row>
    <row r="80" spans="2:6">
      <c r="B80" s="76" t="s">
        <v>221</v>
      </c>
      <c r="C80" s="76" t="s">
        <v>577</v>
      </c>
      <c r="D80" s="76" t="s">
        <v>578</v>
      </c>
      <c r="E80" s="89" t="s">
        <v>234</v>
      </c>
      <c r="F80" s="54" t="s">
        <v>224</v>
      </c>
    </row>
    <row r="81" spans="2:6">
      <c r="B81" s="54" t="s">
        <v>222</v>
      </c>
      <c r="C81" s="54" t="s">
        <v>477</v>
      </c>
      <c r="D81" s="91" t="s">
        <v>478</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479</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717</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480</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1" t="s">
        <v>481</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593</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661</v>
      </c>
      <c r="D90" s="91" t="str">
        <f>Variables!E57 &amp; " | " &amp; CHAR(34) &amp; " &amp;"</f>
        <v>Code MUST adhere strictly to PEP 8 guidelines. Use PascalCase for Classes, snake_case for methods/variables. Enforce robust OOP architecture, design patterns (Factory, Strategy, Singleton), and abstract base classes using the abc module. | " &amp;</v>
      </c>
      <c r="E90" s="17" t="str">
        <f t="shared" si="2"/>
        <v>"[CODE_QUALITY_PROTOCOL] Code MUST adhere strictly to PEP 8 guidelines. Use PascalCase for Classes, snake_case for methods/variables. Enforce robust OOP architecture, design patterns (Factory, Strategy, Singleton), and abstract base classes using the abc module. | " &amp;</v>
      </c>
      <c r="F90" s="54" t="s">
        <v>224</v>
      </c>
    </row>
    <row r="91" spans="2:6">
      <c r="B91" s="54" t="s">
        <v>271</v>
      </c>
      <c r="C91" s="54" t="s">
        <v>238</v>
      </c>
      <c r="D91" s="91" t="s">
        <v>482</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483</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484</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485</v>
      </c>
      <c r="D94" s="91" t="s">
        <v>486</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328</v>
      </c>
      <c r="D95" s="91" t="s">
        <v>487</v>
      </c>
      <c r="E95" s="17" t="str">
        <f t="shared" si="2"/>
        <v>"[FOOTER RULE] End your response with: '--- ⚡ *Coding5s Mentor System — Eliminating Epistemic Debt &amp; Shipping to Production*'",</v>
      </c>
      <c r="F95" s="54" t="s">
        <v>224</v>
      </c>
    </row>
    <row r="96" spans="2:6">
      <c r="B96" s="54"/>
      <c r="C96" s="54"/>
      <c r="D96" s="91"/>
      <c r="E96" s="89" t="s">
        <v>435</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548</v>
      </c>
      <c r="C2" t="s">
        <v>519</v>
      </c>
      <c r="D2" t="s">
        <v>23</v>
      </c>
      <c r="E2" t="s">
        <v>549</v>
      </c>
    </row>
    <row r="3" spans="2:5">
      <c r="B3" t="s">
        <v>520</v>
      </c>
      <c r="C3" t="s">
        <v>18</v>
      </c>
      <c r="D3" t="s">
        <v>521</v>
      </c>
      <c r="E3" t="s">
        <v>550</v>
      </c>
    </row>
    <row r="4" spans="2:5">
      <c r="B4" t="s">
        <v>522</v>
      </c>
      <c r="C4" t="s">
        <v>540</v>
      </c>
      <c r="D4" t="s">
        <v>521</v>
      </c>
      <c r="E4" t="s">
        <v>551</v>
      </c>
    </row>
    <row r="5" spans="2:5">
      <c r="B5" t="s">
        <v>523</v>
      </c>
      <c r="C5" t="s">
        <v>21</v>
      </c>
      <c r="D5" t="s">
        <v>521</v>
      </c>
      <c r="E5" t="s">
        <v>552</v>
      </c>
    </row>
    <row r="6" spans="2:5">
      <c r="B6" t="s">
        <v>524</v>
      </c>
      <c r="C6" t="s">
        <v>22</v>
      </c>
      <c r="D6" t="s">
        <v>521</v>
      </c>
      <c r="E6" t="s">
        <v>553</v>
      </c>
    </row>
    <row r="7" spans="2:5">
      <c r="B7" t="s">
        <v>525</v>
      </c>
      <c r="C7" t="s">
        <v>23</v>
      </c>
      <c r="D7" t="s">
        <v>521</v>
      </c>
      <c r="E7" t="s">
        <v>554</v>
      </c>
    </row>
    <row r="8" spans="2:5">
      <c r="B8" t="s">
        <v>526</v>
      </c>
      <c r="C8" t="s">
        <v>24</v>
      </c>
      <c r="D8" t="s">
        <v>521</v>
      </c>
      <c r="E8" t="s">
        <v>555</v>
      </c>
    </row>
    <row r="9" spans="2:5">
      <c r="B9" t="s">
        <v>527</v>
      </c>
      <c r="C9" t="s">
        <v>25</v>
      </c>
      <c r="D9" t="s">
        <v>521</v>
      </c>
      <c r="E9" t="s">
        <v>556</v>
      </c>
    </row>
    <row r="10" spans="2:5">
      <c r="B10" t="s">
        <v>528</v>
      </c>
      <c r="C10" t="s">
        <v>45</v>
      </c>
      <c r="D10" t="s">
        <v>529</v>
      </c>
      <c r="E10" t="s">
        <v>557</v>
      </c>
    </row>
    <row r="11" spans="2:5">
      <c r="B11" t="s">
        <v>530</v>
      </c>
      <c r="C11" t="s">
        <v>531</v>
      </c>
      <c r="D11" t="s">
        <v>529</v>
      </c>
      <c r="E11" t="s">
        <v>558</v>
      </c>
    </row>
    <row r="12" spans="2:5">
      <c r="B12" t="s">
        <v>532</v>
      </c>
      <c r="C12" t="s">
        <v>541</v>
      </c>
      <c r="D12" t="s">
        <v>529</v>
      </c>
      <c r="E12" t="s">
        <v>559</v>
      </c>
    </row>
    <row r="13" spans="2:5">
      <c r="B13" t="s">
        <v>533</v>
      </c>
      <c r="C13" t="s">
        <v>496</v>
      </c>
      <c r="D13" t="s">
        <v>529</v>
      </c>
      <c r="E13" t="s">
        <v>560</v>
      </c>
    </row>
    <row r="14" spans="2:5">
      <c r="B14" t="s">
        <v>534</v>
      </c>
      <c r="C14" t="s">
        <v>542</v>
      </c>
      <c r="D14" t="s">
        <v>521</v>
      </c>
      <c r="E14" t="s">
        <v>561</v>
      </c>
    </row>
    <row r="15" spans="2:5">
      <c r="B15" t="s">
        <v>535</v>
      </c>
      <c r="C15" t="s">
        <v>543</v>
      </c>
      <c r="D15" t="s">
        <v>521</v>
      </c>
      <c r="E15" t="s">
        <v>562</v>
      </c>
    </row>
    <row r="16" spans="2:5">
      <c r="B16" t="s">
        <v>536</v>
      </c>
      <c r="C16" t="s">
        <v>544</v>
      </c>
      <c r="D16" t="s">
        <v>521</v>
      </c>
      <c r="E16" t="s">
        <v>563</v>
      </c>
    </row>
    <row r="17" spans="2:5">
      <c r="B17" t="s">
        <v>537</v>
      </c>
      <c r="C17" t="s">
        <v>545</v>
      </c>
      <c r="D17" t="s">
        <v>521</v>
      </c>
      <c r="E17" t="s">
        <v>564</v>
      </c>
    </row>
    <row r="18" spans="2:5">
      <c r="B18" t="s">
        <v>538</v>
      </c>
      <c r="C18" t="s">
        <v>546</v>
      </c>
      <c r="D18" t="s">
        <v>521</v>
      </c>
      <c r="E18" t="s">
        <v>565</v>
      </c>
    </row>
    <row r="19" spans="2:5">
      <c r="B19" t="s">
        <v>539</v>
      </c>
      <c r="C19" t="s">
        <v>547</v>
      </c>
      <c r="D19" t="s">
        <v>521</v>
      </c>
      <c r="E19" t="s">
        <v>566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500</v>
      </c>
      <c r="C2" s="106"/>
      <c r="D2" s="106"/>
      <c r="E2" s="106"/>
      <c r="F2" s="106"/>
      <c r="G2" s="106"/>
      <c r="H2" s="106"/>
      <c r="I2" s="106"/>
      <c r="J2" s="106"/>
      <c r="K2" s="107"/>
    </row>
    <row r="3" spans="2:11">
      <c r="B3" s="108"/>
      <c r="K3" s="109"/>
    </row>
    <row r="4" spans="2:11">
      <c r="B4" s="108" t="s">
        <v>501</v>
      </c>
      <c r="K4" s="109"/>
    </row>
    <row r="5" spans="2:11">
      <c r="B5" s="108"/>
      <c r="K5" s="109"/>
    </row>
    <row r="6" spans="2:11">
      <c r="B6" s="110" t="s">
        <v>502</v>
      </c>
      <c r="K6" s="109"/>
    </row>
    <row r="7" spans="2:11">
      <c r="B7" s="110" t="s">
        <v>503</v>
      </c>
      <c r="K7" s="109"/>
    </row>
    <row r="8" spans="2:11">
      <c r="B8" s="110" t="s">
        <v>504</v>
      </c>
      <c r="K8" s="109"/>
    </row>
    <row r="9" spans="2:11">
      <c r="B9" s="110" t="s">
        <v>505</v>
      </c>
      <c r="K9" s="109"/>
    </row>
    <row r="10" spans="2:11">
      <c r="B10" s="110" t="s">
        <v>506</v>
      </c>
      <c r="K10" s="109"/>
    </row>
    <row r="11" spans="2:11">
      <c r="B11" s="110" t="s">
        <v>507</v>
      </c>
      <c r="K11" s="109"/>
    </row>
    <row r="12" spans="2:11">
      <c r="B12" s="110"/>
      <c r="K12" s="109"/>
    </row>
    <row r="13" spans="2:11">
      <c r="B13" s="110" t="s">
        <v>508</v>
      </c>
      <c r="K13" s="109"/>
    </row>
    <row r="14" spans="2:11">
      <c r="B14" s="110" t="s">
        <v>509</v>
      </c>
      <c r="K14" s="109"/>
    </row>
    <row r="15" spans="2:11">
      <c r="B15" s="110"/>
      <c r="K15" s="109"/>
    </row>
    <row r="16" spans="2:11">
      <c r="B16" s="110" t="s">
        <v>510</v>
      </c>
      <c r="K16" s="109"/>
    </row>
    <row r="17" spans="2:11">
      <c r="B17" s="110" t="s">
        <v>511</v>
      </c>
      <c r="K17" s="109"/>
    </row>
    <row r="18" spans="2:11">
      <c r="B18" s="110" t="s">
        <v>512</v>
      </c>
      <c r="K18" s="109"/>
    </row>
    <row r="19" spans="2:11">
      <c r="B19" s="110" t="s">
        <v>513</v>
      </c>
      <c r="K19" s="109"/>
    </row>
    <row r="20" spans="2:11">
      <c r="B20" s="110" t="s">
        <v>514</v>
      </c>
      <c r="K20" s="109"/>
    </row>
    <row r="21" spans="2:11">
      <c r="B21" s="110" t="s">
        <v>515</v>
      </c>
      <c r="K21" s="109"/>
    </row>
    <row r="22" spans="2:11">
      <c r="B22" s="110" t="s">
        <v>516</v>
      </c>
      <c r="K22" s="109"/>
    </row>
    <row r="23" spans="2:11">
      <c r="B23" s="110"/>
      <c r="K23" s="109"/>
    </row>
    <row r="24" spans="2:11">
      <c r="B24" s="110" t="s">
        <v>517</v>
      </c>
      <c r="D24" s="114" t="s">
        <v>518</v>
      </c>
      <c r="K24" s="109"/>
    </row>
    <row r="25" spans="2:11">
      <c r="B25" s="111" t="s">
        <v>706</v>
      </c>
      <c r="C25" s="112"/>
      <c r="D25" s="135" t="s">
        <v>707</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567</v>
      </c>
    </row>
    <row r="3" spans="1:1">
      <c r="A3" t="s">
        <v>568</v>
      </c>
    </row>
    <row r="4" spans="1:1">
      <c r="A4" s="116"/>
    </row>
    <row r="5" spans="1:1">
      <c r="A5" s="117" t="s">
        <v>569</v>
      </c>
    </row>
    <row r="6" spans="1:1">
      <c r="A6" s="118"/>
    </row>
    <row r="7" spans="1:1">
      <c r="A7" s="119" t="s">
        <v>570</v>
      </c>
    </row>
    <row r="8" spans="1:1">
      <c r="A8" s="119" t="s">
        <v>571</v>
      </c>
    </row>
    <row r="9" spans="1:1">
      <c r="A9" s="116"/>
    </row>
    <row r="10" spans="1:1">
      <c r="A10" s="117" t="s">
        <v>572</v>
      </c>
    </row>
    <row r="11" spans="1:1">
      <c r="A11" s="118"/>
    </row>
    <row r="12" spans="1:1">
      <c r="A12" s="118" t="s">
        <v>573</v>
      </c>
    </row>
    <row r="13" spans="1:1">
      <c r="A13" s="118" t="s">
        <v>574</v>
      </c>
    </row>
    <row r="14" spans="1:1">
      <c r="A14" s="118" t="s">
        <v>575</v>
      </c>
    </row>
    <row r="15" spans="1:1">
      <c r="A15" s="116"/>
    </row>
    <row r="16" spans="1:1">
      <c r="A16" s="117" t="s">
        <v>576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2026-08-30T01:20:58Z</dcterms:modified>
</cp:coreProperties>
</file>