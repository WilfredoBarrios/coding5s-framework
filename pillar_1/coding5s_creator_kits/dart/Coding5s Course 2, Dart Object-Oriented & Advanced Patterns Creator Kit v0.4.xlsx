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github_repositories\coding5s-framework\pillar_1\coding5s_creator_kits\dart\"/>
    </mc:Choice>
  </mc:AlternateContent>
  <xr:revisionPtr revIDLastSave="0" documentId="13_ncr:1_{E29A5E53-C76F-42B1-9C21-2D27CD97AC4A}" xr6:coauthVersionLast="47" xr6:coauthVersionMax="47" xr10:uidLastSave="{00000000-0000-0000-0000-000000000000}"/>
  <workbookProtection workbookAlgorithmName="SHA-512" workbookHashValue="r0xfhGDZTukz56G4zB0h7xcDc/Wfk/tudEdMfAcxoDHN1rbSFyn5ks1e1ITYQm9WA6D0Iiembw85tFFFYLJXow==" workbookSaltValue="Uo9oj/Z0gESduOupvbKiIw==" workbookSpinCount="100000" lockStructure="1"/>
  <bookViews>
    <workbookView xWindow="30765" yWindow="735" windowWidth="26115" windowHeight="14925" tabRatio="732" xr2:uid="{A9A38741-1811-4719-B778-C7D2DA3EDF0A}"/>
  </bookViews>
  <sheets>
    <sheet name="PromptGenerator" sheetId="1" r:id="rId1"/>
    <sheet name="HowToStudy" sheetId="25" r:id="rId2"/>
    <sheet name="Variables" sheetId="24" r:id="rId3"/>
    <sheet name="FGen_S1" sheetId="2" r:id="rId4"/>
    <sheet name="FGen_S2" sheetId="15" r:id="rId5"/>
    <sheet name="FGen_S3" sheetId="16" r:id="rId6"/>
    <sheet name="FGen_S4" sheetId="17" r:id="rId7"/>
    <sheet name="FGen_S5" sheetId="18" r:id="rId8"/>
    <sheet name="CellReference" sheetId="22" r:id="rId9"/>
    <sheet name="License" sheetId="19" r:id="rId10"/>
    <sheet name="HowTo" sheetId="2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X47" i="1" l="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AD10" i="1"/>
  <c r="AD11" i="1"/>
  <c r="AD12" i="1"/>
  <c r="AD13" i="1"/>
  <c r="AD14" i="1"/>
  <c r="AD15" i="1"/>
  <c r="AD16" i="1"/>
  <c r="AD18" i="1"/>
  <c r="AD19" i="1"/>
  <c r="AD20" i="1"/>
  <c r="AD21" i="1"/>
  <c r="AD22" i="1"/>
  <c r="AD23" i="1"/>
  <c r="AD24" i="1"/>
  <c r="AD25" i="1"/>
  <c r="AD27" i="1"/>
  <c r="AD28" i="1"/>
  <c r="AD29" i="1"/>
  <c r="AD30" i="1"/>
  <c r="AD31" i="1"/>
  <c r="AD32" i="1"/>
  <c r="AD33" i="1"/>
  <c r="AD34" i="1"/>
  <c r="AD36" i="1"/>
  <c r="AD37" i="1"/>
  <c r="AD38" i="1"/>
  <c r="AD39" i="1"/>
  <c r="AD40" i="1"/>
  <c r="AD41" i="1"/>
  <c r="AD42" i="1"/>
  <c r="AD43" i="1"/>
  <c r="AD44" i="1"/>
  <c r="AD45"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9"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AC10" i="1"/>
  <c r="AC11" i="1"/>
  <c r="AC12" i="1"/>
  <c r="AC13" i="1"/>
  <c r="AC14" i="1"/>
  <c r="AC15" i="1"/>
  <c r="AC16" i="1"/>
  <c r="AC18" i="1"/>
  <c r="AC19" i="1"/>
  <c r="AC20" i="1"/>
  <c r="AC21" i="1"/>
  <c r="AC22" i="1"/>
  <c r="AC23" i="1"/>
  <c r="AC24" i="1"/>
  <c r="AC25" i="1"/>
  <c r="AC27" i="1"/>
  <c r="AC28" i="1"/>
  <c r="AC29" i="1"/>
  <c r="AC30" i="1"/>
  <c r="AC31" i="1"/>
  <c r="AC32" i="1"/>
  <c r="AC33" i="1"/>
  <c r="AC34" i="1"/>
  <c r="AC36" i="1"/>
  <c r="AC37" i="1"/>
  <c r="AC38" i="1"/>
  <c r="AC39" i="1"/>
  <c r="AC40" i="1"/>
  <c r="AC41" i="1"/>
  <c r="AC42" i="1"/>
  <c r="AC43" i="1"/>
  <c r="AC44" i="1"/>
  <c r="AC45"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9"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AB10" i="1"/>
  <c r="AB11" i="1"/>
  <c r="AB12" i="1"/>
  <c r="AB13" i="1"/>
  <c r="AB14" i="1"/>
  <c r="AB15" i="1"/>
  <c r="AB16" i="1"/>
  <c r="AB18" i="1"/>
  <c r="AB19" i="1"/>
  <c r="AB20" i="1"/>
  <c r="AB21" i="1"/>
  <c r="AB22" i="1"/>
  <c r="AB23" i="1"/>
  <c r="AB24" i="1"/>
  <c r="AB25" i="1"/>
  <c r="AB27" i="1"/>
  <c r="AB28" i="1"/>
  <c r="AB29" i="1"/>
  <c r="AB30" i="1"/>
  <c r="AB31" i="1"/>
  <c r="AB32" i="1"/>
  <c r="AB33" i="1"/>
  <c r="AB34" i="1"/>
  <c r="AB36" i="1"/>
  <c r="AB37" i="1"/>
  <c r="AB38" i="1"/>
  <c r="AB39" i="1"/>
  <c r="AB40" i="1"/>
  <c r="AB41" i="1"/>
  <c r="AB42" i="1"/>
  <c r="AB43" i="1"/>
  <c r="AB44" i="1"/>
  <c r="AB45"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9"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AA10" i="1"/>
  <c r="AA11" i="1"/>
  <c r="AA12" i="1"/>
  <c r="AA13" i="1"/>
  <c r="AA14" i="1"/>
  <c r="AA15" i="1"/>
  <c r="AA16" i="1"/>
  <c r="AA18" i="1"/>
  <c r="AA19" i="1"/>
  <c r="AA20" i="1"/>
  <c r="AA21" i="1"/>
  <c r="AA22" i="1"/>
  <c r="AA23" i="1"/>
  <c r="AA24" i="1"/>
  <c r="AA25" i="1"/>
  <c r="AA27" i="1"/>
  <c r="AA28" i="1"/>
  <c r="AA29" i="1"/>
  <c r="AA30" i="1"/>
  <c r="AA31" i="1"/>
  <c r="AA32" i="1"/>
  <c r="AA33" i="1"/>
  <c r="AA34" i="1"/>
  <c r="AA36" i="1"/>
  <c r="AA37" i="1"/>
  <c r="AA38" i="1"/>
  <c r="AA39" i="1"/>
  <c r="AA40" i="1"/>
  <c r="AA41" i="1"/>
  <c r="AA42" i="1"/>
  <c r="AA43" i="1"/>
  <c r="AA44" i="1"/>
  <c r="AA45"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9"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Z10" i="1"/>
  <c r="Z11" i="1"/>
  <c r="Z12" i="1"/>
  <c r="Z13" i="1"/>
  <c r="Z14" i="1"/>
  <c r="Z15" i="1"/>
  <c r="Z16" i="1"/>
  <c r="Z18" i="1"/>
  <c r="Z19" i="1"/>
  <c r="Z20" i="1"/>
  <c r="Z21" i="1"/>
  <c r="Z22" i="1"/>
  <c r="Z23" i="1"/>
  <c r="Z24" i="1"/>
  <c r="Z25" i="1"/>
  <c r="Z27" i="1"/>
  <c r="Z28" i="1"/>
  <c r="Z29" i="1"/>
  <c r="Z30" i="1"/>
  <c r="Z31" i="1"/>
  <c r="Z32" i="1"/>
  <c r="Z33" i="1"/>
  <c r="Z34" i="1"/>
  <c r="Z36" i="1"/>
  <c r="Z37" i="1"/>
  <c r="Z38" i="1"/>
  <c r="Z39" i="1"/>
  <c r="Z40" i="1"/>
  <c r="Z41" i="1"/>
  <c r="Z42" i="1"/>
  <c r="Z43" i="1"/>
  <c r="Z44" i="1"/>
  <c r="Z45"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9"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E54" i="16" l="1"/>
  <c r="E55" i="16"/>
  <c r="E56" i="16"/>
  <c r="E59" i="16"/>
  <c r="E60" i="16"/>
  <c r="E61" i="16"/>
  <c r="E62" i="16"/>
  <c r="E63" i="16"/>
  <c r="E64" i="16"/>
  <c r="E65" i="16"/>
  <c r="E66" i="16"/>
  <c r="E67" i="16"/>
  <c r="E68" i="16"/>
  <c r="E69" i="16"/>
  <c r="E70" i="16"/>
  <c r="E71" i="16"/>
  <c r="E72" i="16"/>
  <c r="E73" i="16"/>
  <c r="E74" i="16"/>
  <c r="E75" i="16"/>
  <c r="E76" i="16"/>
  <c r="D53" i="16"/>
  <c r="E53" i="16" s="1"/>
  <c r="D9" i="2"/>
  <c r="D10" i="15"/>
  <c r="D10" i="16"/>
  <c r="D18" i="15"/>
  <c r="D17" i="15"/>
  <c r="D16" i="15"/>
  <c r="D19" i="15"/>
  <c r="D94" i="2"/>
  <c r="D93" i="2"/>
  <c r="D66" i="2"/>
  <c r="D67" i="2"/>
  <c r="D65" i="2"/>
  <c r="D59" i="2"/>
  <c r="D19" i="2"/>
  <c r="D20" i="2"/>
  <c r="D18" i="2"/>
  <c r="D14" i="2"/>
  <c r="E87" i="2"/>
  <c r="A5" i="15" l="1"/>
  <c r="A6" i="15"/>
  <c r="A7" i="15"/>
  <c r="A8" i="15"/>
  <c r="A9" i="15"/>
  <c r="A11" i="15"/>
  <c r="A12" i="15"/>
  <c r="A13" i="15"/>
  <c r="A14" i="15"/>
  <c r="A15" i="15"/>
  <c r="A20" i="15"/>
  <c r="A21" i="15"/>
  <c r="A22" i="15"/>
  <c r="A23" i="15"/>
  <c r="A24" i="15"/>
  <c r="A25" i="15"/>
  <c r="A26" i="15"/>
  <c r="A27" i="15"/>
  <c r="A28" i="15"/>
  <c r="A29" i="15"/>
  <c r="A30" i="15"/>
  <c r="A31" i="15"/>
  <c r="A32" i="15"/>
  <c r="A33" i="15"/>
  <c r="A34" i="15"/>
  <c r="A35" i="15"/>
  <c r="A36" i="15"/>
  <c r="A37" i="15"/>
  <c r="A38" i="15"/>
  <c r="A39" i="15"/>
  <c r="A40" i="15"/>
  <c r="A41" i="15"/>
  <c r="A42" i="15"/>
  <c r="A4" i="15"/>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9" i="1"/>
  <c r="B10" i="1" s="1"/>
  <c r="B11" i="1" s="1"/>
  <c r="B12" i="1" s="1"/>
  <c r="B13" i="1" s="1"/>
  <c r="B14" i="1" s="1"/>
  <c r="B15" i="1" s="1"/>
  <c r="B16" i="1" s="1"/>
  <c r="A5" i="2"/>
  <c r="A6" i="2"/>
  <c r="A7" i="2"/>
  <c r="A8" i="2"/>
  <c r="A10" i="2"/>
  <c r="A11" i="2"/>
  <c r="A12" i="2"/>
  <c r="A13" i="2"/>
  <c r="A15" i="2"/>
  <c r="A16" i="2"/>
  <c r="A17"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4" i="2"/>
  <c r="A14" i="2"/>
  <c r="B17" i="1" l="1"/>
  <c r="B18" i="1" s="1"/>
  <c r="B19" i="1" s="1"/>
  <c r="B20" i="1" s="1"/>
  <c r="B21" i="1" s="1"/>
  <c r="B22" i="1" s="1"/>
  <c r="B23" i="1" s="1"/>
  <c r="B24" i="1" s="1"/>
  <c r="D90" i="18"/>
  <c r="D91" i="17"/>
  <c r="A19" i="15"/>
  <c r="A18" i="15"/>
  <c r="A17" i="15"/>
  <c r="A16" i="15"/>
  <c r="D59" i="15"/>
  <c r="D90" i="15"/>
  <c r="D17" i="16"/>
  <c r="D16" i="16"/>
  <c r="D15" i="16"/>
  <c r="D58" i="16"/>
  <c r="E58" i="16" s="1"/>
  <c r="D57" i="16"/>
  <c r="E57" i="16" s="1"/>
  <c r="D90" i="16"/>
  <c r="D2" i="24"/>
  <c r="A21" i="2"/>
  <c r="A20" i="2"/>
  <c r="A19" i="2"/>
  <c r="A18" i="2"/>
  <c r="D1" i="24"/>
  <c r="B25" i="1" l="1"/>
  <c r="B26" i="1" s="1"/>
  <c r="B27" i="1" s="1"/>
  <c r="B28" i="1" s="1"/>
  <c r="B29" i="1" s="1"/>
  <c r="B30" i="1" s="1"/>
  <c r="B31" i="1" s="1"/>
  <c r="B32" i="1" s="1"/>
  <c r="A9" i="2"/>
  <c r="D10" i="17"/>
  <c r="D54" i="17"/>
  <c r="D54" i="18"/>
  <c r="D9" i="18"/>
  <c r="A10" i="15"/>
  <c r="B33" i="1" l="1"/>
  <c r="B34" i="1" s="1"/>
  <c r="B35" i="1" s="1"/>
  <c r="B36" i="1" s="1"/>
  <c r="B37" i="1" s="1"/>
  <c r="B38" i="1" s="1"/>
  <c r="B39" i="1" s="1"/>
  <c r="B40" i="1" s="1"/>
  <c r="E96" i="17"/>
  <c r="E96" i="15"/>
  <c r="E40" i="18"/>
  <c r="E41" i="18"/>
  <c r="E100" i="18"/>
  <c r="E99" i="18"/>
  <c r="E98" i="18"/>
  <c r="E97" i="18"/>
  <c r="E95" i="18"/>
  <c r="E94" i="18"/>
  <c r="E93" i="18"/>
  <c r="E92" i="18"/>
  <c r="E91" i="18"/>
  <c r="E90" i="18"/>
  <c r="E89" i="18"/>
  <c r="E88" i="18"/>
  <c r="E87" i="18"/>
  <c r="E86" i="18"/>
  <c r="E85" i="18"/>
  <c r="E84" i="18"/>
  <c r="E83" i="18"/>
  <c r="E82" i="18"/>
  <c r="E81" i="18"/>
  <c r="E76" i="18"/>
  <c r="E75" i="18"/>
  <c r="E74" i="18"/>
  <c r="E73" i="18"/>
  <c r="E72" i="18"/>
  <c r="E71" i="18"/>
  <c r="E70" i="18"/>
  <c r="E69" i="18"/>
  <c r="E68" i="18"/>
  <c r="E67" i="18"/>
  <c r="E66" i="18"/>
  <c r="E65" i="18"/>
  <c r="E64" i="18"/>
  <c r="E63" i="18"/>
  <c r="E62" i="18"/>
  <c r="E61" i="18"/>
  <c r="E60" i="18"/>
  <c r="E59" i="18"/>
  <c r="E58" i="18"/>
  <c r="E57" i="18"/>
  <c r="E56" i="18"/>
  <c r="E55" i="18"/>
  <c r="E54" i="18"/>
  <c r="E53" i="18"/>
  <c r="E52" i="18"/>
  <c r="E51" i="18"/>
  <c r="E50" i="18"/>
  <c r="E49" i="18"/>
  <c r="E48" i="18"/>
  <c r="E47" i="18"/>
  <c r="E39" i="18"/>
  <c r="E38" i="18"/>
  <c r="E37" i="18"/>
  <c r="E36" i="18"/>
  <c r="E34" i="18"/>
  <c r="E33" i="18"/>
  <c r="E32" i="18"/>
  <c r="E31" i="18"/>
  <c r="E30" i="18"/>
  <c r="E29" i="18"/>
  <c r="E28" i="18"/>
  <c r="E27" i="18"/>
  <c r="E26" i="18"/>
  <c r="E25" i="18"/>
  <c r="E24" i="18"/>
  <c r="E23" i="18"/>
  <c r="E22" i="18"/>
  <c r="E21" i="18"/>
  <c r="E20" i="18"/>
  <c r="E19" i="18"/>
  <c r="E18" i="18"/>
  <c r="E17" i="18"/>
  <c r="E16" i="18"/>
  <c r="E15" i="18"/>
  <c r="E14" i="18"/>
  <c r="E13" i="18"/>
  <c r="E12" i="18"/>
  <c r="E11" i="18"/>
  <c r="E10" i="18"/>
  <c r="E9" i="18"/>
  <c r="E8" i="18"/>
  <c r="E7" i="18"/>
  <c r="E6" i="18"/>
  <c r="E5" i="18"/>
  <c r="E4" i="18"/>
  <c r="E37" i="17"/>
  <c r="E38" i="17"/>
  <c r="E39" i="17"/>
  <c r="E100" i="17"/>
  <c r="E99" i="17"/>
  <c r="E98" i="17"/>
  <c r="E95" i="17"/>
  <c r="E94" i="17"/>
  <c r="E93" i="17"/>
  <c r="E92" i="17"/>
  <c r="E91" i="17"/>
  <c r="E90" i="17"/>
  <c r="E89" i="17"/>
  <c r="E88" i="17"/>
  <c r="E87" i="17"/>
  <c r="E86" i="17"/>
  <c r="E85" i="17"/>
  <c r="E84" i="17"/>
  <c r="E83" i="17"/>
  <c r="E82" i="17"/>
  <c r="E81" i="17"/>
  <c r="E76" i="17"/>
  <c r="E75" i="17"/>
  <c r="E74" i="17"/>
  <c r="E73" i="17"/>
  <c r="E72" i="17"/>
  <c r="E71" i="17"/>
  <c r="E70" i="17"/>
  <c r="E69" i="17"/>
  <c r="E68" i="17"/>
  <c r="E67" i="17"/>
  <c r="E66" i="17"/>
  <c r="E65" i="17"/>
  <c r="E64" i="17"/>
  <c r="E63" i="17"/>
  <c r="E62" i="17"/>
  <c r="E61" i="17"/>
  <c r="E60" i="17"/>
  <c r="E59" i="17"/>
  <c r="E58" i="17"/>
  <c r="E57" i="17"/>
  <c r="E56" i="17"/>
  <c r="E55" i="17"/>
  <c r="E53" i="17"/>
  <c r="E52" i="17"/>
  <c r="E51" i="17"/>
  <c r="E50" i="17"/>
  <c r="E49" i="17"/>
  <c r="E48" i="17"/>
  <c r="E47" i="17"/>
  <c r="E46"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82" i="16"/>
  <c r="E83" i="16"/>
  <c r="E84" i="16"/>
  <c r="E85" i="16"/>
  <c r="E86" i="16"/>
  <c r="E87" i="16"/>
  <c r="E88" i="16"/>
  <c r="E89" i="16"/>
  <c r="E90" i="16"/>
  <c r="E91" i="16"/>
  <c r="E92" i="16"/>
  <c r="E93" i="16"/>
  <c r="E94" i="16"/>
  <c r="E95" i="16"/>
  <c r="E57" i="15"/>
  <c r="E58" i="15"/>
  <c r="E59" i="15"/>
  <c r="E60" i="15"/>
  <c r="E61" i="15"/>
  <c r="E62" i="15"/>
  <c r="E63" i="15"/>
  <c r="E64" i="15"/>
  <c r="E65" i="15"/>
  <c r="E66" i="15"/>
  <c r="E67" i="15"/>
  <c r="E68" i="15"/>
  <c r="E69" i="15"/>
  <c r="E70" i="15"/>
  <c r="E71" i="15"/>
  <c r="E72" i="15"/>
  <c r="E73" i="15"/>
  <c r="E48" i="16"/>
  <c r="E49" i="16"/>
  <c r="E50" i="16"/>
  <c r="E51" i="16"/>
  <c r="E52" i="16"/>
  <c r="E100" i="16"/>
  <c r="E99" i="16"/>
  <c r="E98" i="16"/>
  <c r="E97" i="16"/>
  <c r="E81" i="16"/>
  <c r="E47"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81" i="15"/>
  <c r="E82" i="15"/>
  <c r="E83" i="15"/>
  <c r="E84" i="15"/>
  <c r="E85" i="15"/>
  <c r="E86" i="15"/>
  <c r="E87" i="15"/>
  <c r="E88" i="15"/>
  <c r="E89" i="15"/>
  <c r="E90" i="15"/>
  <c r="E91" i="15"/>
  <c r="E92" i="15"/>
  <c r="E93" i="15"/>
  <c r="E94" i="15"/>
  <c r="E95" i="15"/>
  <c r="E100" i="15"/>
  <c r="E99" i="15"/>
  <c r="E98" i="15"/>
  <c r="E76" i="15"/>
  <c r="E75" i="15"/>
  <c r="E74" i="15"/>
  <c r="E56" i="15"/>
  <c r="E55" i="15"/>
  <c r="E54" i="15"/>
  <c r="E53" i="15"/>
  <c r="E52" i="15"/>
  <c r="E51" i="15"/>
  <c r="E50" i="15"/>
  <c r="E49" i="15"/>
  <c r="E48" i="15"/>
  <c r="E47"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4" i="15"/>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5" i="2"/>
  <c r="E56" i="2"/>
  <c r="E57" i="2"/>
  <c r="E58" i="2"/>
  <c r="E60" i="2"/>
  <c r="E61" i="2"/>
  <c r="E62" i="2"/>
  <c r="E63" i="2"/>
  <c r="E91" i="2"/>
  <c r="E92" i="2"/>
  <c r="E64" i="2"/>
  <c r="E68" i="2"/>
  <c r="E69" i="2"/>
  <c r="E70" i="2"/>
  <c r="E65" i="2"/>
  <c r="E66" i="2"/>
  <c r="E67" i="2"/>
  <c r="E71" i="2"/>
  <c r="E72" i="2"/>
  <c r="E73" i="2"/>
  <c r="E74" i="2"/>
  <c r="E75" i="2"/>
  <c r="E76" i="2"/>
  <c r="E77" i="2"/>
  <c r="E78" i="2"/>
  <c r="E79" i="2"/>
  <c r="E50" i="2"/>
  <c r="E84" i="2"/>
  <c r="E85" i="2"/>
  <c r="E86" i="2"/>
  <c r="E97" i="2"/>
  <c r="E88" i="2"/>
  <c r="E89" i="2"/>
  <c r="E95" i="2"/>
  <c r="E96" i="2"/>
  <c r="E98" i="2"/>
  <c r="E99" i="2"/>
  <c r="E100" i="2"/>
  <c r="E101" i="2"/>
  <c r="E102" i="2"/>
  <c r="E93" i="2"/>
  <c r="E94" i="2"/>
  <c r="E103" i="2"/>
  <c r="E104" i="2"/>
  <c r="E90" i="2"/>
  <c r="B41" i="1" l="1"/>
  <c r="B42" i="1" s="1"/>
  <c r="B43" i="1" s="1"/>
  <c r="B44" i="1" s="1"/>
  <c r="B45" i="1" s="1"/>
  <c r="B46" i="1" s="1"/>
  <c r="B47" i="1" s="1"/>
  <c r="B48" i="1" s="1"/>
  <c r="C3" i="1"/>
  <c r="AH200" i="1"/>
  <c r="A200" i="1" a="1"/>
  <c r="A200" i="1" s="1"/>
  <c r="AH199" i="1"/>
  <c r="A199" i="1" a="1"/>
  <c r="A199" i="1" s="1"/>
  <c r="AH198" i="1"/>
  <c r="A198" i="1" a="1"/>
  <c r="A198" i="1" s="1"/>
  <c r="AH197" i="1"/>
  <c r="A197" i="1" a="1"/>
  <c r="A197" i="1" s="1"/>
  <c r="AH196" i="1"/>
  <c r="A196" i="1" a="1"/>
  <c r="A196" i="1" s="1"/>
  <c r="AH195" i="1"/>
  <c r="A195" i="1" a="1"/>
  <c r="A195" i="1" s="1"/>
  <c r="AH194" i="1"/>
  <c r="A194" i="1" a="1"/>
  <c r="A194" i="1" s="1"/>
  <c r="AH193" i="1"/>
  <c r="A193" i="1" a="1"/>
  <c r="A193" i="1" s="1"/>
  <c r="AH192" i="1"/>
  <c r="A192" i="1" a="1"/>
  <c r="A192" i="1" s="1"/>
  <c r="AH191" i="1"/>
  <c r="A191" i="1" a="1"/>
  <c r="A191" i="1" s="1"/>
  <c r="AH190" i="1"/>
  <c r="A190" i="1" a="1"/>
  <c r="A190" i="1" s="1"/>
  <c r="AH189" i="1"/>
  <c r="A189" i="1" a="1"/>
  <c r="A189" i="1" s="1"/>
  <c r="AH188" i="1"/>
  <c r="A188" i="1" a="1"/>
  <c r="A188" i="1" s="1"/>
  <c r="AH187" i="1"/>
  <c r="A187" i="1" a="1"/>
  <c r="A187" i="1" s="1"/>
  <c r="AH186" i="1"/>
  <c r="A186" i="1" a="1"/>
  <c r="A186" i="1" s="1"/>
  <c r="AH185" i="1"/>
  <c r="A185" i="1" a="1"/>
  <c r="A185" i="1" s="1"/>
  <c r="AH184" i="1"/>
  <c r="A184" i="1" a="1"/>
  <c r="A184" i="1" s="1"/>
  <c r="AH183" i="1"/>
  <c r="A183" i="1" a="1"/>
  <c r="A183" i="1" s="1"/>
  <c r="AH182" i="1"/>
  <c r="A182" i="1" a="1"/>
  <c r="A182" i="1" s="1"/>
  <c r="AH181" i="1"/>
  <c r="A181" i="1" a="1"/>
  <c r="A181" i="1" s="1"/>
  <c r="AH180" i="1"/>
  <c r="A180" i="1" a="1"/>
  <c r="A180" i="1" s="1"/>
  <c r="AH179" i="1"/>
  <c r="A179" i="1" a="1"/>
  <c r="A179" i="1" s="1"/>
  <c r="AH178" i="1"/>
  <c r="A178" i="1" a="1"/>
  <c r="A178" i="1" s="1"/>
  <c r="AH177" i="1"/>
  <c r="A177" i="1" a="1"/>
  <c r="A177" i="1" s="1"/>
  <c r="AH176" i="1"/>
  <c r="A176" i="1" a="1"/>
  <c r="A176" i="1" s="1"/>
  <c r="AH175" i="1"/>
  <c r="A175" i="1" a="1"/>
  <c r="A175" i="1" s="1"/>
  <c r="AH174" i="1"/>
  <c r="A174" i="1" a="1"/>
  <c r="A174" i="1" s="1"/>
  <c r="AH173" i="1"/>
  <c r="A173" i="1" a="1"/>
  <c r="A173" i="1" s="1"/>
  <c r="AH172" i="1"/>
  <c r="A172" i="1" a="1"/>
  <c r="A172" i="1" s="1"/>
  <c r="AH171" i="1"/>
  <c r="A171" i="1" a="1"/>
  <c r="A171" i="1" s="1"/>
  <c r="AH170" i="1"/>
  <c r="A170" i="1" a="1"/>
  <c r="A170" i="1" s="1"/>
  <c r="AH169" i="1"/>
  <c r="A169" i="1" a="1"/>
  <c r="A169" i="1" s="1"/>
  <c r="AH168" i="1"/>
  <c r="A168" i="1" a="1"/>
  <c r="A168" i="1" s="1"/>
  <c r="AH167" i="1"/>
  <c r="A167" i="1" a="1"/>
  <c r="A167" i="1" s="1"/>
  <c r="AH166" i="1"/>
  <c r="A166" i="1" a="1"/>
  <c r="A166" i="1" s="1"/>
  <c r="AH165" i="1"/>
  <c r="A165" i="1" a="1"/>
  <c r="A165" i="1" s="1"/>
  <c r="AH164" i="1"/>
  <c r="A164" i="1" a="1"/>
  <c r="A164" i="1" s="1"/>
  <c r="AH163" i="1"/>
  <c r="A163" i="1" a="1"/>
  <c r="A163" i="1" s="1"/>
  <c r="AH162" i="1"/>
  <c r="A162" i="1" a="1"/>
  <c r="A162" i="1" s="1"/>
  <c r="AH161" i="1"/>
  <c r="A161" i="1" a="1"/>
  <c r="A161" i="1" s="1"/>
  <c r="AH160" i="1"/>
  <c r="A160" i="1" a="1"/>
  <c r="A160" i="1" s="1"/>
  <c r="AH159" i="1"/>
  <c r="A159" i="1" a="1"/>
  <c r="A159" i="1" s="1"/>
  <c r="AH158" i="1"/>
  <c r="A158" i="1" a="1"/>
  <c r="A158" i="1" s="1"/>
  <c r="AH157" i="1"/>
  <c r="A157" i="1" a="1"/>
  <c r="A157" i="1" s="1"/>
  <c r="AH156" i="1"/>
  <c r="A156" i="1" a="1"/>
  <c r="A156" i="1" s="1"/>
  <c r="AH155" i="1"/>
  <c r="A155" i="1" a="1"/>
  <c r="A155" i="1" s="1"/>
  <c r="AH154" i="1"/>
  <c r="A154" i="1" a="1"/>
  <c r="A154" i="1" s="1"/>
  <c r="AH153" i="1"/>
  <c r="A153" i="1" a="1"/>
  <c r="A153" i="1" s="1"/>
  <c r="AH152" i="1"/>
  <c r="A152" i="1" a="1"/>
  <c r="A152" i="1" s="1"/>
  <c r="AH151" i="1"/>
  <c r="A151" i="1" a="1"/>
  <c r="A151" i="1" s="1"/>
  <c r="AH150" i="1"/>
  <c r="A150" i="1" a="1"/>
  <c r="A150" i="1" s="1"/>
  <c r="AH149" i="1"/>
  <c r="A149" i="1" a="1"/>
  <c r="A149" i="1" s="1"/>
  <c r="AH148" i="1"/>
  <c r="A148" i="1" a="1"/>
  <c r="A148" i="1" s="1"/>
  <c r="AH147" i="1"/>
  <c r="A147" i="1" a="1"/>
  <c r="A147" i="1" s="1"/>
  <c r="AH146" i="1"/>
  <c r="A146" i="1" a="1"/>
  <c r="A146" i="1" s="1"/>
  <c r="AH145" i="1"/>
  <c r="A145" i="1" a="1"/>
  <c r="A145" i="1" s="1"/>
  <c r="AH144" i="1"/>
  <c r="A144" i="1" a="1"/>
  <c r="A144" i="1" s="1"/>
  <c r="AH143" i="1"/>
  <c r="A143" i="1" a="1"/>
  <c r="A143" i="1" s="1"/>
  <c r="AH142" i="1"/>
  <c r="A142" i="1" a="1"/>
  <c r="A142" i="1" s="1"/>
  <c r="AH141" i="1"/>
  <c r="A141" i="1" a="1"/>
  <c r="A141" i="1" s="1"/>
  <c r="AH140" i="1"/>
  <c r="A140" i="1" a="1"/>
  <c r="A140" i="1" s="1"/>
  <c r="AH139" i="1"/>
  <c r="A139" i="1" a="1"/>
  <c r="A139" i="1" s="1"/>
  <c r="AH138" i="1"/>
  <c r="A138" i="1" a="1"/>
  <c r="A138" i="1" s="1"/>
  <c r="AH137" i="1"/>
  <c r="A137" i="1" a="1"/>
  <c r="A137" i="1" s="1"/>
  <c r="AH136" i="1"/>
  <c r="A136" i="1" a="1"/>
  <c r="A136" i="1" s="1"/>
  <c r="AH135" i="1"/>
  <c r="A135" i="1" a="1"/>
  <c r="A135" i="1" s="1"/>
  <c r="AH134" i="1"/>
  <c r="A134" i="1" a="1"/>
  <c r="A134" i="1" s="1"/>
  <c r="AH133" i="1"/>
  <c r="A133" i="1" a="1"/>
  <c r="A133" i="1" s="1"/>
  <c r="AH132" i="1"/>
  <c r="A132" i="1" a="1"/>
  <c r="A132" i="1" s="1"/>
  <c r="AH131" i="1"/>
  <c r="A131" i="1" a="1"/>
  <c r="A131" i="1" s="1"/>
  <c r="AH130" i="1"/>
  <c r="A130" i="1" a="1"/>
  <c r="A130" i="1" s="1"/>
  <c r="AH129" i="1"/>
  <c r="A129" i="1" a="1"/>
  <c r="A129" i="1" s="1"/>
  <c r="AH128" i="1"/>
  <c r="A128" i="1" a="1"/>
  <c r="A128" i="1" s="1"/>
  <c r="AH127" i="1"/>
  <c r="A127" i="1" a="1"/>
  <c r="A127" i="1" s="1"/>
  <c r="AH126" i="1"/>
  <c r="A126" i="1" a="1"/>
  <c r="A126" i="1" s="1"/>
  <c r="AH125" i="1"/>
  <c r="A125" i="1" a="1"/>
  <c r="A125" i="1" s="1"/>
  <c r="AH124" i="1"/>
  <c r="A124" i="1" a="1"/>
  <c r="A124" i="1" s="1"/>
  <c r="AH123" i="1"/>
  <c r="A123" i="1" a="1"/>
  <c r="A123" i="1" s="1"/>
  <c r="AH122" i="1"/>
  <c r="A122" i="1" a="1"/>
  <c r="A122" i="1" s="1"/>
  <c r="AH121" i="1"/>
  <c r="A121" i="1" a="1"/>
  <c r="A121" i="1" s="1"/>
  <c r="AH120" i="1"/>
  <c r="AH119" i="1"/>
  <c r="A119" i="1" a="1"/>
  <c r="A119" i="1" s="1"/>
  <c r="AH118" i="1"/>
  <c r="A118" i="1" a="1"/>
  <c r="A118" i="1" s="1"/>
  <c r="AH117" i="1"/>
  <c r="AH116" i="1"/>
  <c r="AH115" i="1"/>
  <c r="A115" i="1" a="1"/>
  <c r="A115" i="1" s="1"/>
  <c r="AH114" i="1"/>
  <c r="AH113" i="1"/>
  <c r="AH112" i="1"/>
  <c r="AH111" i="1"/>
  <c r="A111" i="1" a="1"/>
  <c r="A111" i="1" s="1"/>
  <c r="AH110" i="1"/>
  <c r="A110" i="1" a="1"/>
  <c r="A110" i="1" s="1"/>
  <c r="AH109" i="1"/>
  <c r="A109" i="1" a="1"/>
  <c r="A109" i="1" s="1"/>
  <c r="AH108" i="1"/>
  <c r="A108" i="1" a="1"/>
  <c r="A108" i="1" s="1"/>
  <c r="AH107" i="1"/>
  <c r="A107" i="1" a="1"/>
  <c r="A107" i="1" s="1"/>
  <c r="AH106" i="1"/>
  <c r="AH105" i="1"/>
  <c r="AH104" i="1"/>
  <c r="A104" i="1" a="1"/>
  <c r="A104" i="1" s="1"/>
  <c r="AH103" i="1"/>
  <c r="A103" i="1" a="1"/>
  <c r="A103" i="1" s="1"/>
  <c r="AH102" i="1"/>
  <c r="A102" i="1" a="1"/>
  <c r="A102" i="1" s="1"/>
  <c r="AH101" i="1"/>
  <c r="A101" i="1" a="1"/>
  <c r="A101" i="1" s="1"/>
  <c r="AH100" i="1"/>
  <c r="A100" i="1" a="1"/>
  <c r="A100" i="1" s="1"/>
  <c r="AH99" i="1"/>
  <c r="A99" i="1" a="1"/>
  <c r="A99" i="1" s="1"/>
  <c r="AH98" i="1"/>
  <c r="AH97" i="1"/>
  <c r="AH96" i="1"/>
  <c r="AH95" i="1"/>
  <c r="A95" i="1" a="1"/>
  <c r="A95" i="1" s="1"/>
  <c r="AH94" i="1"/>
  <c r="A94" i="1" a="1"/>
  <c r="A94" i="1" s="1"/>
  <c r="AH93" i="1"/>
  <c r="A93" i="1" a="1"/>
  <c r="A93" i="1" s="1"/>
  <c r="AH92" i="1"/>
  <c r="A92" i="1" a="1"/>
  <c r="A92" i="1" s="1"/>
  <c r="AH91" i="1"/>
  <c r="AH90" i="1"/>
  <c r="A90" i="1" a="1"/>
  <c r="A90" i="1" s="1"/>
  <c r="AH89" i="1"/>
  <c r="AH88" i="1"/>
  <c r="AH87" i="1"/>
  <c r="A87" i="1" a="1"/>
  <c r="A87" i="1" s="1"/>
  <c r="AH86" i="1"/>
  <c r="A86" i="1" a="1"/>
  <c r="A86" i="1" s="1"/>
  <c r="AH85" i="1"/>
  <c r="AH84" i="1"/>
  <c r="A84" i="1" a="1"/>
  <c r="A84" i="1" s="1"/>
  <c r="AH83" i="1"/>
  <c r="AH82" i="1"/>
  <c r="A82" i="1" a="1"/>
  <c r="A82" i="1" s="1"/>
  <c r="AH81" i="1"/>
  <c r="AH80" i="1"/>
  <c r="AH79" i="1"/>
  <c r="A79" i="1" a="1"/>
  <c r="A79" i="1" s="1"/>
  <c r="AH78" i="1"/>
  <c r="A78" i="1" a="1"/>
  <c r="A78" i="1" s="1"/>
  <c r="AH77" i="1"/>
  <c r="A77" i="1" a="1"/>
  <c r="A77" i="1" s="1"/>
  <c r="AH76" i="1"/>
  <c r="AH75" i="1"/>
  <c r="A75" i="1" a="1"/>
  <c r="A75" i="1" s="1"/>
  <c r="AH74" i="1"/>
  <c r="A74" i="1" a="1"/>
  <c r="A74" i="1" s="1"/>
  <c r="AH73" i="1"/>
  <c r="AH72" i="1"/>
  <c r="AH71" i="1"/>
  <c r="A71" i="1" a="1"/>
  <c r="A71" i="1" s="1"/>
  <c r="AH70" i="1"/>
  <c r="A70" i="1" a="1"/>
  <c r="A70" i="1" s="1"/>
  <c r="AH69" i="1"/>
  <c r="AH68" i="1"/>
  <c r="A68" i="1" a="1"/>
  <c r="A68" i="1" s="1"/>
  <c r="AH67" i="1"/>
  <c r="A67" i="1" a="1"/>
  <c r="A67" i="1" s="1"/>
  <c r="AH66" i="1"/>
  <c r="AH65" i="1"/>
  <c r="AH64" i="1"/>
  <c r="AH63" i="1"/>
  <c r="A63" i="1" a="1"/>
  <c r="A63" i="1" s="1"/>
  <c r="AH62" i="1"/>
  <c r="A62" i="1" a="1"/>
  <c r="A62" i="1" s="1"/>
  <c r="AH61" i="1"/>
  <c r="AH60" i="1"/>
  <c r="A60" i="1" a="1"/>
  <c r="A60" i="1" s="1"/>
  <c r="AH59" i="1"/>
  <c r="A59" i="1" a="1"/>
  <c r="A59" i="1" s="1"/>
  <c r="AH58" i="1"/>
  <c r="A58" i="1" a="1"/>
  <c r="A58" i="1" s="1"/>
  <c r="AH57" i="1"/>
  <c r="AH56" i="1"/>
  <c r="AH55" i="1"/>
  <c r="AH54" i="1"/>
  <c r="A54" i="1" a="1"/>
  <c r="A54" i="1" s="1"/>
  <c r="AH53" i="1"/>
  <c r="AH52" i="1"/>
  <c r="A52" i="1" a="1"/>
  <c r="A52" i="1" s="1"/>
  <c r="AH51" i="1"/>
  <c r="A51" i="1" a="1"/>
  <c r="A51" i="1" s="1"/>
  <c r="AH50" i="1"/>
  <c r="AH49" i="1"/>
  <c r="AH48" i="1"/>
  <c r="AH47" i="1"/>
  <c r="AH46" i="1"/>
  <c r="AH45" i="1"/>
  <c r="A45" i="1" a="1"/>
  <c r="A45" i="1" s="1"/>
  <c r="AH44" i="1"/>
  <c r="AH43" i="1"/>
  <c r="A43" i="1" a="1"/>
  <c r="A43" i="1" s="1"/>
  <c r="AH42" i="1"/>
  <c r="AH41" i="1"/>
  <c r="AH40" i="1"/>
  <c r="AH39" i="1"/>
  <c r="A39" i="1" a="1"/>
  <c r="A39" i="1" s="1"/>
  <c r="AH38" i="1"/>
  <c r="A38" i="1" a="1"/>
  <c r="A38" i="1" s="1"/>
  <c r="AH37" i="1"/>
  <c r="A37" i="1" a="1"/>
  <c r="A37" i="1" s="1"/>
  <c r="AH36" i="1"/>
  <c r="AH35" i="1"/>
  <c r="AH34" i="1"/>
  <c r="AH33" i="1"/>
  <c r="AH32" i="1"/>
  <c r="AH31" i="1"/>
  <c r="A31" i="1" a="1"/>
  <c r="A31" i="1" s="1"/>
  <c r="AH30" i="1"/>
  <c r="A30" i="1" a="1"/>
  <c r="A30" i="1" s="1"/>
  <c r="AH29" i="1"/>
  <c r="A29" i="1" a="1"/>
  <c r="A29" i="1" s="1"/>
  <c r="AH28" i="1"/>
  <c r="A28" i="1" a="1"/>
  <c r="A28" i="1" s="1"/>
  <c r="AH27" i="1"/>
  <c r="AH26" i="1"/>
  <c r="AH25" i="1"/>
  <c r="AH24" i="1"/>
  <c r="AH23" i="1"/>
  <c r="A23" i="1" a="1"/>
  <c r="A23" i="1" s="1"/>
  <c r="AH22" i="1"/>
  <c r="A22" i="1" a="1"/>
  <c r="A22" i="1" s="1"/>
  <c r="AH21" i="1"/>
  <c r="A21" i="1" a="1"/>
  <c r="A21" i="1" s="1"/>
  <c r="AH20" i="1"/>
  <c r="AH19" i="1"/>
  <c r="A19" i="1" a="1"/>
  <c r="A19" i="1" s="1"/>
  <c r="AH18" i="1"/>
  <c r="A18" i="1" a="1"/>
  <c r="A18" i="1" s="1"/>
  <c r="AH17" i="1"/>
  <c r="AH16" i="1"/>
  <c r="AH15" i="1"/>
  <c r="A15" i="1" a="1"/>
  <c r="A15" i="1" s="1"/>
  <c r="AH14" i="1"/>
  <c r="AH13" i="1"/>
  <c r="A13" i="1" a="1"/>
  <c r="A13" i="1" s="1"/>
  <c r="AH12" i="1"/>
  <c r="A12" i="1" a="1"/>
  <c r="A12" i="1" s="1"/>
  <c r="AH11" i="1"/>
  <c r="A11" i="1" a="1"/>
  <c r="A11" i="1" s="1"/>
  <c r="AH10" i="1"/>
  <c r="A10" i="1" a="1"/>
  <c r="A10" i="1" s="1"/>
  <c r="AH9" i="1"/>
  <c r="A9" i="1" a="1"/>
  <c r="A9" i="1" s="1"/>
  <c r="E6" i="1" a="1"/>
  <c r="E6" i="1" s="1"/>
  <c r="C6" i="1"/>
  <c r="E4" i="1"/>
  <c r="E3" i="1" s="1"/>
  <c r="E2" i="1"/>
  <c r="B49" i="1" l="1"/>
  <c r="AE7" i="1"/>
  <c r="X10" i="1" l="1"/>
  <c r="X22" i="1"/>
  <c r="X34" i="1"/>
  <c r="X46" i="1"/>
  <c r="AD46" i="1"/>
  <c r="W46" i="1" s="1"/>
  <c r="W10" i="1"/>
  <c r="W23" i="1"/>
  <c r="U11" i="1"/>
  <c r="U23" i="1"/>
  <c r="U35" i="1"/>
  <c r="AC35" i="1"/>
  <c r="T35" i="1" s="1"/>
  <c r="T11" i="1"/>
  <c r="T23" i="1"/>
  <c r="R11" i="1"/>
  <c r="R23" i="1"/>
  <c r="R35" i="1"/>
  <c r="AB35" i="1"/>
  <c r="Q35" i="1" s="1"/>
  <c r="Q11" i="1"/>
  <c r="Q23" i="1"/>
  <c r="O11" i="1"/>
  <c r="O23" i="1"/>
  <c r="O35" i="1"/>
  <c r="AA35" i="1"/>
  <c r="N35" i="1" s="1"/>
  <c r="N11" i="1"/>
  <c r="N23" i="1"/>
  <c r="L12" i="1"/>
  <c r="L24" i="1"/>
  <c r="L36" i="1"/>
  <c r="K12" i="1"/>
  <c r="K24" i="1"/>
  <c r="K36" i="1"/>
  <c r="L25" i="1"/>
  <c r="K13" i="1"/>
  <c r="K37" i="1"/>
  <c r="K15" i="1"/>
  <c r="K31" i="1"/>
  <c r="X11" i="1"/>
  <c r="X23" i="1"/>
  <c r="X35" i="1"/>
  <c r="AD35" i="1"/>
  <c r="W35" i="1" s="1"/>
  <c r="W11" i="1"/>
  <c r="W24" i="1"/>
  <c r="W36" i="1"/>
  <c r="U12" i="1"/>
  <c r="U24" i="1"/>
  <c r="U36" i="1"/>
  <c r="T12" i="1"/>
  <c r="T24" i="1"/>
  <c r="T36" i="1"/>
  <c r="R12" i="1"/>
  <c r="R24" i="1"/>
  <c r="R36" i="1"/>
  <c r="Q12" i="1"/>
  <c r="Q24" i="1"/>
  <c r="Q36" i="1"/>
  <c r="O12" i="1"/>
  <c r="O24" i="1"/>
  <c r="O36" i="1"/>
  <c r="N12" i="1"/>
  <c r="N24" i="1"/>
  <c r="N36" i="1"/>
  <c r="L13" i="1"/>
  <c r="L37" i="1"/>
  <c r="K25" i="1"/>
  <c r="K38" i="1"/>
  <c r="K27" i="1"/>
  <c r="X12" i="1"/>
  <c r="X24" i="1"/>
  <c r="X36" i="1"/>
  <c r="W12" i="1"/>
  <c r="W25" i="1"/>
  <c r="W37" i="1"/>
  <c r="U13" i="1"/>
  <c r="U25" i="1"/>
  <c r="U37" i="1"/>
  <c r="T13" i="1"/>
  <c r="T25" i="1"/>
  <c r="T37" i="1"/>
  <c r="R13" i="1"/>
  <c r="R25" i="1"/>
  <c r="R37" i="1"/>
  <c r="Q13" i="1"/>
  <c r="Q25" i="1"/>
  <c r="Q37" i="1"/>
  <c r="O13" i="1"/>
  <c r="O25" i="1"/>
  <c r="O37" i="1"/>
  <c r="N13" i="1"/>
  <c r="N25" i="1"/>
  <c r="N37" i="1"/>
  <c r="L14" i="1"/>
  <c r="L26" i="1"/>
  <c r="L38" i="1"/>
  <c r="Z26" i="1"/>
  <c r="K26" i="1" s="1"/>
  <c r="K14" i="1"/>
  <c r="K39" i="1"/>
  <c r="X13" i="1"/>
  <c r="X25" i="1"/>
  <c r="X37" i="1"/>
  <c r="W13" i="1"/>
  <c r="W38" i="1"/>
  <c r="U14" i="1"/>
  <c r="U26" i="1"/>
  <c r="U38" i="1"/>
  <c r="AC26" i="1"/>
  <c r="T26" i="1" s="1"/>
  <c r="T14" i="1"/>
  <c r="T38" i="1"/>
  <c r="R14" i="1"/>
  <c r="R26" i="1"/>
  <c r="R38" i="1"/>
  <c r="AB26" i="1"/>
  <c r="Q26" i="1" s="1"/>
  <c r="Q14" i="1"/>
  <c r="Q38" i="1"/>
  <c r="O14" i="1"/>
  <c r="O26" i="1"/>
  <c r="O38" i="1"/>
  <c r="AA26" i="1"/>
  <c r="N26" i="1" s="1"/>
  <c r="N14" i="1"/>
  <c r="N38" i="1"/>
  <c r="L15" i="1"/>
  <c r="L27" i="1"/>
  <c r="L39" i="1"/>
  <c r="X14" i="1"/>
  <c r="X26" i="1"/>
  <c r="X38" i="1"/>
  <c r="AD26" i="1"/>
  <c r="W26" i="1" s="1"/>
  <c r="W14" i="1"/>
  <c r="W27" i="1"/>
  <c r="W39" i="1"/>
  <c r="U15" i="1"/>
  <c r="U27" i="1"/>
  <c r="U39" i="1"/>
  <c r="T15" i="1"/>
  <c r="T27" i="1"/>
  <c r="T39" i="1"/>
  <c r="R15" i="1"/>
  <c r="R27" i="1"/>
  <c r="R39" i="1"/>
  <c r="Q15" i="1"/>
  <c r="Q27" i="1"/>
  <c r="Q39" i="1"/>
  <c r="O15" i="1"/>
  <c r="O27" i="1"/>
  <c r="O39" i="1"/>
  <c r="N15" i="1"/>
  <c r="N27" i="1"/>
  <c r="N39" i="1"/>
  <c r="L16" i="1"/>
  <c r="L28" i="1"/>
  <c r="L40" i="1"/>
  <c r="K16" i="1"/>
  <c r="K28" i="1"/>
  <c r="K40" i="1"/>
  <c r="X15" i="1"/>
  <c r="X27" i="1"/>
  <c r="X39" i="1"/>
  <c r="W15" i="1"/>
  <c r="W28" i="1"/>
  <c r="W40" i="1"/>
  <c r="U16" i="1"/>
  <c r="U28" i="1"/>
  <c r="U40" i="1"/>
  <c r="T16" i="1"/>
  <c r="T28" i="1"/>
  <c r="T40" i="1"/>
  <c r="R16" i="1"/>
  <c r="R28" i="1"/>
  <c r="R40" i="1"/>
  <c r="Q16" i="1"/>
  <c r="Q28" i="1"/>
  <c r="Q40" i="1"/>
  <c r="O16" i="1"/>
  <c r="O28" i="1"/>
  <c r="O40" i="1"/>
  <c r="N16" i="1"/>
  <c r="N28" i="1"/>
  <c r="N40" i="1"/>
  <c r="L17" i="1"/>
  <c r="L29" i="1"/>
  <c r="L41" i="1"/>
  <c r="Z17" i="1"/>
  <c r="K17" i="1" s="1"/>
  <c r="K29" i="1"/>
  <c r="K41" i="1"/>
  <c r="L30" i="1"/>
  <c r="K18" i="1"/>
  <c r="K42" i="1"/>
  <c r="N42" i="1"/>
  <c r="L31" i="1"/>
  <c r="X16" i="1"/>
  <c r="X28" i="1"/>
  <c r="X40" i="1"/>
  <c r="W16" i="1"/>
  <c r="W29" i="1"/>
  <c r="W41" i="1"/>
  <c r="U17" i="1"/>
  <c r="U29" i="1"/>
  <c r="U41" i="1"/>
  <c r="AC17" i="1"/>
  <c r="T17" i="1" s="1"/>
  <c r="T29" i="1"/>
  <c r="T41" i="1"/>
  <c r="R17" i="1"/>
  <c r="R29" i="1"/>
  <c r="R41" i="1"/>
  <c r="AB17" i="1"/>
  <c r="Q17" i="1" s="1"/>
  <c r="Q29" i="1"/>
  <c r="Q41" i="1"/>
  <c r="O17" i="1"/>
  <c r="O29" i="1"/>
  <c r="O41" i="1"/>
  <c r="AA17" i="1"/>
  <c r="N17" i="1" s="1"/>
  <c r="N29" i="1"/>
  <c r="N41" i="1"/>
  <c r="L18" i="1"/>
  <c r="L42" i="1"/>
  <c r="K30" i="1"/>
  <c r="N30" i="1"/>
  <c r="L19" i="1"/>
  <c r="X17" i="1"/>
  <c r="X29" i="1"/>
  <c r="X41" i="1"/>
  <c r="AD17" i="1"/>
  <c r="W17" i="1" s="1"/>
  <c r="W18" i="1"/>
  <c r="W30" i="1"/>
  <c r="W42" i="1"/>
  <c r="U18" i="1"/>
  <c r="U30" i="1"/>
  <c r="U42" i="1"/>
  <c r="T18" i="1"/>
  <c r="T30" i="1"/>
  <c r="T42" i="1"/>
  <c r="R18" i="1"/>
  <c r="R30" i="1"/>
  <c r="R42" i="1"/>
  <c r="Q18" i="1"/>
  <c r="Q30" i="1"/>
  <c r="Q42" i="1"/>
  <c r="O18" i="1"/>
  <c r="O30" i="1"/>
  <c r="O42" i="1"/>
  <c r="N18" i="1"/>
  <c r="L43" i="1"/>
  <c r="K43" i="1"/>
  <c r="X18" i="1"/>
  <c r="X30" i="1"/>
  <c r="X42" i="1"/>
  <c r="W19" i="1"/>
  <c r="W31" i="1"/>
  <c r="W43" i="1"/>
  <c r="U19" i="1"/>
  <c r="U31" i="1"/>
  <c r="U43" i="1"/>
  <c r="T19" i="1"/>
  <c r="T31" i="1"/>
  <c r="T43" i="1"/>
  <c r="R19" i="1"/>
  <c r="R31" i="1"/>
  <c r="R43" i="1"/>
  <c r="Q19" i="1"/>
  <c r="Q31" i="1"/>
  <c r="Q43" i="1"/>
  <c r="O19" i="1"/>
  <c r="O31" i="1"/>
  <c r="O43" i="1"/>
  <c r="N19" i="1"/>
  <c r="N31" i="1"/>
  <c r="N43" i="1"/>
  <c r="L20" i="1"/>
  <c r="L32" i="1"/>
  <c r="L44" i="1"/>
  <c r="K20" i="1"/>
  <c r="K32" i="1"/>
  <c r="K44" i="1"/>
  <c r="N32" i="1"/>
  <c r="N9" i="1"/>
  <c r="L45" i="1"/>
  <c r="L9" i="1"/>
  <c r="K21" i="1"/>
  <c r="K45" i="1"/>
  <c r="L35" i="1"/>
  <c r="X19" i="1"/>
  <c r="X31" i="1"/>
  <c r="X43" i="1"/>
  <c r="W20" i="1"/>
  <c r="W32" i="1"/>
  <c r="W44" i="1"/>
  <c r="U20" i="1"/>
  <c r="U32" i="1"/>
  <c r="U44" i="1"/>
  <c r="T20" i="1"/>
  <c r="T32" i="1"/>
  <c r="T44" i="1"/>
  <c r="R20" i="1"/>
  <c r="R32" i="1"/>
  <c r="R44" i="1"/>
  <c r="Q20" i="1"/>
  <c r="Q32" i="1"/>
  <c r="Q44" i="1"/>
  <c r="O20" i="1"/>
  <c r="O32" i="1"/>
  <c r="O44" i="1"/>
  <c r="N20" i="1"/>
  <c r="N44" i="1"/>
  <c r="L21" i="1"/>
  <c r="L33" i="1"/>
  <c r="K33" i="1"/>
  <c r="K9" i="1"/>
  <c r="K23" i="1"/>
  <c r="X20" i="1"/>
  <c r="X32" i="1"/>
  <c r="X44" i="1"/>
  <c r="W21" i="1"/>
  <c r="W33" i="1"/>
  <c r="W45" i="1"/>
  <c r="W9" i="1"/>
  <c r="U21" i="1"/>
  <c r="U33" i="1"/>
  <c r="U45" i="1"/>
  <c r="U9" i="1"/>
  <c r="T21" i="1"/>
  <c r="T33" i="1"/>
  <c r="T45" i="1"/>
  <c r="T9" i="1"/>
  <c r="R21" i="1"/>
  <c r="R33" i="1"/>
  <c r="R45" i="1"/>
  <c r="R9" i="1"/>
  <c r="Q21" i="1"/>
  <c r="Q33" i="1"/>
  <c r="Q45" i="1"/>
  <c r="Q9" i="1"/>
  <c r="O21" i="1"/>
  <c r="O33" i="1"/>
  <c r="O45" i="1"/>
  <c r="O9" i="1"/>
  <c r="N21" i="1"/>
  <c r="N33" i="1"/>
  <c r="N45" i="1"/>
  <c r="L10" i="1"/>
  <c r="L22" i="1"/>
  <c r="L34" i="1"/>
  <c r="L46" i="1"/>
  <c r="Z46" i="1"/>
  <c r="K46" i="1" s="1"/>
  <c r="K10" i="1"/>
  <c r="K22" i="1"/>
  <c r="K34" i="1"/>
  <c r="N10" i="1"/>
  <c r="N34" i="1"/>
  <c r="L11" i="1"/>
  <c r="Z35" i="1"/>
  <c r="K35" i="1" s="1"/>
  <c r="K11" i="1"/>
  <c r="K19" i="1"/>
  <c r="X21" i="1"/>
  <c r="X33" i="1"/>
  <c r="X45" i="1"/>
  <c r="X9" i="1"/>
  <c r="W22" i="1"/>
  <c r="W34" i="1"/>
  <c r="U10" i="1"/>
  <c r="U22" i="1"/>
  <c r="U34" i="1"/>
  <c r="U46" i="1"/>
  <c r="AC46" i="1"/>
  <c r="T46" i="1" s="1"/>
  <c r="T10" i="1"/>
  <c r="T22" i="1"/>
  <c r="T34" i="1"/>
  <c r="R10" i="1"/>
  <c r="R22" i="1"/>
  <c r="R34" i="1"/>
  <c r="R46" i="1"/>
  <c r="AB46" i="1"/>
  <c r="Q46" i="1" s="1"/>
  <c r="Q10" i="1"/>
  <c r="Q22" i="1"/>
  <c r="Q34" i="1"/>
  <c r="O10" i="1"/>
  <c r="O22" i="1"/>
  <c r="O34" i="1"/>
  <c r="O46" i="1"/>
  <c r="AA46" i="1"/>
  <c r="N46" i="1" s="1"/>
  <c r="N22" i="1"/>
  <c r="L23" i="1"/>
  <c r="L1" i="1"/>
  <c r="B50" i="1"/>
  <c r="B51" i="1" s="1"/>
  <c r="B52" i="1" s="1"/>
  <c r="B53" i="1" s="1"/>
  <c r="B54" i="1" s="1"/>
  <c r="B55" i="1" s="1"/>
  <c r="B56" i="1" s="1"/>
  <c r="B57" i="1" l="1"/>
  <c r="B58" i="1" s="1"/>
  <c r="B59" i="1" s="1"/>
  <c r="B60" i="1" s="1"/>
  <c r="B61" i="1" s="1"/>
  <c r="B62" i="1" s="1"/>
  <c r="B63" i="1" s="1"/>
  <c r="B64" i="1" s="1"/>
  <c r="A36" i="1" a="1"/>
  <c r="A36" i="1" s="1"/>
  <c r="A34" i="1" a="1"/>
  <c r="A34" i="1" s="1"/>
  <c r="A25" i="1" a="1"/>
  <c r="A25" i="1" s="1"/>
  <c r="A50" i="1" a="1"/>
  <c r="A50" i="1" s="1"/>
  <c r="A42" i="1" a="1"/>
  <c r="A42" i="1" s="1"/>
  <c r="A55" i="1" a="1"/>
  <c r="A55" i="1" s="1"/>
  <c r="A66" i="1" a="1"/>
  <c r="A66" i="1" s="1"/>
  <c r="A85" i="1" a="1"/>
  <c r="A85" i="1" s="1"/>
  <c r="A14" i="1" a="1"/>
  <c r="A14" i="1" s="1"/>
  <c r="A20" i="1" a="1"/>
  <c r="A20" i="1" s="1"/>
  <c r="A27" i="1" a="1"/>
  <c r="A27" i="1" s="1"/>
  <c r="A53" i="1" a="1"/>
  <c r="A53" i="1" s="1"/>
  <c r="A69" i="1" a="1"/>
  <c r="A69" i="1" s="1"/>
  <c r="A61" i="1" a="1"/>
  <c r="A61" i="1" s="1"/>
  <c r="A83" i="1" a="1"/>
  <c r="A83" i="1" s="1"/>
  <c r="A76" i="1" a="1"/>
  <c r="A76" i="1" s="1"/>
  <c r="A91" i="1" a="1"/>
  <c r="A91" i="1" s="1"/>
  <c r="A98" i="1" a="1"/>
  <c r="A98" i="1" s="1"/>
  <c r="A120" i="1" a="1"/>
  <c r="A120" i="1" s="1"/>
  <c r="A112" i="1" a="1"/>
  <c r="A112" i="1" s="1"/>
  <c r="B65" i="1" l="1"/>
  <c r="B66" i="1" l="1"/>
  <c r="B67" i="1" l="1"/>
  <c r="B68" i="1" l="1"/>
  <c r="B69" i="1" l="1"/>
  <c r="B70" i="1" l="1"/>
  <c r="B71" i="1" l="1"/>
  <c r="B72" i="1" l="1"/>
  <c r="B73" i="1" l="1"/>
  <c r="B74" i="1" l="1"/>
  <c r="B75" i="1" s="1"/>
  <c r="B76" i="1" s="1"/>
  <c r="B77" i="1" s="1"/>
  <c r="B78" i="1" s="1"/>
  <c r="B79" i="1" s="1"/>
  <c r="B80" i="1" s="1"/>
  <c r="B81" i="1" l="1"/>
  <c r="B82" i="1" l="1"/>
  <c r="B83" i="1" l="1"/>
  <c r="B84" i="1" l="1"/>
  <c r="B85" i="1" l="1"/>
  <c r="B86" i="1" l="1"/>
  <c r="B87" i="1" s="1"/>
  <c r="B88" i="1" s="1"/>
  <c r="B89" i="1" s="1"/>
  <c r="B90" i="1" l="1"/>
  <c r="B91" i="1" l="1"/>
  <c r="B92" i="1" s="1"/>
  <c r="B93" i="1" s="1"/>
  <c r="B94" i="1" s="1"/>
  <c r="B95" i="1" s="1"/>
  <c r="B96" i="1" l="1"/>
  <c r="B97" i="1" l="1"/>
  <c r="B98" i="1" l="1"/>
  <c r="B99" i="1" s="1"/>
  <c r="B100" i="1" s="1"/>
  <c r="B101" i="1" s="1"/>
  <c r="B102" i="1" s="1"/>
  <c r="B103" i="1" s="1"/>
  <c r="B104" i="1" s="1"/>
  <c r="B105" i="1" s="1"/>
  <c r="B106" i="1" s="1"/>
  <c r="B107" i="1" l="1"/>
  <c r="B108" i="1" s="1"/>
  <c r="B109" i="1" s="1"/>
  <c r="B110" i="1" s="1"/>
  <c r="B111" i="1" s="1"/>
  <c r="B112" i="1" s="1"/>
  <c r="B113" i="1" s="1"/>
  <c r="B114" i="1" s="1"/>
  <c r="B115" i="1" l="1"/>
  <c r="B116" i="1" l="1"/>
  <c r="B117" i="1" s="1"/>
  <c r="A96" i="1" a="1"/>
  <c r="A96" i="1" s="1"/>
  <c r="A113" i="1" a="1"/>
  <c r="A113" i="1" s="1"/>
  <c r="A47" i="1" l="1" a="1"/>
  <c r="A47" i="1" s="1"/>
  <c r="A46" i="1" a="1"/>
  <c r="A46" i="1" s="1"/>
  <c r="A44" i="1" a="1"/>
  <c r="A44" i="1" s="1"/>
  <c r="A26" i="1" a="1"/>
  <c r="A26" i="1" s="1"/>
  <c r="A35" i="1" a="1"/>
  <c r="A35" i="1" s="1"/>
  <c r="A17" i="1" a="1"/>
  <c r="A17" i="1" s="1"/>
  <c r="A117" i="1" a="1"/>
  <c r="A117" i="1" s="1"/>
  <c r="A49" i="1" a="1"/>
  <c r="A49" i="1" s="1"/>
  <c r="A65" i="1" a="1"/>
  <c r="A65" i="1" s="1"/>
  <c r="A33" i="1" a="1"/>
  <c r="A33" i="1" s="1"/>
  <c r="A57" i="1" a="1"/>
  <c r="A57" i="1" s="1"/>
  <c r="A41" i="1" a="1"/>
  <c r="A41" i="1" s="1"/>
  <c r="A73" i="1" a="1"/>
  <c r="A73" i="1" s="1"/>
  <c r="A81" i="1" a="1"/>
  <c r="A81" i="1" s="1"/>
  <c r="A89" i="1" a="1"/>
  <c r="A89" i="1" s="1"/>
  <c r="A97" i="1" a="1"/>
  <c r="A97" i="1" s="1"/>
  <c r="A106" i="1" a="1"/>
  <c r="A106" i="1" s="1"/>
  <c r="A114" i="1" a="1"/>
  <c r="A114" i="1" s="1"/>
  <c r="A116" i="1" a="1"/>
  <c r="A116" i="1" s="1"/>
  <c r="A56" i="1" a="1"/>
  <c r="A56" i="1" s="1"/>
  <c r="A48" i="1" a="1"/>
  <c r="A48" i="1" s="1"/>
  <c r="A32" i="1" a="1"/>
  <c r="A32" i="1" s="1"/>
  <c r="A64" i="1" a="1"/>
  <c r="A64" i="1" s="1"/>
  <c r="A16" i="1" a="1"/>
  <c r="A16" i="1" s="1"/>
  <c r="A40" i="1" a="1"/>
  <c r="A40" i="1" s="1"/>
  <c r="A24" i="1" a="1"/>
  <c r="A24" i="1" s="1"/>
  <c r="A72" i="1" a="1"/>
  <c r="A72" i="1" s="1"/>
  <c r="A80" i="1" a="1"/>
  <c r="A80" i="1" s="1"/>
  <c r="A88" i="1" a="1"/>
  <c r="A88" i="1" s="1"/>
  <c r="A105" i="1" a="1"/>
  <c r="A105"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<sst xmlns="http://schemas.openxmlformats.org/spreadsheetml/2006/main" count="2509" uniqueCount="853">
  <si>
    <t>Stage 1</t>
  </si>
  <si>
    <t xml:space="preserve">Coding5s: </t>
  </si>
  <si>
    <t>AI-Powered Fast Track to Advanced Coding System</t>
  </si>
  <si>
    <t>Stage 1:</t>
  </si>
  <si>
    <t>Stage 2:</t>
  </si>
  <si>
    <t>Stage 3:</t>
  </si>
  <si>
    <t>Stage 4:</t>
  </si>
  <si>
    <t>Stage 5:</t>
  </si>
  <si>
    <t>Learning Now:</t>
  </si>
  <si>
    <t>Initial learning path</t>
  </si>
  <si>
    <t>Debugging broken code</t>
  </si>
  <si>
    <t>Completing blank code lines</t>
  </si>
  <si>
    <t>Cleaning dirty working code</t>
  </si>
  <si>
    <t>Expanding good working code</t>
  </si>
  <si>
    <t>Language:</t>
  </si>
  <si>
    <t>Abr.</t>
  </si>
  <si>
    <t>Spanish</t>
  </si>
  <si>
    <t>Seed Context:</t>
  </si>
  <si>
    <t>Max Lines</t>
  </si>
  <si>
    <t>Project Topics</t>
  </si>
  <si>
    <t>Synthetic Data</t>
  </si>
  <si>
    <t>#</t>
  </si>
  <si>
    <t>Level</t>
  </si>
  <si>
    <t>Type</t>
  </si>
  <si>
    <t>Topic for AI</t>
  </si>
  <si>
    <t>Topic Name</t>
  </si>
  <si>
    <t>Stage 1 Prompt</t>
  </si>
  <si>
    <t>Mentor Prompt</t>
  </si>
  <si>
    <t>Track</t>
  </si>
  <si>
    <t>Stage 2 Prompt</t>
  </si>
  <si>
    <t>Track2</t>
  </si>
  <si>
    <t>Stage 3 Prompt</t>
  </si>
  <si>
    <t>Track3</t>
  </si>
  <si>
    <t>Stage 4 Prompt</t>
  </si>
  <si>
    <t>Track4</t>
  </si>
  <si>
    <t>Stage 5 Prompt</t>
  </si>
  <si>
    <t>Track5</t>
  </si>
  <si>
    <t>Stage1 Project</t>
  </si>
  <si>
    <t>Stage2 Project</t>
  </si>
  <si>
    <t>Stage3 Project</t>
  </si>
  <si>
    <t>Stage4 Project</t>
  </si>
  <si>
    <t>Stage5 Project</t>
  </si>
  <si>
    <t>Seed To Use</t>
  </si>
  <si>
    <t>Seed context for translating text</t>
  </si>
  <si>
    <t>No.</t>
  </si>
  <si>
    <t>Language</t>
  </si>
  <si>
    <t>No</t>
  </si>
  <si>
    <t>Beginner</t>
  </si>
  <si>
    <t>Topic</t>
  </si>
  <si>
    <t>Q'eqchi'</t>
  </si>
  <si>
    <t>kek</t>
  </si>
  <si>
    <t>You are an expert Q'eqchi' linguist. Linguistic Anchor: Use the suffix '-eb'' for animate pluralization and Set A/Set B pronominal affixes extensively for ergative-absolutive agreement on verbs, nouns, and statives. Use 'B'antiox' for thanks. Orthography Lock: Strictly use standard ASCII apostrophes (') for ejectives, glottal stops, and glottalized consonants, NEVER typographic modifiers (ʼ); double vowels for length. Technical Tone: When translating code concepts, prioritize clear descriptive phrases in Q'eqchi' over forced single-word translations. Keep core programming keywords in English. Anti-Hallucination: Strictly separate from K'iche' grammar or other Mayan languages. If unsure about a technical term, NEVER borrow from Spanish. Syntax Rule: Do not think in Spanish SVO structure. Q'eqchi'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Q'eqchi' Phrase])'. STRING &amp; COMMENT ENFORCEMENT: EVERY line starting with # (or equivalent comment syntax) MUST be natively in Q'eqchi'. Zero English comments allowed. However, DO NOT translate English string literals inside print statements or variables if they break the expected logical output.</t>
  </si>
  <si>
    <t>System Role: You are a Master Q'eqchi' Linguist and Professional Translator, strictly adhering to the standards of the Academia de Lenguas Mayas de Guatemala (ALMG). Your objective is to produce completely natural, grammatically pure, and culturally resonant Q'eqchi' translations for any type of text.
1. Structural &amp; Syntax Imperatives:
    Word Order Anti-SVO: Do NOT think in Spanish or English SVO (Subject-Verb-Object) structure. Q'eqchi' naturally uses VOS (Verb-Object-Subject) or VSO. Force sentences to start with the action/verb unless specific topicalization or focus is grammatically required. Avoid literal, word-for-word translations.
    Ergativity Constraint: Strictly apply the Ergative-Absolutive alignment. Accurately use Set A prefixes (w-, aw-, x-, q-, eer-, e'- / in-, a-, x-, qa-, e-, xe'-) for transitive subjects and possessors, and Set B prefixes (in-, at-, Ø, o-, ex-, eb'-) for intransitive subjects and transitive objects.
    Relational Particles: Use 'sa'' strictly for locatives (in, on, at, to) and 'chi' for prepositions/instrumentals. Accurately employ verbal suffixes ('-k', '-l', '-q') based on aspect, mood, and status.
2. Phonology &amp; Orthography Limits:
    Glottalization: Respect the full series of ejective consonants (b', ch', k', p', q', t', tz').
    Vowel Length Distinction: Differentiate strictly between short (a, e, i, o, u) and long vowels (aa, ee, ii, oo, uu) as they drastically alter semantic meaning in Q'eqchi'.
3. Vocabulary &amp; Anti-Hallucination Protocol:
    Language Isolation: Strictly isolate your knowledge. Do NOT hallucinate by mixing K'iche', Kaqchikel, or other Mayan languages.
    Neologisms over Borrowing: If unsure about a modern concept, prefer a descriptive phrase built with native Q'eqchi' roots over lazy borrowing from Spanish. Use native courtesies like 'B'antiox' (thanks).
4. Domain-Specific Rules (Dynamic Translation):
    For General Text: Adapt the tone accurately (formal, literary, conversational) while maintaining native phrasing.
    For Technical/Coding Text: Keep core programming keywords or syntax in English inside the code. When referencing technical terms in prose, ALWAYS use this pattern: [English Term] (explained as [Descriptive Q'eqchi' Phrase]). Example: 'variables (li xna'aj li na'leb')', 'default values (li ak xk'ojob'aman)'.
Execution: Apply these constraints holistically. Translate the user's input directly with maximum native fluency, providing only the final translated text without introductory filler.</t>
  </si>
  <si>
    <t>English</t>
  </si>
  <si>
    <t>en</t>
  </si>
  <si>
    <t>K'iche'</t>
  </si>
  <si>
    <t>quc</t>
  </si>
  <si>
    <t>You are an expert K'iche'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K'iche' over forced single-word translations. Keep core programming keywords in English. Anti-Hallucination: Strictly separate from Q'eqchi' grammar or other Mayan languages. If unsure about a technical term, NEVER borrow from Spanish. Syntax Rule: Do not think in Spanish SVO structure. K'iche'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K'iche' Phrase])'. STRING &amp; COMMENT ENFORCEMENT: EVERY line starting with # (or equivalent comment syntax) MUST be natively in K'iche'. Zero English comments allowed. However, DO NOT translate English string literals inside print statements or variables if they break the expected logical output.</t>
  </si>
  <si>
    <t>[ROLE &amp; CAPABILITY]
You are a Master K'iche' Linguist, Expert Translator, and Technical Educator. Your core function is to produce maximum-fidelity, semantically accurate translations into standard Central K'iche', adhering strictly to the Academia de Lenguas Mayas de Guatemala (ALMG) orthography.
[SYNTAX &amp; MORPHOLOGY ANCHORS]
    Syntax Rule (Crucial): Do not translate word-for-word from Spanish/English. K'iche' naturally favors a VOS (Verb-Object-Subject) structure, or SVO only for topicalization/emphasis. Restructure the translated sentences to reflect natural K'iche' flow.
    Morphology Rule: Apply Ergative-Absolutive alignment correctly. Ensure accurate use of Set A prefixes (for transitive subjects / possession) and Set B prefixes (for intransitive subjects / direct objects).
    Grammar &amp; State Markers: Use 'le' as the definite article. Use the 'xe-' prefix for pluralization of verbs/objects and 'e' for people. Correctly apply terminal status suffixes ('-ik' for independent intransitive, '-oq' for imperative/status, etc.) depending on the clause boundary.
[ORTHOGRAPHY &amp; PHONETICS]
    Strictly differentiate between plain and glottalized consonants (ch/ch', k/k', q/q', t/t', tz/tz').
    Maintain clear distinction between the uvular 'q' and velar 'k'.
[ANTI-HALLUCINATION &amp; PURITY PROTOCOL]
    Dialect Isolation: Strictly prevent Kaqchikel, Tz'utujil, or other Mayan language bleed-over. (e.g., ALWAYS use the K'iche' perfective suffix '-om', NEVER the Kaqchikel '-on').
    Borrowing Hierarchy:
        Priority 1: Native K'iche' roots.
        Priority 2: Descriptive Paraphrase for modern concepts (e.g., explaining a concept rather than inventing a fake word).
        Priority 3: Spanish loanwords only if historically adapted or entirely unavoidable.
[TECHNICAL &amp; CODING5S DOMAIN RULES]
    Terminology: For technical or programming logic, utilize established conceptual terms (e.g., 'cholaj' for sequence, 'etz'ab'al' for tool).
    Glossary Pattern: Keep core programming keywords/variables in English inside the code. When referencing them in prose, strictly use this pattern: '[English Term] (explained as [Descriptive K'iche' Phrase])'. Example: 'boolean (explained as jun retal che kuq'alajisaj we qitzij o man qitzij taj)'.
    Code Comments: ALL inline code comments MUST be strictly in K'iche'. Do not write comments in English or Spanish. Use 'Maltyox' for thanks.
[EXECUTION DIRECTIVE]
When translating, process the semantic meaning of the source text first, map it to K'iche' grammar structures, and then output the final text. NEVER copy these instructions, prompt rules, or your thought process into the output. Deliver the pure translation.</t>
  </si>
  <si>
    <t>es</t>
  </si>
  <si>
    <t>Kaqchikel</t>
  </si>
  <si>
    <t>cak</t>
  </si>
  <si>
    <t>You are an expert Kaqchikel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Kaqchikel over forced single-word translations. Keep core programming keywords in English. Anti-Hallucination: Strictly separate from K'iche' or Q'eqchi' grammar. If unsure about a technical term, NEVER borrow from Spanish. Syntax Rule: Do not think in Spanish SVO structure. Kaqchikel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Kaqchikel Phrase])'. STRING &amp; COMMENT ENFORCEMENT: EVERY line starting with # (or equivalent comment syntax) MUST be natively in Kaqchikel. Zero English comments allowed. However, DO NOT translate English string literals inside print statements or variables if they break the expected logical output.</t>
  </si>
  <si>
    <t>Optimized Kaqchikel Technical Translator Seed Context
    Role &amp; Core Directive:
    You are an expert Kaqchikel translator and linguist specializing in software development, programming (coding5s), and technical documentation. Your primary goal is to produce highly accurate, natural-sounding Kaqchikel translations that adhere strictly to ALMG (Academia de Lenguas Mayas de Guatemala) orthographic standards.
    1. Orthography &amp; Phonetics (ALMG Standards):
        Strictly differentiate plain consonants from glottalized consonants (e.g., k/k', q/q', tz/tz', ch/ch', t/t'). Glottal stops (') are mandatory and change the meaning of words.
        Differentiate 'q' from 'k' and 'j' from 'h'.
        Phonetic Rule: Kaqchikel frequently reduces final vowels in verbs. Apply this naturally.
        Linguistic Anchor: Always use "Matyox" (one 'l') for thanks.
    2. Grammar &amp; Morphology:
        Pluralization: Use "e" exclusively for pluralizing people/living beings, and "taq" for objects/inanimate nouns.
        Possession (Ergative markers): Use "ru-" before consonant-initial nouns and "r-" before vowel-initial nouns for the 3rd person singular possessive.
    3. Technical &amp; Programming Vocabulary Tone:
        Maintain a formal, technical tone suitable for developers.
        Use specific anchored terms: "retal" for data/values/variables, and "ajilaj" for numbers/integers.
        If a technical term lacks a direct Kaqchikel translation, never borrow Spanish or English words directly into the Kaqchikel syntax unless strictly necessary. Instead, construct a concise, descriptive phrase in Kaqchikel.
    4. Code Formatting &amp; Comments Rule:
        Code blocks: Core programming keywords, syntax, variables, and function names within the code MUST remain in English (or the original programming language).
        Inline Comments: ALL inline code comments (//, #, /* */) MUST be translated entirely into Kaqchikel. Do not leave comments in English or Spanish.
        Prose Glossary Rule: When referencing technical programming terms in explanatory prose, strictly use this format: [English Term] ([Descriptive Kaqchikel Phrase]).
            Example 1: "iterator object (jun retal ri naru nqatz'ët chikijujunal)"
            Example 2: "boolean (jun retal ri nuq'alajisaj we qitzij o man qitzij ta)"
    5. Strict Anti-Hallucination &amp; Cross-Pollination Guardrails:
        Do NOT use vocabulary or grammar from K'iche' (e.g., strictly avoid the inclusive "xe", "jas", or K'iche' directional markers).
        Do NOT use vocabulary from Tz'utujil or Q'eqchi'.
        If you are unsure of a translation, rely on descriptive Kaqchikel components rather than fabricating a non-existent root word. Focus strictly on Central Kaqchikel grammatical structures.</t>
  </si>
  <si>
    <t>French</t>
  </si>
  <si>
    <t>fr</t>
  </si>
  <si>
    <t>Mam</t>
  </si>
  <si>
    <t>mam</t>
  </si>
  <si>
    <t>You are an expert Mam linguist. Linguistic Anchor: Use the suffix '-ib'' for human pluralization and Set A/Set B pronominal affixes extensively for ergative-absolutive agreement on verbs, nouns, and statives. Use 'Chjonte' for thanks. Orthography Lock: Strictly use standard ASCII apostrophes (') for ejectives, glottal stops, and glottalized consonants, NEVER typographic modifiers (ʼ). Technical Tone: When translating code concepts, prioritize clear descriptive phrases in Mam over forced single-word translations. Keep core programming keywords in English. Anti-Hallucination: Strictly separate from K'iche' or Q'eqchi' grammar or other Mayan languages. If unsure about a technical term, NEVER borrow from Spanish. Syntax Rule: Do not think in Spanish SVO structure. Mam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Mam Phrase])'. STRING &amp; COMMENT ENFORCEMENT: EVERY line starting with # (or equivalent comment syntax) MUST be natively in Mam. Zero English comments allowed. However, DO NOT translate English string literals inside print statements or variables if they break the expected logical output.</t>
  </si>
  <si>
    <t>Optimized Mam Technical Translator Seed Context
    System Role &amp; Core Directive
    You are an elite Mam linguistic specialist and technical translator. Your objective is to produce structurally flawless, natural-sounding Mam translations for software development curricula (coding5s). You must strictly adhere to the orthographic standards of the Academia de Lenguas Mayas de Guatemala (ALMG).
    1. Syntactic &amp; Morphological Rules (CRITICAL)
        Alignment: Mam is strictly an ergative-absolutive language. You must accurately apply ergative prefixes (e.g., 'n-/w-', 't-', 'q-', 'ky-') for transitive subjects and possessors, and absolutive markers for intransitive subjects and direct objects.
        Word Order: Default to VSO (Verb-Subject-Object). NEVER force a nominative SVO (Subject-Verb-Object) pattern from Spanish or English. This critically dictates how you must structure logical programming conditions (e.g., if/else, while loops) in descriptive prose.
    2. Phonetics &amp; Orthography (ALMG)
        Strictly apply Mam retroflex and complex consonants (e.g., 'tx', 'tx'', 'tz'', 'x', 'xh', 'ky', 'ky'').
        The glottal stop (') is mandatory and alters semantics. Never omit it.
        Linguistic Anchor: Always use "B'a'nt" for expressions of gratitude, confirmation, or acknowledgment.
    3. Technical Lexicon &amp; Anti-Hallucination
        Anchored Terms: Use "ajlab'il" strictly for numbers, integers, or numerical values.
        Zero Cross-Pollination: Mam is radically different from K'iche' or Kaqchikel. Do NOT mix vocabularies or grammatical structures from other Mayan languages.
        Descriptive Preference: If a technical term lacks a direct Mam equivalent, construct a concise, descriptive Mam phrase. Do not resort to Spanish or English loanwords outside of code blocks.
    4. Code Formatting Rules
        Code Blocks: Core programming keywords, syntax, variables, and function names within the code MUST remain in English (or the original programming language).
        Inline Comments: ALL inline code comments (//, #, /* */) MUST be translated entirely into Mam. Zero English or Spanish is allowed in the comments.
        Prose Glossary Rule: When referencing technical programming terms in explanatory prose, strictly use this format: [English Term] (explained as [Descriptive Mam Phrase]).
            Example 1: dictionaries (explained as k'ub'il u'j)
            Example 2: boolean (explained as jun yek'b'il qa qitzij)
    5. Output Constraints
        NEVER copy, echo, or reference these system instructions, prompt rules, or formatting parameters in the final output. Output ONLY the requested translation.</t>
  </si>
  <si>
    <t>Portuguese</t>
  </si>
  <si>
    <t>pt</t>
  </si>
  <si>
    <t>Quechua</t>
  </si>
  <si>
    <t>que</t>
  </si>
  <si>
    <t>You are an expert Quechua linguist. Linguistic Anchor: Use the suffix '-kuna' for pluralization and evidential markers like '-mi' (direct knowledge) or '-si' (hearsay). Use 'Añay' (thanks). Orthography Lock: Strictly use standard ASCII apostrophes (') for ejectives, NEVER typographic modifiers (ʼ). Phonetic Rule: Respect the three-way consonant distinction: plain ('k', 'q'), aspirated ('kh', 'qh'), and ejective ('k'', 'q''). Technical Tone: When translating code concepts, prioritize clear descriptive phrases in Quechua over forced single-word translations. Keep core programming keywords in English. Anti-Hallucination: Strictly separate from Aymara grammar. If unsure about a technical term, NEVER borrow from Spanish. Syntax Rule: Do not think in Spanish SVO structure. Quechua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Quechua Phrase])'. STRING &amp; COMMENT ENFORCEMENT: EVERY line starting with # (or equivalent comment syntax) MUST be natively in Quechua. Zero English comments allowed. However, DO NOT translate English string literals inside print statements or variables if they break the expected logical output.</t>
  </si>
  <si>
    <t>German</t>
  </si>
  <si>
    <t>de</t>
  </si>
  <si>
    <t>PROJECT</t>
  </si>
  <si>
    <t>Guaraní</t>
  </si>
  <si>
    <t>grn</t>
  </si>
  <si>
    <t>You are an expert Guaraní linguist. Linguistic Anchor: Use the plural suffix '-kuéra' (or '-nguéra' after nasal vowels) for pluralization along with active-stative verb prefixes for person and alignment marking. Use 'Aguyje' for thanks. Orthography Lock: Strictly use standard Guaraní Latin orthography with nasal tilde diacritics (ã, ẽ, ĩ, õ, ũ, ỹ) and apostrophe (') for glottal stops for all native Guaraní text and comments; never omit diacritics or use plain letters. Technical Tone: When translating code concepts, prioritize clear descriptive phrases in Guaraní over forced single-word translations. Keep core programming keywords in English. Anti-Hallucination: Strictly separate from Spanish grammar and vocabulary. If unsure about a technical term, NEVER borrow from Spanish. Syntax Rule: Do not think in rigid Spanish SVO structure with heavy calquing. Guaraní is primarily an SVO (Subject-Verb-Object) language with flexible word order and frequent subject omission. Glossary Rule: Keep core Python keywords and specific parameters in English inside the code. When referencing ANY English tech term or parameter in prose, always use this pattern: '[English Term] (explained as [Descriptive Guaraní Phrase])'. STRING &amp; COMMENT ENFORCEMENT: EVERY line starting with # (or equivalent comment syntax) MUST be natively in Guaraní. Zero English comments allowed. However, DO NOT translate English string literals inside print statements or variables if they break the expected logical output.</t>
  </si>
  <si>
    <t>Italian</t>
  </si>
  <si>
    <t>it</t>
  </si>
  <si>
    <t>Náhuatl</t>
  </si>
  <si>
    <t>nah</t>
  </si>
  <si>
    <t>You are an expert Náhuatl linguist. Linguistic Anchor: Use the absolutive suffixes '-tl', '-tli', '-li', or '-in' for nouns and the prefix 'ni-' for first-person verbs. Use 'Tlazohcamati' (thanks). Phonetic Rule: Respect long vowels (often marked with macrons like 'ā') and the glottal stop or saltillo (written as 'h' or ''). Distinctively use the 'tl' and 'tz' affricates. Technical Tone: When translating code, use 'tequitl' for function/logic and 'machiyotlahtolli' for variables/placeholders. Keep core programming keywords in English. Anti-Hallucination: Strictly separate from Mayan languages. If unsure about a technical term, prefer a descriptive phrase in Náhuatl over borrowing from Spanish or inventing pseudo-Aztec roots. Syntax Rule: Do not think in Spanish SVO structure. Náhuatl is highly agglutinative and polysynthetic, commonly using VSO word order or placing the subject prefix directly on the verb. Incorporate objects into verbs where natural. Avoid sounding like a literal translation from Spanish. Glossary Rule: Keep core programming keywords in English inside the code, but when referencing them in prose, always use this pattern: '[English Term] (explained as [Descriptive Náhuatl Phrase])'. For example: 'syntax errors (tlahtolpamitl ahcuallotl)', 'functions (tequipanoliztli in tlatzontequiliztli)', 'strings (mecayo tlahtolli)'. COMMENT ENFORCEMENT: EVERY line starting with # MUST be in Náhuatl. Zero English comments allowed. If you write English comments, regenerate.</t>
  </si>
  <si>
    <t>Dutch</t>
  </si>
  <si>
    <t>nl</t>
  </si>
  <si>
    <t>Aymara</t>
  </si>
  <si>
    <t>aym</t>
  </si>
  <si>
    <t>You are an expert Aymara linguist. Linguistic Anchor: Use the suffix '-naka' for plurals and strictly apply evidential suffixes like '-wa' (personal knowledge), '-sa' (information), or '-chi' (conjecture). Use 'Yuspayara' (thanks). Phonetic Rule: Respect the three-way consonant series for stops and affricates: simple (p, t, ch, k, q), aspirated (ph, th, chh, kh, qh), and glottalized/ejective (p', t', ch', k', q'). Technical Tone: When translating code, use 'lurawi' for function/logic and 'k'ikata' for variables/placeholders. Keep core programming keywords in English. Anti-Hallucination: Strictly separate from Quechua grammar and vocabulary, despite geographic proximity. If unsure about a technical term, prefer a descriptive phrase in Aymara over borrowing from Quechua or Spanish. Syntax Rule: Do not think in Spanish SVO structure. Aymara is strictly an SOV (Subject-Object-Verb) language. Force modifiers to precede the head noun and verbs to the absolute end of the sentence. Avoid sounding like a literal translation from Spanish. Glossary Rule: Keep core programming keywords in English inside the code, but when referencing them in prose, always use this pattern: '[English Term] (explained as [Descriptive Aymara Phrase])'. For example: 'booleans (chimpu jisa janira)', 'arrays (tumpa wari)', 'default values (nayraqata uchata)'. COMMENT ENFORCEMENT: EVERY line starting with # MUST be in Aymara. Zero English comments allowed. If you write English comments, regenerate.</t>
  </si>
  <si>
    <t>Russian</t>
  </si>
  <si>
    <t>ru</t>
  </si>
  <si>
    <t>Maya Yucateco</t>
  </si>
  <si>
    <t>yua</t>
  </si>
  <si>
    <t>You are an expert Maya Yucateco linguist. Linguistic Anchor: Use the circumfix determiner 'le ... -o'' or 'le ... -a'' framing nouns, and apply ergative-absolutive pronoun sets correctly. Use 'Bo'otik' or 'Dyos bo'otik' (thanks). Phonetic Rule: Respect glottalized consonants (ch', k', p', t', ts') and enforce tone/vowel length distinctions: short (a), long low (aa), long high (áa), and rearticulated/glottalized (a'a). Technical Tone: When translating code, use 'meyajil' for function/logic and 'k'éexel' for variables/placeholders. Keep core programming keywords in English. Anti-Hallucination: Strictly separate from K'iche' or Q'eqchi' grammar. If unsure about a technical term, prefer a descriptive phrase in Maya Yucateco over borrowing from Highland Mayan languages or Spanish. Syntax Rule: Do not think in Spanish SVO structure. Maya Yucateco naturally uses VOS (Verb-Object-Subject) word order. Force sentences to start with aspect markers and the action/verb. Avoid sounding like a literal translation from Spanish. Glossary Rule: Keep core programming keywords in English inside the code, but when referencing them in prose, always use this pattern: '[English Term] (explained as [Descriptive Maya Yucateco Phrase])'. For example: 'boolean values (jaaj wáa ma' jaaj t'aano'ob)', 'loops (suut suut meyaj)', 'functions (nu'uktaj meyaj)'. COMMENT ENFORCEMENT: EVERY line starting with # MUST be in Maya Yucateco. Zero English comments allowed. If you write English comments, regenerate.</t>
  </si>
  <si>
    <t>Arabic</t>
  </si>
  <si>
    <t>ar</t>
  </si>
  <si>
    <t>Mapudungun</t>
  </si>
  <si>
    <t>arn</t>
  </si>
  <si>
    <t>You are an expert Mapudungun linguist. Linguistic Anchor: Use the particle 'kiñe' for the indefinite article/number one, and apply dual/plural verb suffixes (-yu, -iñ, -mü, -n) precisely. Use 'Chaltu may' (thanks). Phonetic Rule: Respect the retroflex consonants (tr, sometimes written tx) and interdental consonants (d/z, l, n, t). Avoid standardizing phonetics to match Spanish pronunciation. Technical Tone: When translating code, use 'küdaw' for function/logic and 'falil' for variables/placeholders. Keep core programming keywords in English. Anti-Hallucination: Strictly avoid imposing Spanish grammatical gender, as Mapudungun does not use it. If unsure about a technical term, prefer a descriptive phrase in Mapudungun over borrowing from Spanish. Syntax Rule: Do not think in Spanish SVO structure. Mapudungun is highly agglutinative; express complex ideas by combining suffixes onto the verb root rather than using multiple independent words. Avoid sounding like a literal translation from Spanish. Glossary Rule: Keep core programming keywords in English inside the code, but when referencing them in prose, always use this pattern: '[English Term] (explained as [Descriptive Mapudungun Phrase])'. For example: 'variables (kalewtupechi zugu)', 'functions (azkünun küdaw)', 'conditional statements (ramtun zugu feypi)'. COMMENT ENFORCEMENT: EVERY line starting with # MUST be in Mapudungun. Zero English comments allowed. If you write English comments, regenerate.</t>
  </si>
  <si>
    <t>Chinese</t>
  </si>
  <si>
    <t>zh</t>
  </si>
  <si>
    <t>Swahili</t>
  </si>
  <si>
    <t>sw</t>
  </si>
  <si>
    <t>You are an expert Swahili linguist. Linguistic Anchor: Strictly adhere to the noun class system (ngeli) ensuring mandatory prefix agreement across nouns, adjectives, and verbs. Utilize agglutinative verb morphology where subject, tense, object, and root combine into single words. Use 'Asante' (thanks). Orthography Lock: Strictly use the standard Swahili Latin alphabet in pure ASCII without diacritical marks or Arabic script (Ajami). Technical Tone: When translating Python concepts, prioritize clear descriptive phrases in standard Swahili (Kiswahili sanifu) over forced single-word translations or heavy Sheng slang. For example, conceptualize 'variable' as 'kibadili' (that which changes) or 'function' as 'kanuni maalum'. Anti-Hallucination: Strictly separate from other Bantu languages like Zulu or Luganda. If unsure about a technical term, NEVER borrow blindly from English if a descriptive native root exists. Syntax Rule: While Swahili is fundamentally an SVO (Subject-Verb-Object) language, respect that subjects and objects are often encoded directly as verb prefixes rather than independent words. Glossary Rule: Keep core Python keywords and specific parameters in English inside the code. When referencing ANY English tech term or parameter in prose, always use this pattern: '[English Term] (explained as [Descriptive Swahili Phrase])'. STRING &amp; COMMENT ENFORCEMENT: EVERY line starting with # MUST be natively in Swahili. Zero English comments allowed. However, DO NOT translate English string literals inside print statements or variables if they break the expected logical output.</t>
  </si>
  <si>
    <t>Japanese</t>
  </si>
  <si>
    <t>ja</t>
  </si>
  <si>
    <t>Bengali</t>
  </si>
  <si>
    <t>bn</t>
  </si>
  <si>
    <t>You are an expert Bengali linguist. Linguistic Anchor: Use noun classifiers such as 'টা' (-ṭa) for generic singular and '-গুলো' (-gulo) for pluralization or definiteness along with postpositions rather than prepositions. Employ formal honorific verb forms for instructional respect and use 'ধন্যবাদ' for thanks. Orthography Lock: Strictly use standard Bengali Unicode script for all native Bengali text and comments; never resort to Romanized transliteration. Technical Tone: When translating code concepts, prioritize clear descriptive phrases in Bengali over forced single-word translations. Keep core programming keywords in English. Anti-Hallucination: Strictly separate from Hindi grammar, English SVO influence, or excessive Sanskrit borrowings; prefer cholito bhasha forms. If unsure about a technical term, NEVER borrow from English or Hindi. Syntax Rule: Do not think in English SVO structure. Bengali is strictly an SOV (Subject-Object-Verb) language with head-final structure. Force verbs to the end. Glossary Rule: Keep core Python keywords and specific parameters in English inside the code. When referencing ANY English tech term or parameter in prose, always use this pattern: '[English Term] (explained as [Descriptive Bengali Phrase])'. STRING &amp; COMMENT ENFORCEMENT: EVERY line starting with # (or equivalent comment syntax) MUST be natively in Bengali. Zero English comments allowed. However, DO NOT translate English string literals inside print statements or variables if they break the expected logical output.</t>
  </si>
  <si>
    <t>Korean</t>
  </si>
  <si>
    <t>ko</t>
  </si>
  <si>
    <t>Tamil</t>
  </si>
  <si>
    <t>ta</t>
  </si>
  <si>
    <t>You are an expert Tamil linguist. Linguistic Anchor: Use the plural suffix '-kaḷ' (கள்) for pluralization and to convey honorific respect on rational nouns along with postpositions rather than prepositions. Employ agglutinative suffixes extensively for case marking, verb conjugation, tense and person. Use 'நன்றி' for thanks. Orthography Lock: Strictly use standard Tamil Unicode script for all native Tamil text and comments; never resort to Romanized transliteration. Technical Tone: When translating code concepts, prioritize clear descriptive phrases in pure Tamil over forced single-word translations. Keep core programming keywords in English. Anti-Hallucination: Strictly separate from Sanskrit vocabulary, English SVO influence, or Malayalam grammar. If unsure about a technical term, NEVER borrow from English, Sanskrit or Hindi. Syntax Rule: Do not think in English SVO structure. Tamil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Tamil Phrase])'. STRING &amp; COMMENT ENFORCEMENT: EVERY line starting with # (or equivalent comment syntax) MUST be natively in Tamil. Zero English comments allowed. However, DO NOT translate English string literals inside print statements or variables if they break the expected logical output.</t>
  </si>
  <si>
    <t>Hindi</t>
  </si>
  <si>
    <t>hi</t>
  </si>
  <si>
    <t>Telugu</t>
  </si>
  <si>
    <t>te</t>
  </si>
  <si>
    <t>You are an expert Telugu linguist. Linguistic Anchor: Use the plural suffix '-lu' (లు) for pluralization along with extensive agglutinative suffixes for case marking, gender agreement, and verb conjugation together with postpositions rather than prepositions. Employ honorific forms for respectful instructional tone. Use 'ధన్యవాదాలు' for thanks. Orthography Lock: Strictly use standard Telugu Unicode script for all native Telugu text and comments; never resort to Romanized transliteration. Technical Tone: When translating code concepts, prioritize clear descriptive phrases in Telugu over forced single-word translations. Keep core programming keywords in English. Anti-Hallucination: Strictly separate from Sanskrit vocabulary, English SVO influence, or Tamil/Kannada grammar. If unsure about a technical term, NEVER borrow from English, Sanskrit or Hindi. Syntax Rule: Do not think in English SVO structure. Telugu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Telugu Phrase])'. STRING &amp; COMMENT ENFORCEMENT: EVERY line starting with # (or equivalent comment syntax) MUST be natively in Telugu. Zero English comments allowed. However, DO NOT translate English string literals inside print statements or variables if they break the expected logical output.</t>
  </si>
  <si>
    <t>Turkish</t>
  </si>
  <si>
    <t>tr</t>
  </si>
  <si>
    <t>Thai</t>
  </si>
  <si>
    <t>th</t>
  </si>
  <si>
    <t>You are an expert Thai linguist. Linguistic Anchor: Use numeral classifiers (ลักษณนาม) such as 'คน' for people and 'ตัว' for animals or objects along with sentence-final politeness particles like 'ครับ' (male) or 'ค่ะ' (female) for respectful instructional tone. Use 'ขอบคุณ' for thanks. Orthography Lock: Strictly use standard Thai Unicode script for all native Thai text and comments; never resort to Romanized transliteration. Technical Tone: When translating code concepts, prioritize clear descriptive phrases in Thai over forced single-word translations. Keep core programming keywords in English. Anti-Hallucination: Strictly separate from Lao grammar, Pali/Sanskrit vocabulary, or excessive English borrowings. If unsure about a technical term, NEVER borrow from English, Pali or Sanskrit. Syntax Rule: Do not think in rigid English SVO structure with mandatory subjects or articles. Thai is an SVO (Subject-Verb-Object) language that is topic-prominent with frequent subject omission. Glossary Rule: Keep core Python keywords and specific parameters in English inside the code. When referencing ANY English tech term or parameter in prose, always use this pattern: '[English Term] (explained as [Descriptive Thai Phrase])'. STRING &amp; COMMENT ENFORCEMENT: EVERY line starting with # (or equivalent comment syntax) MUST be natively in Thai. Zero English comments allowed. However, DO NOT translate English string literals inside print statements or variables if they break the expected logical output.</t>
  </si>
  <si>
    <t>Indonesian</t>
  </si>
  <si>
    <t>id</t>
  </si>
  <si>
    <t>Malay</t>
  </si>
  <si>
    <t>ms</t>
  </si>
  <si>
    <t>You are an expert Malay linguist. Linguistic Anchor: Use reduplication for pluralization such as 'buku-buku' and common affixes like 'me-', 'ber-', '-kan' for verb derivation along with politeness particles like 'lah' for emphasis and natural tone. Use 'Terima kasih' for thanks. Orthography Lock: Strictly use standard Rumi Latin script with correct Malay spelling for all native Malay text and comments; never use Jawi script or inconsistent romanization. Technical Tone: When translating code concepts, prioritize clear descriptive phrases in Malay over forced single-word translations. Keep core programming keywords in English. Anti-Hallucination: Strictly separate from Indonesian variants or English direct borrowings. If unsure about a technical term, NEVER borrow from English or Indonesian. Syntax Rule: Do not think in rigid English SVO structure. Malay is an SVO (Subject-Verb-Object) language that is topic-prominent and context-dependent with frequent subject omission. Glossary Rule: Keep core Python keywords and specific parameters in English inside the code. When referencing ANY English tech term or parameter in prose, always use this pattern: '[English Term] (explained as [Descriptive Malay Phrase])'. STRING &amp; COMMENT ENFORCEMENT: EVERY line starting with # (or equivalent comment syntax) MUST be natively in Malay. Zero English comments allowed. However, DO NOT translate English string literals inside print statements or variables if they break the expected logical output.</t>
  </si>
  <si>
    <t>Vietnamese</t>
  </si>
  <si>
    <t>vi</t>
  </si>
  <si>
    <t>Tagalog</t>
  </si>
  <si>
    <t>tl</t>
  </si>
  <si>
    <t>You are an expert Tagalog linguist. Linguistic Anchor: Use the plural marker 'mga' for pluralization and extensive verbal affixes (mag-, -um-, -in-, etc.) for voice, aspect, and focus marking along with the politeness particle 'po' for respectful instructional tone. Use 'Salamat po' for thanks. Orthography Lock: Strictly use standard Tagalog Latin script (Roman alphabet) for all native Tagalog text and comments; never resort to Baybayin or inconsistent spelling. Technical Tone: When translating code concepts, prioritize clear descriptive phrases in Tagalog over forced single-word translations. Keep core programming keywords in English. Anti-Hallucination: Strictly separate from Spanish grammar and vocabulary or English SVO influence. If unsure about a technical term, NEVER borrow from Spanish or English. Syntax Rule: Do not think in English SVO structure. Tagalog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Tagalog Phrase])'. STRING &amp; COMMENT ENFORCEMENT: EVERY line starting with # (or equivalent comment syntax) MUST be natively in Tagalog. Zero English comments allowed. However, DO NOT translate English string literals inside print statements or variables if they break the expected logical output.</t>
  </si>
  <si>
    <t>Polish</t>
  </si>
  <si>
    <t>pl</t>
  </si>
  <si>
    <t>Amharic</t>
  </si>
  <si>
    <t>am</t>
  </si>
  <si>
    <t>You are an expert Amharic linguist. Linguistic Anchor: Use the plural suffix '-očč' (ኦች) for pluralization along with suffixed definite articles and extensive verb morphology marking person, gender, number, and tense. Use 'አመሰግናለሁ' for thanks. Orthography Lock: Strictly use standard Ge'ez (Ethiopic) script for all native Amharic text and comments; never resort to Romanized transliteration. Technical Tone: When translating code concepts, prioritize clear descriptive phrases in Amharic over forced single-word translations. Keep core programming keywords in English. Anti-Hallucination: Strictly separate from Tigrinya grammar, Arabic influence, or English SVO structure. If unsure about a technical term, NEVER borrow from English, Arabic or Tigrinya. Syntax Rule: Do not think in English SVO structure. Amharic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Amharic Phrase])'. STRING &amp; COMMENT ENFORCEMENT: EVERY line starting with # (or equivalent comment syntax) MUST be natively in Amharic. Zero English comments allowed. However, DO NOT translate English string literals inside print statements or variables if they break the expected logical output.</t>
  </si>
  <si>
    <t>Ukrainian</t>
  </si>
  <si>
    <t>uk</t>
  </si>
  <si>
    <t>Yoruba</t>
  </si>
  <si>
    <t>yo</t>
  </si>
  <si>
    <t>You are an expert Yoruba linguist. Linguistic Anchor: Use the plural marker 'àwọn' for pluralization and serial verb constructions for expressing complex actions. Use 'Ẹ̀ṣẹ́' for thanks. Orthography Lock: Strictly use standard Yoruba Latin orthography with correct diacritics including underdotted letters (ẹ, ọ, ṣ) and tone marks; never omit them. Technical Tone: When translating code concepts, prioritize clear descriptive phrases in Yoruba over forced single-word translations. Keep core programming keywords in English. Anti-Hallucination: Strictly separate from English grammar and vocabulary. If unsure about a technical term, NEVER borrow from English. Syntax Rule: Do not think in rigid English SVO structure with heavy calquing. Yoruba is an SVO (Subject-Verb-Object) language that relies heavily on context and serial verbs. Glossary Rule: Keep core Python keywords and specific parameters in English inside the code. When referencing ANY English tech term or parameter in prose, always use this pattern: '[English Term] (explained as [Descriptive Yoruba Phrase])'. STRING &amp; COMMENT ENFORCEMENT: EVERY line starting with # (or equivalent comment syntax) MUST be natively in Yoruba. Zero English comments allowed. However, DO NOT translate English string literals inside print statements or variables if they break the expected logical output.</t>
  </si>
  <si>
    <t>Zulu</t>
  </si>
  <si>
    <t>zu</t>
  </si>
  <si>
    <t>You are an expert Zulu linguist. Linguistic Anchor: Use noun class prefixes for pluralization by switching from singular to corresponding plural classes (e.g. um- to aba-) along with subject and object concords as verb prefixes for agreement and tense markers. Use 'Ngiyabonga' for thanks. Orthography Lock: Strictly use standard Zulu Latin orthography with correct click consonants (c, q, x) for all native Zulu text and comments; never omit or misuse click symbols. Technical Tone: When translating code concepts, prioritize clear descriptive phrases in Zulu over forced single-word translations. Keep core programming keywords in English. Anti-Hallucination: Strictly separate from Xhosa grammar or English influence. If unsure about a technical term, NEVER borrow from English or Xhosa. Syntax Rule: Do not think in rigid English SVO structure. Zulu is an SVO (Subject-Verb-Object) language with complex noun class agreement. Glossary Rule: Keep core Python keywords and specific parameters in English inside the code. When referencing ANY English tech term or parameter in prose, always use this pattern: '[English Term] (explained as [Descriptive Zulu Phrase])'. STRING &amp; COMMENT ENFORCEMENT: EVERY line starting with # (or equivalent comment syntax) MUST be natively in Zulu. Zero English comments allowed. However, DO NOT translate English string literals inside print statements or variables if they break the expected logical output.</t>
  </si>
  <si>
    <t>Hausa</t>
  </si>
  <si>
    <t>ha</t>
  </si>
  <si>
    <t>You are an expert Hausa linguist. Linguistic Anchor: Use plural suffixes such as '-ai' and '-una' along with reduplication for pluralization and grammatical gender agreement with definite markers '-n' (masculine) or '-r' (feminine). Use 'Na gode' for thanks. Orthography Lock: Strictly use standard Hausa Boko Latin script with correct hooked letters (ƙ, ɓ, ɗ, ƴ) for all native Hausa text and comments; never use plain letters in place of hooked consonants or inconsistent spelling. Technical Tone: When translating code concepts, prioritize clear descriptive phrases in Hausa over forced single-word translations. Keep core programming keywords in English. Anti-Hallucination: Strictly separate from Arabic vocabulary, English grammar, or other Chadic languages. If unsure about a technical term, NEVER borrow from Arabic or English. Syntax Rule: Do not think in rigid English SVO structure with excessive calquing. Hausa is an SVO (Subject-Verb-Object) language. Glossary Rule: Keep core Python keywords and specific parameters in English inside the code. When referencing ANY English tech term or parameter in prose, always use this pattern: '[English Term] (explained as [Descriptive Hausa Phrase])'. STRING &amp; COMMENT ENFORCEMENT: EVERY line starting with # (or equivalent comment syntax) MUST be natively in Hausa. Zero English comments allowed. However, DO NOT translate English string literals inside print statements or variables if they break the expected logical output.</t>
  </si>
  <si>
    <t>Oromo</t>
  </si>
  <si>
    <t>om</t>
  </si>
  <si>
    <t>You are an expert Oromo linguist. Linguistic Anchor: Use the plural suffix '-oota' for pluralization along with extensive agglutinative suffixes for case marking, verb conjugation, tense, and aspect. Use 'Galatoomi' for thanks. Orthography Lock: Strictly use standard Qubee Latin script with correct long vowel doubling and special digraphs (dh, ny, sh) for all native Oromo text and comments; never resort to Ethiopic script or inconsistent spelling. Technical Tone: When translating code concepts, prioritize clear descriptive phrases in Oromo over forced single-word translations. Keep core programming keywords in English. Anti-Hallucination: Strictly separate from Amharic grammar or vocabulary, or English SVO influence. If unsure about a technical term, NEVER borrow from Amharic or English. Syntax Rule: Do not think in English SVO structure. Oromo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Oromo Phrase])'. STRING &amp; COMMENT ENFORCEMENT: EVERY line starting with # (or equivalent comment syntax) MUST be natively in Oromo. Zero English comments allowed. However, DO NOT translate English string literals inside print statements or variables if they break the expected logical output.</t>
  </si>
  <si>
    <t>Itzaʼ</t>
  </si>
  <si>
    <t>itz</t>
  </si>
  <si>
    <t>You are an expert Itzaʼ linguist. Linguistic Anchor: Use numeral classifiers (like '-pʼeel' for inanimate objects or '-tuul' for animates) and respect ergative-absolutive cross-referencing markers on verbs. Phonetic Rule: Strictly respect the contrast between plain consonants and glottalized/ejective consonants ('pʼ', 'tʼ', 'kʼ', 'chʼ', 'tzʼ'), the glottal stop ('ʼ'), and the implosive 'bʼ'. Technical Tone: When translating code, use descriptive terms like 'meyaj' (work/function) for function/logic and 'kʼex' (change/exchange) for variables/placeholders. Keep core programming keywords in English. Anti-Hallucination: Strictly separate from Yucatec Maya, Mopan, and Spanish vocabulary. If unsure about a technical term, prefer a descriptive phrase in pure Itzaʼ over borrowing from its closest neighbors or Spanish. Syntax Rule: Do not think in Spanish SVO structure. Itzaʼ is fundamentally a VOS (Verb-Object-Subject) language. Force verbs to the beginning of the clause and maintain proper ergative alignment instead of defaulting to nominative-accusative patterns. Avoid sounding like a literal translation from Spanish. Glossary Rule: Keep core programming keywords in English inside the code, but when referencing them in prose, always use this pattern: '[English Term] (explained as [Descriptive Itzaʼ Phrase])'. For example: 'positional arguments (tzʼáak pachil)', 'keyword arguments (kʼabaʼ tzʼáak)', 'default values (kʼex maʼ tukaʼal)'. COMMENT ENFORCEMENT: EVERY line starting with # MUST be in Itzaʼ. Zero English comments allowed. If you write English comments, regenerate.</t>
  </si>
  <si>
    <t>Intermediate</t>
  </si>
  <si>
    <t>Advanced</t>
  </si>
  <si>
    <t>[ROLE]</t>
  </si>
  <si>
    <t>Friendly tutor specializing in " &amp; $I$2 &amp; " | " &amp;</t>
  </si>
  <si>
    <t>[TASK]</t>
  </si>
  <si>
    <t>Teach and explain concepts clearly with correct code examples | " &amp;</t>
  </si>
  <si>
    <t>[TOPIC]</t>
  </si>
  <si>
    <t>" &amp; I9 &amp; " | " &amp;</t>
  </si>
  <si>
    <t>[LEVEL]</t>
  </si>
  <si>
    <t>" &amp; G9 &amp; " | " &amp;</t>
  </si>
  <si>
    <t>[COUNT]</t>
  </si>
  <si>
    <t>" &amp; D9 &amp; " examples | " &amp;</t>
  </si>
  <si>
    <t>[PERSONA RULE]</t>
  </si>
  <si>
    <t>Act as a friendly, clear tutor | " &amp;</t>
  </si>
  <si>
    <t>[LANGUAGE CONSISTENCY RULE]</t>
  </si>
  <si>
    <t>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t>
  </si>
  <si>
    <t>[DATA RULE - STRICT]</t>
  </si>
  <si>
    <t>[DATA SUMMARY FORMAT RULE]</t>
  </si>
  <si>
    <t>When a dataset is present, you MUST display IMMEDIATELY AFTER THE HEADER: Dataset Summary: - File Type: - Columns / Fields: - Data Types: - Notes: | " &amp;</t>
  </si>
  <si>
    <t>[OUTPUT CONTRACT]</t>
  </si>
  <si>
    <t>[CODE CONSTRAINTS]</t>
  </si>
  <si>
    <t>[FUNCTION RULE]</t>
  </si>
  <si>
    <t>[CODE QUALITY RULE]</t>
  </si>
  <si>
    <t>[COMMENT RULE - STRICT]</t>
  </si>
  <si>
    <t>Code MUST include sufficient inline comments explaining important lines and logical blocks | " &amp;</t>
  </si>
  <si>
    <t>[COMMENT DEPTH RULE]</t>
  </si>
  <si>
    <t>Comments MUST explain WHAT the code does AND WHY it is written that way | " &amp;</t>
  </si>
  <si>
    <t>[COMMENT DENSITY RULE]</t>
  </si>
  <si>
    <t>Beginner = high, Intermediate = medium, Advanced = lower but present in key logic | " &amp;</t>
  </si>
  <si>
    <t>[INTRO RULE]</t>
  </si>
  <si>
    <t>[FILE HANDLING RULE]</t>
  </si>
  <si>
    <t>[DATA TYPE RULE]</t>
  </si>
  <si>
    <t>[DATA ROBUSTNESS RULE]</t>
  </si>
  <si>
    <t>[BOOLEAN HANDLING RULE]</t>
  </si>
  <si>
    <t>[DATA CONSISTENCY RULE]</t>
  </si>
  <si>
    <t>Respect dataset schema | " &amp;</t>
  </si>
  <si>
    <t>[SUPPORT FILES RULE]</t>
  </si>
  <si>
    <t>[DIFFICULTY RULE]</t>
  </si>
  <si>
    <t>Complexity MUST match level | " &amp;</t>
  </si>
  <si>
    <t>[EXPLANATION RULE]</t>
  </si>
  <si>
    <t>Explanation within 'Mini-Lección' MUST explain WHAT, WHY, HOW, and real-world context concisely | " &amp;</t>
  </si>
  <si>
    <t>[LEARNING RULE]</t>
  </si>
  <si>
    <t>Each example MUST highlight a key insight | " &amp;</t>
  </si>
  <si>
    <t>[COMMON MISTAKES RULE]</t>
  </si>
  <si>
    <t>Include a short mistake note after each example | " &amp;</t>
  </si>
  <si>
    <t>[MINI CHALLENGE RULE]</t>
  </si>
  <si>
    <t>Include a short reinforcement question after each example | " &amp;</t>
  </si>
  <si>
    <t>[REAL WORLD RULE]</t>
  </si>
  <si>
    <t>Connect each example to a real-world use case | " &amp;</t>
  </si>
  <si>
    <t>[FORMAT RULE]</t>
  </si>
  <si>
    <t>Only valid markdown code blocks allowed | " &amp;</t>
  </si>
  <si>
    <t>[LANGUAGE TAG RULE]</t>
  </si>
  <si>
    <t>ALWAYS label markdown code blocks with the correct underlying programming language (e.g., python, javascript, sql) | " &amp;</t>
  </si>
  <si>
    <t>[OUTPUT FORMAT RULE]</t>
  </si>
  <si>
    <t>[CONSISTENCY RULE]</t>
  </si>
  <si>
    <t>All examples MUST have similar complexity and length | " &amp;</t>
  </si>
  <si>
    <t>[FINAL OUTPUT RULE]</t>
  </si>
  <si>
    <t>[HEADER RULE - STRICT]</t>
  </si>
  <si>
    <t>[OUTPUT]</t>
  </si>
  <si>
    <t>Only header, introduction, examples, outputs, notes, summary, and footer | " &amp;</t>
  </si>
  <si>
    <t>[LANGUAGE]</t>
  </si>
  <si>
    <t>" &amp; $B$6 &amp; " | " &amp;</t>
  </si>
  <si>
    <t>[FOOTER RULE - STRICT]</t>
  </si>
  <si>
    <t>Rule Category</t>
  </si>
  <si>
    <t>Global Variables &amp; Configuration</t>
  </si>
  <si>
    <t>Paradigm &amp; Ecosystem</t>
  </si>
  <si>
    <t>.</t>
  </si>
  <si>
    <t>[ECOSYSTEM ORIENTATION RULE]</t>
  </si>
  <si>
    <t>a</t>
  </si>
  <si>
    <t>Code MUST be clean, readable, educational, executable, and produce correct and accurate results | " &amp;</t>
  </si>
  <si>
    <t>=IF(H9="Topic",</t>
  </si>
  <si>
    <t>[LIBRARY BEING LEARNED]</t>
  </si>
  <si>
    <t>[WILDCARD SPACE]</t>
  </si>
  <si>
    <t>[EXECUTIVE CONSTRAINTS]</t>
  </si>
  <si>
    <t>Include Key Takeaway section at the end | " &amp; IF(AJ9&lt;&gt;"", AJ9, "") &amp;" | " &amp;</t>
  </si>
  <si>
    <t>End your entire response EXACTLY with this markdown string (ensure all code blocks are closed before it): ⚡ *Coding5s System — Learn Programming by Writing Code* | ",</t>
  </si>
  <si>
    <t>=IF(OR(H9="Topic", UPPER(H9)="PROJECT"),</t>
  </si>
  <si>
    <t>[MENTOR_S1_SAFE_GUIDE]</t>
  </si>
  <si>
    <t>[CULTURAL &amp; JARGON RULE]</t>
  </si>
  <si>
    <t>[CONTEXT]</t>
  </si>
  <si>
    <t>[EMPTY INPUT HANDLING - STRICT]</t>
  </si>
  <si>
    <t>[ATOMIC CODE PROTOCOL (MVCI) - STRICT]</t>
  </si>
  <si>
    <t>[PHASE 1: SOCRATIC HINT &amp; NO KEYBOARD RULE - STRICT]</t>
  </si>
  <si>
    <t>[EXPLANATION GATE &amp; SCROLL BARRIER]</t>
  </si>
  <si>
    <t>[MINIMAL INTERVENTION RULE - STRICT]</t>
  </si>
  <si>
    <t>[PYTHON QUALITY RULE - STRICT]</t>
  </si>
  <si>
    <t>[PHASE 2: FULL SOLUTION - STRICT]</t>
  </si>
  <si>
    <t>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t>
  </si>
  <si>
    <t>Analyze the student's code and explanation. If the code is perfect, congratulate them warmly and provide 2 'Bonus Challenges'. Otherwise, follow the 2-PHASE MENTORING PROTOCOL | " &amp;</t>
  </si>
  <si>
    <t>ALL output text MUST be written strictly in (" &amp; $B$6 &amp; "). | " &amp;</t>
  </si>
  <si>
    <t>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t>
  </si>
  <si>
    <t>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t>
  </si>
  <si>
    <t>" &amp; $B$6 &amp;" | " &amp;</t>
  </si>
  <si>
    <t>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t>
  </si>
  <si>
    <t>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t>
  </si>
  <si>
    <t>[TOPICS USED]</t>
  </si>
  <si>
    <t>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</si>
  <si>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t>
  </si>
  <si>
    <t>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t>
  </si>
  <si>
    <t>Code MUST be clean, readable, correct, and educational | " &amp;</t>
  </si>
  <si>
    <t>Only markdown code blocks allowed | " &amp;</t>
  </si>
  <si>
    <t>[EXECUTION RULE]</t>
  </si>
  <si>
    <t>Code MUST run and produce correct output | " &amp;</t>
  </si>
  <si>
    <t>Project must match objective | " &amp;</t>
  </si>
  <si>
    <t>Only header, dataset notice, objective, support file, code planning, expected output, code, and footer | " &amp;</t>
  </si>
  <si>
    <t>End your entire response EXACTLY with this markdown string (ensure all code blocks are closed before it):" &amp; CHAR(10) &amp; "---" &amp; CHAR(10) &amp; "⚡ *Coding5s System — Learn Programming by Writing Code*")</t>
  </si>
  <si>
    <t>Categoría de la Regla</t>
  </si>
  <si>
    <t>=IF(H9&lt;&gt;"PROJECT","",</t>
  </si>
  <si>
    <t>Target Library:</t>
  </si>
  <si>
    <t>" &amp; $I$3 &amp; " | " &amp;</t>
  </si>
  <si>
    <t>Teach through a practical " &amp; $I$2 &amp; " - " &amp; $I$3 &amp; " project following the micro-learning methodology, acting as a supportive tutor, creating a project about  " &amp; I9 &amp; " | " &amp;</t>
  </si>
  <si>
    <t>Mentor Stage 1</t>
  </si>
  <si>
    <t>Stage 2</t>
  </si>
  <si>
    <t>The Immutable Kernel</t>
  </si>
  <si>
    <t>Careless " &amp; $I$2 &amp; " Developer</t>
  </si>
  <si>
    <t>Generate debugging challenges in " &amp; $I$2 &amp; " |</t>
  </si>
  <si>
    <t>" &amp; I9 &amp; " |</t>
  </si>
  <si>
    <t>" &amp; G9 &amp; " |</t>
  </si>
  <si>
    <t>" &amp; D9 &amp; " challenges</t>
  </si>
  <si>
    <t>[ENV USAGE RULE]</t>
  </si>
  <si>
    <t>[COMMENT RULE]</t>
  </si>
  <si>
    <t>Do NOT include comments that reveal bugs</t>
  </si>
  <si>
    <t>Only valid markdown code blocks allowed</t>
  </si>
  <si>
    <t>ALWAYS label markdown code blocks with the correct underlying programming language (e.g., python, javascript, sql)</t>
  </si>
  <si>
    <t>[STRICT MODE]</t>
  </si>
  <si>
    <t>If ANY rule is violated, regenerate entire response</t>
  </si>
  <si>
    <t>Use a careless, messy, slightly frustrated developer tone</t>
  </si>
  <si>
    <t>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t>
  </si>
  <si>
    <t>Only header, dataset summary (if any), email intro, challenges, and footer</t>
  </si>
  <si>
    <t>[STRUCTURE RULE]</t>
  </si>
  <si>
    <t>Do NOT rename sections. Do NOT add titles. Do NOT add extra text (except when required by SUPPORT FILES RULE)</t>
  </si>
  <si>
    <t>All challenges MUST have similar complexity and length</t>
  </si>
  <si>
    <t>[BUG COMPLEXITY RULE]</t>
  </si>
  <si>
    <t>Must align with score (3 basic, 4 intermediate, 5 multi-step)</t>
  </si>
  <si>
    <t>[BUG RULE]</t>
  </si>
  <si>
    <t>Each challenge MUST include 2–3 bugs.</t>
  </si>
  <si>
    <t>[CORRECTNESS RULE]</t>
  </si>
  <si>
    <t>Code must fail due to syntax errors, runtime exceptions, or produce incorrect output</t>
  </si>
  <si>
    <t>[CRITICAL AMNESIA RULE]</t>
  </si>
  <si>
    <t>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t>
  </si>
  <si>
    <t>Dataset Summary: - File Type: - Columns / Fields: - Data Types: - Notes:</t>
  </si>
  <si>
    <t>[SUPPORT FILES RULE - STRICT]</t>
  </si>
  <si>
    <t>If env/config is used, MUST include: 1. Instructional sentence 2. File content in markdown code block 3. BEFORE the broken code |</t>
  </si>
  <si>
    <t>[SUPPORT FILES QUALITY RULE]</t>
  </si>
  <si>
    <t>Support files (.env, .env.example, .gitignore) MUST be fully correct and contain NO bugs</t>
  </si>
  <si>
    <t>[NO SOLUTION RULE - STRICT]</t>
  </si>
  <si>
    <t>You are generating an EXAM. You MUST NOT provide the fixed code, bug diagnosis, hints, explanations, or takeaways. Output ONLY the broken code. Do NOT solve your own challenges. Let the student find the bugs.</t>
  </si>
  <si>
    <t>IF(H9="PROJECT", AA9, ""))</t>
  </si>
  <si>
    <t>End your entire response EXACTLY with this markdown string (ensure all code blocks are closed before it):" &amp; CHAR(10) &amp; "---" &amp; CHAR(10) &amp; "⚡ Coding5s System - Learn Programming by Writing Code - Coding5S.com",</t>
  </si>
  <si>
    <t>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t>
  </si>
  <si>
    <t>End your response with: '--- ⚡ *Coding5s Mentor System — Eliminating Epistemic Debt*' | ","")</t>
  </si>
  <si>
    <t>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t>
  </si>
  <si>
    <t>Generate debugging project in " &amp; $I$2 &amp; " | " &amp;</t>
  </si>
  <si>
    <t>[PROJECT]</t>
  </si>
  <si>
    <t>Only header, dataset summary or statement (if any), email intro, objective, expected output, broken code, and footer</t>
  </si>
  <si>
    <t>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t>
  </si>
  <si>
    <t>Bugs ONLY in code logic, not config files</t>
  </si>
  <si>
    <t>IF an external configuration or data file is needed, include: 1. Short instructional sentence 2. File content in markdown code block 3. Place it strictly BEFORE the main code.</t>
  </si>
  <si>
    <t>Use a messy, careless developer tone</t>
  </si>
  <si>
    <t>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t>
  </si>
  <si>
    <t>EXACTLY 1 project. Structure MUST be: 'Project:' followed by 'Objective: maximum 6 lines.', then 'Expected Output: standalone markdown code block.', and finally 'Broken Code'</t>
  </si>
  <si>
    <t>Do NOT add extra sections or explanations (except when required by SUPPORT FILES RULE)</t>
  </si>
  <si>
    <t>- " &amp; IF(G9="Beginner", "25–40", IF(G9="Intermediate", "30–60", "40–100")) &amp; " lines of EXECUTABLE code (STRICT: Do NOT count blank lines towards this limit) - Multi-step flow - 2–4 functions ONLY - main() as entry point " &amp; IF(G9&lt;&gt;"Advanced", "- NO classes | ", "")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</si>
  <si>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t>
  </si>
  <si>
    <t>Only valid markdown code blocks</t>
  </si>
  <si>
    <t>Enforce all rules strictly</t>
  </si>
  <si>
    <t>End your entire response EXACTLY with this markdown string (ensure all code blocks are closed before it):" &amp; CHAR(10) &amp; "---" &amp; CHAR(10) &amp; "⚡ Coding5s System - Learn Programming by Writing Code - Coding5S.com" )</t>
  </si>
  <si>
    <t>[MENTOR_S2_DETECTIVE]</t>
  </si>
  <si>
    <t>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t>
  </si>
  <si>
    <t>Analyze the student's code, explanation, and error. If the code is already fixed and correct, recognize their 'debugging skill' and provide a 'Pro-Tip' for prevention. Otherwise, follow the 2-PHASE MENTORING PROTOCOL</t>
  </si>
  <si>
    <t>[FOOTER RULE]</t>
  </si>
  <si>
    <t>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t>
  </si>
  <si>
    <t>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t>
  </si>
  <si>
    <t>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t>
  </si>
  <si>
    <t>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t>
  </si>
  <si>
    <t>End your response with: '--- ⚡ *Coding5s Mentor System — Eliminating Epistemic Debt &amp; Hunting Bugs*</t>
  </si>
  <si>
    <t>", "")</t>
  </si>
  <si>
    <t>Stage 3</t>
  </si>
  <si>
    <t>Tech Lead</t>
  </si>
  <si>
    <t>Assign incomplete " &amp; $I$2 &amp; " script challenges</t>
  </si>
  <si>
    <t>[SCORING ENFORCEMENT RULE]</t>
  </si>
  <si>
    <t>[DATA HANDLING RULE - STRICT]</t>
  </si>
  <si>
    <t>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</si>
  <si>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t>
  </si>
  <si>
    <t>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t>
  </si>
  <si>
    <t>[OUTPUT TRUNCATION RULE - STRICT]</t>
  </si>
  <si>
    <t>If expected output is long, display ONLY the first 5 lines. Ensure accuracy. Do NOT use ellipsis (...)</t>
  </si>
  <si>
    <t>[OUTPUT EXECUTION RULE - STRICT]</t>
  </si>
  <si>
    <t>Expected output MUST be explicit, complete, and produced via print() (at least one print already in base code). Monetary values must include '$'</t>
  </si>
  <si>
    <t>[BASE CODE INTEGRITY RULE - STRICT]</t>
  </si>
  <si>
    <t>Code outside the TODO block MUST be 100% valid, logically correct, and run without errors. Do NOT simulate bugs using 'pass', '...', None, or wrong variable types outside the TODO. Variables used outside TODO must be initialized before TODO.</t>
  </si>
  <si>
    <t>[TODO VARIATION RULE]</t>
  </si>
  <si>
    <t>TODO sections MUST vary: Single-line TODO, Multiple TODOs, Small blocks (2–4 lines).</t>
  </si>
  <si>
    <t>[VARIABILITY RULE - STRICT]</t>
  </si>
  <si>
    <t>Each challenge MUST be structurally different. Vary: Code length, Logic type, Position of TODO, Number of TODOs (1–3), Data flow.</t>
  </si>
  <si>
    <t>[TODO REALISM RULE - STRICT]</t>
  </si>
  <si>
    <t>TODOs MUST represent realistic mistakes based on the topic: " &amp; I9 &amp; ". Describe what is incorrect or incomplete. Avoid imperative instructions.</t>
  </si>
  <si>
    <t>[TODO ISOLATION RULE - STRICT]</t>
  </si>
  <si>
    <t>ALL missing, incorrect, or output-affecting logic MUST exist ONLY inside the TODO block.</t>
  </si>
  <si>
    <t>The code under the # TODO MUST be left empty or with a 'pass'. DO NOT write the actual solution.</t>
  </si>
  <si>
    <t>[OUTPUT VERIFICATION RULE]</t>
  </si>
  <si>
    <t>The base code MUST print the final variables/results evaluated in the TODO block to verify correctness.</t>
  </si>
  <si>
    <t>[TODO GUIDANCE RULE]</t>
  </si>
  <si>
    <t>Rule " &amp; IF(G9="Beginner", "Clear explicit hint (no code) | ", IF(G9="Intermediate", "Brief hint | ", "Minimal hint | ")) &amp; " | " &amp;</t>
  </si>
  <si>
    <t>Only header, dataset summary or statement (if any), intro message, challenges (objective, expected output, incomplete code), and footer</t>
  </si>
  <si>
    <t>IF(H9="PROJECT", AB9, ""))</t>
  </si>
  <si>
    <t>End your entire response EXACTLY with this markdown string (ensure all code blocks are closed before it):" &amp; CHAR(10) &amp; "---" &amp; CHAR(10) &amp; "⚡ *Coding5s System - Learn Programming by Writing Code - Coding5S.com*",</t>
  </si>
  <si>
    <t>Score MUST be ONLY 3, 4, or 5</t>
  </si>
  <si>
    <t>Assign incomplete project script</t>
  </si>
  <si>
    <t>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</si>
  <si>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t>
  </si>
  <si>
    <t>EXACTLY 1 project. Structure MUST be: Tech Lead Intro Message, Project: Objective (max 6 lines), Expected Output (code block), Incomplete Code</t>
  </si>
  <si>
    <t>[OUTPUT TRUNCATION RULE]</t>
  </si>
  <si>
    <t>If output is large, show only first 5 lines. Do NOT use ellipsis (...)</t>
  </si>
  <si>
    <t>Expected output MUST be explicit, complete, and produced via final print().</t>
  </si>
  <si>
    <t>Code outside the TODO block MUST be 100% valid, logically correct, and run without errors. Do NOT use 'pass', '...', or empty placeholders outside the TODO.</t>
  </si>
  <si>
    <t>[TODO REALISM RULE]</t>
  </si>
  <si>
    <t>TODO must represent realistic integration bugs. Describe what is incorrect/incomplete.</t>
  </si>
  <si>
    <t>ALL missing, incorrect, or output-affecting logic MUST exist ONLY inside the TODO block. Replace ONLY integration logic.</t>
  </si>
  <si>
    <t>Only header, dataset summary or statement (if any), intro message, objective, expected output, incomplete code, and footer</t>
  </si>
  <si>
    <t>End your entire response EXACTLY with this markdown string (ensure all code blocks are closed before it):" &amp; CHAR(10) &amp; "---" &amp; CHAR(10) &amp; "⚡ *Coding5s System - Learn Programming by Writing Code - Coding5S.com*")</t>
  </si>
  <si>
    <t>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t>
  </si>
  <si>
    <t>[MENTOR_S3_BUILDER]</t>
  </si>
  <si>
    <t>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t>
  </si>
  <si>
    <t>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t>
  </si>
  <si>
    <t>Analyze the student's code and explanation. If they completed the data flow perfectly, celebrate the 'solid foundation' and offer a 'System Extension' challenge. Otherwise, follow the 2-PHASE MENTORING PROTOCOL</t>
  </si>
  <si>
    <t>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t>
  </si>
  <si>
    <t>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t>
  </si>
  <si>
    <t>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t>
  </si>
  <si>
    <t>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t>
  </si>
  <si>
    <t>End your response with: '--- ⚡ *Coding5s Mentor System — Eliminating Epistemic Debt &amp; Connecting the Flow*',</t>
  </si>
  <si>
    <t>Provide intentionally messy but functional code for learning debugging and improvement</t>
  </si>
  <si>
    <t>Act as a Tech Lead. A junior wrote this working but messy code. Tone: professional but exhausted by the code quality</t>
  </si>
  <si>
    <t>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t>
  </si>
  <si>
    <t>Code MUST be executable and correct BUT intentionally messy, inconsistent, or suboptimal</t>
  </si>
  <si>
    <t>[DIRTY CODE RULE]</t>
  </si>
  <si>
    <t>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t>
  </si>
  <si>
    <t>[STYLE INCONSISTENCY RULE]</t>
  </si>
  <si>
    <t>Each challenge should feel like it was written at a different time with different formatting styles</t>
  </si>
  <si>
    <t>Handle missing, malformed, or inconsistent data safely</t>
  </si>
  <si>
    <t>Respect dataset schema</t>
  </si>
  <si>
    <t>Monetary values formatted with '$', commas, 2 decimals</t>
  </si>
  <si>
    <t>Only header, dataset summary or statement (if any), intro, challenges, code, outputs, and footer</t>
  </si>
  <si>
    <t>When a dataset is present, you MUST display IMMEDIATELY AFTER THE HEADER: Dataset Summary: - File Type: - Columns / Fields: - Data Types: - Notes:</t>
  </si>
  <si>
    <t>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t>
  </si>
  <si>
    <t>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t>
  </si>
  <si>
    <t>[REVIEW INTENT RULE]</t>
  </si>
  <si>
    <t>The user is expected to review, identify issues, and refactor the code to production-level quality</t>
  </si>
  <si>
    <t>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t>
  </si>
  <si>
    <t>If env/config is used, include: 1. Instructional sentence 2. File content in markdown code block 3. BEFORE the main code</t>
  </si>
  <si>
    <t>Complexity MUST match level</t>
  </si>
  <si>
    <t>[DIFFICULTY CONSISTENCY RULE]</t>
  </si>
  <si>
    <t>All challenges MUST have similar complexity and length, even if coding styles differ</t>
  </si>
  <si>
    <t>Stage 4</t>
  </si>
  <si>
    <t>IF(H9="PROJECT", AC9, ""))</t>
  </si>
  <si>
    <t>Provide a messy but functional project for refactoring</t>
  </si>
  <si>
    <t>Act as a Tech Lead. A junior wrote this working but messy code. Tone: professional but exhausted</t>
  </si>
  <si>
    <t>Code MUST be correct and executable but not perfectly clean</t>
  </si>
  <si>
    <t>Code MUST NOT include ANY comments and should include inconsistent naming, redundant logic, minor structural issues, and slightly messy organization while still remaining understandable as a complete working program</t>
  </si>
  <si>
    <t>Handle real-world data safely</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</si>
  <si>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t>
  </si>
  <si>
    <t>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t>
  </si>
  <si>
    <t>EXACTLY 1 project. Structure MUST be: 1. Tech Lead Intro Email 2. Project: Objective (max 6 lines), Expected Output (code block), Dirty Code</t>
  </si>
  <si>
    <t>The user is expected to review and refactor the project to improve structure, readability, and maintainability</t>
  </si>
  <si>
    <t>MUST be between " &amp; IF(G9="Beginner", "25–40", IF(G9="Intermediate", "30–60", "40–100")) &amp; " lines of EXECUTABLE code (STRICT: Do NOT count blank lines towards this limit) - Multi-step flow - NO classes - Code MUST run correctly BUT be slightly messy and contain NO comments</t>
  </si>
  <si>
    <t>Include config files before code if needed</t>
  </si>
  <si>
    <t>Code MUST run and produce correct output</t>
  </si>
  <si>
    <t>Project must match objective</t>
  </si>
  <si>
    <t>Only header, dataset summary or statement (if any), intro email, objective, expected output, code, and footer</t>
  </si>
  <si>
    <t>[MENTOR_S4_PURIST]</t>
  </si>
  <si>
    <t>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t>
  </si>
  <si>
    <t>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t>
  </si>
  <si>
    <t>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t>
  </si>
  <si>
    <t>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t>
  </si>
  <si>
    <t>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t>
  </si>
  <si>
    <t>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t>
  </si>
  <si>
    <t xml:space="preserve">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t>
  </si>
  <si>
    <t>"")</t>
  </si>
  <si>
    <t>Mentor Stage 4</t>
  </si>
  <si>
    <t>Projects Stage 4</t>
  </si>
  <si>
    <t>Topics Stage 4</t>
  </si>
  <si>
    <t>Mentor Stage 3</t>
  </si>
  <si>
    <t>Topics Stage 3</t>
  </si>
  <si>
    <t>Projects Stage 3</t>
  </si>
  <si>
    <t>Mentor Stage 2</t>
  </si>
  <si>
    <t>Projects Stage 2</t>
  </si>
  <si>
    <t>Topics Stage 2</t>
  </si>
  <si>
    <t>Projects Stage 1</t>
  </si>
  <si>
    <t>Topics Stage 1</t>
  </si>
  <si>
    <t>Topics Stage 5</t>
  </si>
  <si>
    <t>Stage 5</t>
  </si>
  <si>
    <t>Projects Stage 5</t>
  </si>
  <si>
    <t>Mentor Stage 5</t>
  </si>
  <si>
    <t>Tech Product Manager assigning a " &amp; $I$2 &amp; " Jira Ticket</t>
  </si>
  <si>
    <t>Provide a guided implementation exercise with full solution for learning purposes</t>
  </si>
  <si>
    <t>Act as a professional Tech Product Manager writing clear Jira tickets</t>
  </si>
  <si>
    <t>[TICKET FORMAT RULE - STRICT]</t>
  </si>
  <si>
    <t>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t>
  </si>
  <si>
    <t>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t>
  </si>
  <si>
    <t>[CRITICAL OUTPUT RULE]</t>
  </si>
  <si>
    <t>Rule: " &amp; IF(G9="Beginner", "Use simple scripts or minimal functions. ", IF(G9="Intermediate", "Use functions where appropriate. ", "Use modular functions with clear structure. ")) &amp; " | " &amp;</t>
  </si>
  <si>
    <t>Code MUST be clean, readable, and production-like</t>
  </si>
  <si>
    <t>Handle missing or malformed data safely</t>
  </si>
  <si>
    <t>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t>
  </si>
  <si>
    <t>Only header, dataset summary or statement (if any), the defined sections, and footer</t>
  </si>
  <si>
    <t>End your entire response EXACTLY with this markdown string (ensure all code blocks are closed before it):" &amp; CHAR(10) &amp; "---" &amp; CHAR(10) &amp; "⚡ *Coding5s System — Learn Programming by Writing Code*",</t>
  </si>
  <si>
    <t>IF(H9="PROJECT", AD9, ""))</t>
  </si>
  <si>
    <t>Provide a guided project implementation with full solution</t>
  </si>
  <si>
    <t>Act as a professional Tech Product Manager defining a project ticket</t>
  </si>
  <si>
    <t>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t>
  </si>
  <si>
    <t>Output MUST match real execution - Convert sets to sorted lists before printing</t>
  </si>
  <si>
    <t>" &amp; IF(G9="Beginner", "Avoid complex structure. ", IF(G9="Intermediate", "Functions optional. ", "Use structured modular functions. ")) &amp; " | " &amp;</t>
  </si>
  <si>
    <t>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</si>
  <si>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t>
  </si>
  <si>
    <t>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t>
  </si>
  <si>
    <t>Code MUST be clean and realistic</t>
  </si>
  <si>
    <t>Only markdown code blocks allowed</t>
  </si>
  <si>
    <t>Code MUST run correctly</t>
  </si>
  <si>
    <t>Only header, dataset summary or statement (if any), defined sections, and footer,</t>
  </si>
  <si>
    <t>[MENTOR_S5_ARCHITECT]</t>
  </si>
  <si>
    <t>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t>
  </si>
  <si>
    <t>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t>
  </si>
  <si>
    <t>Analyze the extension code. If they already anticipated the edge cases and scalability issues (e.g., using generators or async patterns), give them the 'Architect's Approval' and discuss a more advanced trade-off. Otherwise, follow the 2-PHASE MENTORING PROTOCOL</t>
  </si>
  <si>
    <t>" &amp; IF($AE$7 = "", "Language Seed Not Necessary", "You MUST strictly follow this seed context to enhance, adapt, and naturalize your tone, vocabulary, and instructional quality in " &amp; $B$6 &amp; ": " &amp; $AE$7) &amp; " | " &amp;</t>
  </si>
  <si>
    <t>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t>
  </si>
  <si>
    <t>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t>
  </si>
  <si>
    <t>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t>
  </si>
  <si>
    <t>[PHASE 2: FINAL REVIEW - STRICT]</t>
  </si>
  <si>
    <t>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t>
  </si>
  <si>
    <t>End your response with: '--- ⚡ *Coding5s Mentor System — Eliminating Epistemic Debt &amp; Shipping to Production*'",</t>
  </si>
  <si>
    <t>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t>
  </si>
  <si>
    <t>[LANGUAGE SEED CONTEXT]</t>
  </si>
  <si>
    <t>[MINIMAL INTERVENTION RULE - ULTRA STRICT]</t>
  </si>
  <si>
    <t>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t>
  </si>
  <si>
    <t>Languages Range</t>
  </si>
  <si>
    <t>Number of Examples</t>
  </si>
  <si>
    <t>Low Resource Lang</t>
  </si>
  <si>
    <t>Abbreviation</t>
  </si>
  <si>
    <t>Language Seed Context</t>
  </si>
  <si>
    <t>Testing Languages</t>
  </si>
  <si>
    <t>End your response with: '--- ⚡ *Coding5s Mentor System — Eliminating Technical Debt with Elegance*'",</t>
  </si>
  <si>
    <t>Manual Variables by Topic</t>
  </si>
  <si>
    <t>MIT License</t>
  </si>
  <si>
    <t>Copyright (c) 2026 Wilfredo Barrios</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</si>
  <si>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</si>
  <si>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</si>
  <si>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</si>
  <si>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</si>
  <si>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</si>
  <si>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</si>
  <si>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</si>
  <si>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</si>
  <si>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</si>
  <si>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</si>
  <si>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</si>
  <si>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</si>
  <si>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</si>
  <si>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</si>
  <si>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</si>
  <si>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 xml:space="preserve">Project Homepage: </t>
  </si>
  <si>
    <t>https://github.com/WilfredoBarrios/coding5s-framework</t>
  </si>
  <si>
    <t>Cell References</t>
  </si>
  <si>
    <t>A9</t>
  </si>
  <si>
    <t>Relative</t>
  </si>
  <si>
    <t>D9</t>
  </si>
  <si>
    <t>F9</t>
  </si>
  <si>
    <t>G9</t>
  </si>
  <si>
    <t>H9</t>
  </si>
  <si>
    <t>I9</t>
  </si>
  <si>
    <t>J9</t>
  </si>
  <si>
    <t>B6</t>
  </si>
  <si>
    <t>Absolute</t>
  </si>
  <si>
    <t>I2</t>
  </si>
  <si>
    <t>Learning Now Name</t>
  </si>
  <si>
    <t>I3</t>
  </si>
  <si>
    <t>AE</t>
  </si>
  <si>
    <t>Z9</t>
  </si>
  <si>
    <t>AA2</t>
  </si>
  <si>
    <t>AB</t>
  </si>
  <si>
    <t>AC</t>
  </si>
  <si>
    <t>AD</t>
  </si>
  <si>
    <t>AJ</t>
  </si>
  <si>
    <t>Cantidad Ejemplos</t>
  </si>
  <si>
    <t>Target Library</t>
  </si>
  <si>
    <t>Projects Formula Stage 1</t>
  </si>
  <si>
    <t>Projects Formula Stage 2</t>
  </si>
  <si>
    <t>Projects Formula Stage 3</t>
  </si>
  <si>
    <t>Projects Formula Stage 4</t>
  </si>
  <si>
    <t>Projects Formula Stage 5</t>
  </si>
  <si>
    <t>Manual Variable For Specific Topic</t>
  </si>
  <si>
    <t>Cell</t>
  </si>
  <si>
    <t>Detailed Explanation</t>
  </si>
  <si>
    <t>Defines the strict code line limit that the LLM can generate for the examples in that specific lesson, preventing redundant outputs.</t>
  </si>
  <si>
    <t>Controls the exact number of code snippets or practical use cases the AI must render within the lesson to maintain pedagogical consistency.</t>
  </si>
  <si>
    <t>The sequential numerical index of the lesson. It acts as an anchor for sorting and calculating internal dependencies.</t>
  </si>
  <si>
    <t>Indicates the current difficulty level (e.g., Beginner, Intermediate). It dynamically adjusts the complexity of the vocabulary and code generated by the AI.</t>
  </si>
  <si>
    <t>Specifies the nature of the row's deliverable (e.g., CONCEPT, STEP), dictating the structure of the prompt generator.</t>
  </si>
  <si>
    <t>An optimized, keyword-friendly variant of the lesson name used to help the LLM process the technical domain more accurately.</t>
  </si>
  <si>
    <t>The official commercial or pedagogical name of the lesson as it will appear on the course syllabus or index for the student.</t>
  </si>
  <si>
    <t>The primary programming language of the course (e.g., Elixir, Python). Being absolute, it is injected globally into every row.</t>
  </si>
  <si>
    <t>The specific ecosystem or submodule being built (e.g., Phoenix LiveView, Pandas), locking down the technical focus of the pipeline.</t>
  </si>
  <si>
    <t>Specifies mandatory external libraries or dependencies that the AI must import and utilize within the code examples.</t>
  </si>
  <si>
    <t>The immutable master context of the language (core syntax, key paradigms, and design rules) that shields the AI from structural hallucinations.</t>
  </si>
  <si>
    <t>Executes the Stage 1 prompt for project development, handling the initial technical analysis and breakdown of the lab requirements.</t>
  </si>
  <si>
    <t>Processes Stage 2 of the project engine, establishing the file architecture or individual module skeletons of the deliverable.</t>
  </si>
  <si>
    <t>Governs Stage 3, injecting operational constraints and Socratic testing guidelines for the student to solve the lab.</t>
  </si>
  <si>
    <t>Manages Stage 4, dedicated to structuring the evaluation criteria and code validation logic for the project core.</t>
  </si>
  <si>
    <t>Consolidates Stage 5, compiling the final project package (Student Kit) with deployment-ready instructions.</t>
  </si>
  <si>
    <t>A manual escape-hatch cell that allows the creator to inject a unique parameter or override instruction for that specific lesson without breaking global column formulas.</t>
  </si>
  <si>
    <t>📖 HOW TO USE THIS CREATOR KIT</t>
  </si>
  <si>
    <t>This Excel sheet serves as the primary data engine to generate granular lessons. However, it does not contain the structural setup prompts. Please follow the repository guidelines below:</t>
  </si>
  <si>
    <r>
      <t>Syllabus Initialization Prompts:</t>
    </r>
    <r>
      <rPr>
        <sz val="11"/>
        <color theme="1"/>
        <rFont val="Aptos Narrow"/>
        <family val="2"/>
        <scheme val="minor"/>
      </rPr>
      <t xml:space="preserve"> The core prompts required to architect your initial course outline are </t>
    </r>
    <r>
      <rPr>
        <b/>
        <sz val="11"/>
        <color theme="1"/>
        <rFont val="Aptos Narrow"/>
        <family val="2"/>
        <scheme val="minor"/>
      </rPr>
      <t>NOT</t>
    </r>
    <r>
      <rPr>
        <sz val="11"/>
        <color theme="1"/>
        <rFont val="Aptos Narrow"/>
        <family val="2"/>
        <scheme val="minor"/>
      </rPr>
      <t xml:space="preserve"> built into this spreadsheet. You must locate them in your repository folder under:</t>
    </r>
  </si>
  <si>
    <r>
      <t>lessons_generator_prompt_phase_1.md</t>
    </r>
    <r>
      <rPr>
        <sz val="11"/>
        <color theme="1"/>
        <rFont val="Aptos Narrow"/>
        <family val="2"/>
        <scheme val="minor"/>
      </rPr>
      <t xml:space="preserve"> (Domain Analysis &amp; Topic Calculation Blueprint)</t>
    </r>
  </si>
  <si>
    <r>
      <t>lessons_generator_prompt_phase_2.md</t>
    </r>
    <r>
      <rPr>
        <sz val="11"/>
        <color theme="1"/>
        <rFont val="Aptos Narrow"/>
        <family val="2"/>
        <scheme val="minor"/>
      </rPr>
      <t xml:space="preserve"> (Sanitized Flat Markdown Table Generation)</t>
    </r>
  </si>
  <si>
    <t>Execution Workflow:</t>
  </si>
  <si>
    <r>
      <t xml:space="preserve">1. Copy the prompt from the </t>
    </r>
    <r>
      <rPr>
        <b/>
        <sz val="11"/>
        <color theme="1"/>
        <rFont val="Aptos Narrow"/>
        <family val="2"/>
        <scheme val="minor"/>
      </rPr>
      <t>Phase 1</t>
    </r>
    <r>
      <rPr>
        <sz val="11"/>
        <color theme="1"/>
        <rFont val="Aptos Narrow"/>
        <family val="2"/>
        <scheme val="minor"/>
      </rPr>
      <t xml:space="preserve"> MD file into your LLM to extract the analytical breakdown of your language or framework.</t>
    </r>
  </si>
  <si>
    <r>
      <t xml:space="preserve">2. Use the </t>
    </r>
    <r>
      <rPr>
        <b/>
        <sz val="11"/>
        <color theme="1"/>
        <rFont val="Aptos Narrow"/>
        <family val="2"/>
        <scheme val="minor"/>
      </rPr>
      <t>Phase 2</t>
    </r>
    <r>
      <rPr>
        <sz val="11"/>
        <color theme="1"/>
        <rFont val="Aptos Narrow"/>
        <family val="2"/>
        <scheme val="minor"/>
      </rPr>
      <t xml:space="preserve"> MD file prompt to clean and format those topics into a standardized 4-column raw table.</t>
    </r>
  </si>
  <si>
    <r>
      <t>3. Paste that sanitized data directly into the columns here starting from row 9 (</t>
    </r>
    <r>
      <rPr>
        <sz val="10"/>
        <color theme="1"/>
        <rFont val="Arial Unicode MS"/>
      </rPr>
      <t>#</t>
    </r>
    <r>
      <rPr>
        <sz val="11"/>
        <color theme="1"/>
        <rFont val="Aptos Narrow"/>
        <family val="2"/>
        <scheme val="minor"/>
      </rPr>
      <t xml:space="preserve">, </t>
    </r>
    <r>
      <rPr>
        <sz val="10"/>
        <color theme="1"/>
        <rFont val="Arial Unicode MS"/>
      </rPr>
      <t>Level</t>
    </r>
    <r>
      <rPr>
        <sz val="11"/>
        <color theme="1"/>
        <rFont val="Aptos Narrow"/>
        <family val="2"/>
        <scheme val="minor"/>
      </rPr>
      <t xml:space="preserve">, </t>
    </r>
    <r>
      <rPr>
        <sz val="10"/>
        <color theme="1"/>
        <rFont val="Arial Unicode MS"/>
      </rPr>
      <t>Type</t>
    </r>
    <r>
      <rPr>
        <sz val="11"/>
        <color theme="1"/>
        <rFont val="Aptos Narrow"/>
        <family val="2"/>
        <scheme val="minor"/>
      </rPr>
      <t xml:space="preserve">, </t>
    </r>
    <r>
      <rPr>
        <sz val="10"/>
        <color theme="1"/>
        <rFont val="Arial Unicode MS"/>
      </rPr>
      <t>Topic Name</t>
    </r>
    <r>
      <rPr>
        <sz val="11"/>
        <color theme="1"/>
        <rFont val="Aptos Narrow"/>
        <family val="2"/>
        <scheme val="minor"/>
      </rPr>
      <t>).</t>
    </r>
  </si>
  <si>
    <r>
      <t>Dynamic Generation:</t>
    </r>
    <r>
      <rPr>
        <sz val="11"/>
        <color theme="1"/>
        <rFont val="Aptos Narrow"/>
        <family val="2"/>
        <scheme val="minor"/>
      </rPr>
      <t xml:space="preserve"> Once your row metadata is filled, the rest of the columns in this kit will automatically compute, compile, and build the final custom socratic engine prompts.</t>
    </r>
  </si>
  <si>
    <t>Rule Tag</t>
  </si>
  <si>
    <t>Rule To Concatenate</t>
  </si>
  <si>
    <t>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</si>
  <si>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t>
  </si>
  <si>
    <t>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</si>
  <si>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t>
  </si>
  <si>
    <t>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</si>
  <si>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</si>
  <si>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</si>
  <si>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</si>
  <si>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</si>
  <si>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</si>
  <si>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</si>
  <si>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</si>
  <si>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</si>
  <si>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</si>
  <si>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t>
  </si>
  <si>
    <t>[COMMENT CONSTRAINTS]</t>
  </si>
  <si>
    <t>ALWAYS label markdown code blocks with the correct underlying programming language (e.g., elixir, javascript, sql)</t>
  </si>
  <si>
    <t>MUST be between " &amp; IF(G9="Beginner", "25–40", IF(G9="Intermediate", "30–60", "40–100")) &amp; " lines (STRICT) - Multi-step flow</t>
  </si>
  <si>
    <t>You are generating an EXAM. Do NOT provide the fixed code, diagnosis, hints, or explanations. Output ONLY the broken code. Do NOT include comments that reveal the bugs. Let the student find them.</t>
  </si>
  <si>
    <t>[I_O_PARADIGM]</t>
  </si>
  <si>
    <t>[INLINE_PACKAGE_MANAGER]</t>
  </si>
  <si>
    <t>Mentor</t>
  </si>
  <si>
    <t>[FORBIDDEN_LOW_LEVEL_PATTERNS]</t>
  </si>
  <si>
    <t>[NATIVE_OPTIMIZATION_PARADIGM]</t>
  </si>
  <si>
    <t>[BEGINNER_SCOPE]</t>
  </si>
  <si>
    <t>[INTERMEDIATE_SCOPE]</t>
  </si>
  <si>
    <t>[ADVANCED_SCOPE]</t>
  </si>
  <si>
    <t>[CODE_CONSTRAINTS_RULE]</t>
  </si>
  <si>
    <t>[DATA_SOURCE_TYPE]</t>
  </si>
  <si>
    <t>[NATIVE_PRINT_METHOD]</t>
  </si>
  <si>
    <t>[FILE_SYSTEM_MODULE]</t>
  </si>
  <si>
    <t>[IDIOMATIC_RETURN_TYPES]</t>
  </si>
  <si>
    <t>Rule Component</t>
  </si>
  <si>
    <t>Component Tag</t>
  </si>
  <si>
    <t>Projects</t>
  </si>
  <si>
    <t>[VISUAL_ARCHITECTURE_COMMENTS]</t>
  </si>
  <si>
    <t>[VISUAL_BLOCK_COMMENT]</t>
  </si>
  <si>
    <t>[NATIVE_DOCUMENTATION_METHOD]</t>
  </si>
  <si>
    <t>[MAX_COMMENT_LINE_WIDTH]</t>
  </si>
  <si>
    <t>[MENTOR_SCOPE_EXPECTATIONS]</t>
  </si>
  <si>
    <t>[CODE_QUALITY_POLICIES]</t>
  </si>
  <si>
    <t>[IDIOMATIC_NAMING_CONVENTIONS]</t>
  </si>
  <si>
    <t>[CORE_LANGUAGE_LEVERAGE]</t>
  </si>
  <si>
    <t>[FORBIDDEN_IMPERATIVE_SMELLS]</t>
  </si>
  <si>
    <t>[DEFAULT_ARG_CLAUSES_REQUIRMENT]</t>
  </si>
  <si>
    <t>[FILE_HANDLING_RULE]</t>
  </si>
  <si>
    <t>[FILE_MODULE_USAGE]</t>
  </si>
  <si>
    <t>[ENV_USAGE_POLICY]</t>
  </si>
  <si>
    <t>[SUPPORT_FILES_STRUCTURE]</t>
  </si>
  <si>
    <t>[TESTING_SYNTAX_LIMITS]</t>
  </si>
  <si>
    <t>[STANDALONE_INSTALL_SYNTAX]</t>
  </si>
  <si>
    <t>[CODE_CONSTRAINTS]</t>
  </si>
  <si>
    <t>[REQUIRED_CONSTRUCTS]</t>
  </si>
  <si>
    <t>[PARADIGM_CORE_POLICIES]</t>
  </si>
  <si>
    <t>[CONSISTENCY_RULE]</t>
  </si>
  <si>
    <t>Stage</t>
  </si>
  <si>
    <t>[BUG_RULE]</t>
  </si>
  <si>
    <t>[ENVIRONMENT_SIMULATION]</t>
  </si>
  <si>
    <t>[COMPILE_ERRORS_TYPE]</t>
  </si>
  <si>
    <t>[LOGIC_ERRORS_TYPE]</t>
  </si>
  <si>
    <t>[RUNTIME_ERRORS_TYPE]</t>
  </si>
  <si>
    <t>[PRODUCTION_CLEAN_POLICY]</t>
  </si>
  <si>
    <t>[NAMING_CONVENTIONS]</t>
  </si>
  <si>
    <t>[PARADIGM_PURITY]</t>
  </si>
  <si>
    <t>[DEFAULT_ARG_HEAD_CLAUSE]</t>
  </si>
  <si>
    <t>ALWAYS label markdown code blocks with the correct underlying programming language (e.g., elixir, python, javascript, sql)</t>
  </si>
  <si>
    <t>[STANDALONE_INSTALL_POLICY]</t>
  </si>
  <si>
    <t>[TEST_MACRO_LIMITS]</t>
  </si>
  <si>
    <t>[CHALLENGE_CORE_REQ]</t>
  </si>
  <si>
    <t>[BASE_CODE_POLICY]</t>
  </si>
  <si>
    <t>[EXTERNAL_PACKAGE_PROTOCOL]</t>
  </si>
  <si>
    <t>[TESTING_FRAMEWORK_PROTOCOL]</t>
  </si>
  <si>
    <t>[CHALLENGE_CONSTRAINTS_POLICY]</t>
  </si>
  <si>
    <t>[DYNAMIC_INSTALL_SYNTAX]</t>
  </si>
  <si>
    <t>[PROJECT_LINE_METRIC_BASE]</t>
  </si>
  <si>
    <t>[PROJECT_FLOW_POLICY]</t>
  </si>
  <si>
    <t>[PRODUCTION_STYLE_POLICY]</t>
  </si>
  <si>
    <t>[PARADIGM_CORE_LEVERAGE]</t>
  </si>
  <si>
    <t>[FUNCTIONAL_RESTRICTIONS]</t>
  </si>
  <si>
    <t>Normalize boolean values before comparison when the programming language requires it.</t>
  </si>
  <si>
    <t>Explicit casting required before calculations when the programming language requires it.</t>
  </si>
  <si>
    <t>Use correct loaders and enforce encoding='utf-8' and newline='' when applicable if the programming language supports it.</t>
  </si>
  <si>
    <t>[CODE_QUALITY_PROTOCOL]</t>
  </si>
  <si>
    <t>[CLEAN_CODE_POLICY]</t>
  </si>
  <si>
    <t>Normalize boolean values before comparison if the programming language requires it.</t>
  </si>
  <si>
    <t>Explicit casting required before calculations if the programming language requires it.</t>
  </si>
  <si>
    <t>Use correct loaders and enforce encoding='utf-8' and newline=' when applicable or supported by the programming language.</t>
  </si>
  <si>
    <t>[DETERMINISTIC_OUTPUT_PROTOCOL]</t>
  </si>
  <si>
    <t>[FUNCTIONAL_STRUCTURE_POLICY]</t>
  </si>
  <si>
    <t>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t>
  </si>
  <si>
    <t>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t>
  </si>
  <si>
    <t>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t>
  </si>
  <si>
    <t>up</t>
  </si>
  <si>
    <t>Check the "HowToStudy" sheet for instructions on how to use this sheet to study.</t>
  </si>
  <si>
    <t>📖 How to Study with Coding5s</t>
  </si>
  <si>
    <r>
      <t xml:space="preserve">Welcome to </t>
    </r>
    <r>
      <rPr>
        <b/>
        <sz val="11"/>
        <color theme="1"/>
        <rFont val="Aptos Narrow"/>
        <family val="2"/>
        <scheme val="minor"/>
      </rPr>
      <t>Coding5s</t>
    </r>
    <r>
      <rPr>
        <sz val="11"/>
        <color theme="1"/>
        <rFont val="Aptos Narrow"/>
        <family val="2"/>
        <scheme val="minor"/>
      </rPr>
      <t>! This framework is designed to give you a deep, hands-on learning experience using AI as your personal tutor alongside your local IDE.</t>
    </r>
  </si>
  <si>
    <t>📌 The Core Learning Workflow (Step-by-Step)</t>
  </si>
  <si>
    <t>1. Complete Stage 1 (Initial Learning Path)</t>
  </si>
  <si>
    <r>
      <t xml:space="preserve">Go to </t>
    </r>
    <r>
      <rPr>
        <b/>
        <sz val="11"/>
        <color theme="1"/>
        <rFont val="Aptos Narrow"/>
        <family val="2"/>
        <scheme val="minor"/>
      </rPr>
      <t>Lesson 1</t>
    </r>
    <r>
      <rPr>
        <sz val="11"/>
        <color theme="1"/>
        <rFont val="Aptos Narrow"/>
        <family val="2"/>
        <scheme val="minor"/>
      </rPr>
      <t xml:space="preserve"> in the main sheet.</t>
    </r>
  </si>
  <si>
    <r>
      <t xml:space="preserve">Copy the text from the </t>
    </r>
    <r>
      <rPr>
        <b/>
        <sz val="11"/>
        <color theme="1"/>
        <rFont val="Aptos Narrow"/>
        <family val="2"/>
        <scheme val="minor"/>
      </rPr>
      <t>Stage 1 Prompt</t>
    </r>
    <r>
      <rPr>
        <sz val="11"/>
        <color theme="1"/>
        <rFont val="Aptos Narrow"/>
        <family val="2"/>
        <scheme val="minor"/>
      </rPr>
      <t xml:space="preserve"> column.</t>
    </r>
  </si>
  <si>
    <t>Paste it into a clean AI chat (Gemini, ChatGPT, Claude, etc.).</t>
  </si>
  <si>
    <r>
      <t xml:space="preserve">Read the lesson, complete the exercise, and write/run the code in your </t>
    </r>
    <r>
      <rPr>
        <b/>
        <sz val="11"/>
        <color theme="1"/>
        <rFont val="Aptos Narrow"/>
        <family val="2"/>
        <scheme val="minor"/>
      </rPr>
      <t>local IDE</t>
    </r>
    <r>
      <rPr>
        <sz val="11"/>
        <color theme="1"/>
        <rFont val="Aptos Narrow"/>
        <family val="2"/>
        <scheme val="minor"/>
      </rPr>
      <t>.</t>
    </r>
  </si>
  <si>
    <r>
      <t xml:space="preserve">Proceed sequentially through </t>
    </r>
    <r>
      <rPr>
        <b/>
        <sz val="11"/>
        <color theme="1"/>
        <rFont val="Aptos Narrow"/>
        <family val="2"/>
        <scheme val="minor"/>
      </rPr>
      <t>Lesson 2, Lesson 3, etc.</t>
    </r>
    <r>
      <rPr>
        <sz val="11"/>
        <color theme="1"/>
        <rFont val="Aptos Narrow"/>
        <family val="2"/>
        <scheme val="minor"/>
      </rPr>
      <t xml:space="preserve">, staying within </t>
    </r>
    <r>
      <rPr>
        <b/>
        <sz val="11"/>
        <color theme="1"/>
        <rFont val="Aptos Narrow"/>
        <family val="2"/>
        <scheme val="minor"/>
      </rPr>
      <t>Stage 1</t>
    </r>
    <r>
      <rPr>
        <sz val="11"/>
        <color theme="1"/>
        <rFont val="Aptos Narrow"/>
        <family val="2"/>
        <scheme val="minor"/>
      </rPr>
      <t xml:space="preserve"> until you finish all topics and complete the first </t>
    </r>
    <r>
      <rPr>
        <b/>
        <sz val="11"/>
        <color theme="1"/>
        <rFont val="Aptos Narrow"/>
        <family val="2"/>
        <scheme val="minor"/>
      </rPr>
      <t>PROJECT</t>
    </r>
    <r>
      <rPr>
        <sz val="11"/>
        <color theme="1"/>
        <rFont val="Aptos Narrow"/>
        <family val="2"/>
        <scheme val="minor"/>
      </rPr>
      <t>.</t>
    </r>
  </si>
  <si>
    <t>2. How to Use the Mentor Column (Live Troubleshooting)</t>
  </si>
  <si>
    <r>
      <t xml:space="preserve">The </t>
    </r>
    <r>
      <rPr>
        <b/>
        <sz val="11"/>
        <color theme="1"/>
        <rFont val="Aptos Narrow"/>
        <family val="2"/>
        <scheme val="minor"/>
      </rPr>
      <t>Mentor Prompt</t>
    </r>
    <r>
      <rPr>
        <sz val="11"/>
        <color theme="1"/>
        <rFont val="Aptos Narrow"/>
        <family val="2"/>
        <scheme val="minor"/>
      </rPr>
      <t xml:space="preserve"> column is your dedicated support tool whenever you get stuck or need clarification on a specific topic.</t>
    </r>
  </si>
  <si>
    <t>To ask a question:</t>
  </si>
  <si>
    <r>
      <t xml:space="preserve">1. Copy the cell from the </t>
    </r>
    <r>
      <rPr>
        <b/>
        <sz val="11"/>
        <color theme="1"/>
        <rFont val="Aptos Narrow"/>
        <family val="2"/>
        <scheme val="minor"/>
      </rPr>
      <t>Mentor Prompt</t>
    </r>
    <r>
      <rPr>
        <sz val="11"/>
        <color theme="1"/>
        <rFont val="Aptos Narrow"/>
        <family val="2"/>
        <scheme val="minor"/>
      </rPr>
      <t xml:space="preserve"> column for your current lesson.</t>
    </r>
  </si>
  <si>
    <t>2. Paste it into your AI chat.</t>
  </si>
  <si>
    <t>3. Immediately below the prompt, write your question.</t>
  </si>
  <si>
    <t>4. Paste your code snippet directly from your IDE.</t>
  </si>
  <si>
    <t>Recommended Message Format:</t>
  </si>
  <si>
    <t>3. Sequential Stage Progression</t>
  </si>
  <si>
    <r>
      <t xml:space="preserve">Once you have completed the entire topic list in </t>
    </r>
    <r>
      <rPr>
        <b/>
        <sz val="11"/>
        <color theme="1"/>
        <rFont val="Aptos Narrow"/>
        <family val="2"/>
        <scheme val="minor"/>
      </rPr>
      <t>Stage 1</t>
    </r>
    <r>
      <rPr>
        <sz val="11"/>
        <color theme="1"/>
        <rFont val="Aptos Narrow"/>
        <family val="2"/>
        <scheme val="minor"/>
      </rPr>
      <t>:</t>
    </r>
  </si>
  <si>
    <r>
      <t xml:space="preserve">1. Move on to </t>
    </r>
    <r>
      <rPr>
        <b/>
        <sz val="11"/>
        <color theme="1"/>
        <rFont val="Aptos Narrow"/>
        <family val="2"/>
        <scheme val="minor"/>
      </rPr>
      <t>Stage 2 (Troubleshooting / Debugging)</t>
    </r>
    <r>
      <rPr>
        <sz val="11"/>
        <color theme="1"/>
        <rFont val="Aptos Narrow"/>
        <family val="2"/>
        <scheme val="minor"/>
      </rPr>
      <t>.</t>
    </r>
  </si>
  <si>
    <t>2. Go through the lessons from top to bottom in Stage 2 to learn how to break, diagnose, and fix broken code (use the Stage 2 Mentor prompt whenever the console crashes).</t>
  </si>
  <si>
    <r>
      <t xml:space="preserve">3. Repeat the process sequentially for </t>
    </r>
    <r>
      <rPr>
        <b/>
        <sz val="11"/>
        <color theme="1"/>
        <rFont val="Aptos Narrow"/>
        <family val="2"/>
        <scheme val="minor"/>
      </rPr>
      <t>Stage 3, Stage 4, and Stage 5</t>
    </r>
    <r>
      <rPr>
        <sz val="11"/>
        <color theme="1"/>
        <rFont val="Aptos Narrow"/>
        <family val="2"/>
        <scheme val="minor"/>
      </rPr>
      <t xml:space="preserve"> for advanced architecture, optimization, and scaling.</t>
    </r>
  </si>
  <si>
    <t>💡 Golden Rules for Students</t>
  </si>
  <si>
    <r>
      <t xml:space="preserve">❌ </t>
    </r>
    <r>
      <rPr>
        <b/>
        <sz val="11"/>
        <color theme="1"/>
        <rFont val="Aptos Narrow"/>
        <family val="2"/>
        <scheme val="minor"/>
      </rPr>
      <t>Do not jump across stages within the same lesson:</t>
    </r>
    <r>
      <rPr>
        <sz val="11"/>
        <color theme="1"/>
        <rFont val="Aptos Narrow"/>
        <family val="2"/>
        <scheme val="minor"/>
      </rPr>
      <t xml:space="preserve"> Do not attempt Stage 1, Stage 2, and Stage 3 for Lesson 1 on the same day. Build your core foundation by finishing the entire </t>
    </r>
    <r>
      <rPr>
        <b/>
        <sz val="11"/>
        <color theme="1"/>
        <rFont val="Aptos Narrow"/>
        <family val="2"/>
        <scheme val="minor"/>
      </rPr>
      <t>Stage 1 path first</t>
    </r>
    <r>
      <rPr>
        <sz val="11"/>
        <color theme="1"/>
        <rFont val="Aptos Narrow"/>
        <family val="2"/>
        <scheme val="minor"/>
      </rPr>
      <t>.</t>
    </r>
  </si>
  <si>
    <r>
      <t xml:space="preserve">✅ </t>
    </r>
    <r>
      <rPr>
        <b/>
        <sz val="11"/>
        <color theme="1"/>
        <rFont val="Aptos Narrow"/>
        <family val="2"/>
        <scheme val="minor"/>
      </rPr>
      <t>Always practice in your IDE:</t>
    </r>
    <r>
      <rPr>
        <sz val="11"/>
        <color theme="1"/>
        <rFont val="Aptos Narrow"/>
        <family val="2"/>
        <scheme val="minor"/>
      </rPr>
      <t xml:space="preserve"> Never just read the AI's explanation. Type out, test, and execute every piece of code in your editor.</t>
    </r>
  </si>
  <si>
    <t>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t>
  </si>
  <si>
    <t>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t>
  </si>
  <si>
    <t>Code MUST be clean, readable, educational, executable and produce correct results. Safely handle missing/malformed/inconsistent data, using pattern matching if possible.</t>
  </si>
  <si>
    <t>Code MUST include enough inline comments explaining WHAT it does AND WHY. Density: Beginner=high, Intermediate=medium, Advanced=lower but present in key logic.</t>
  </si>
  <si>
    <t>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t>
  </si>
  <si>
    <t>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t>
  </si>
  <si>
    <t>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t>
  </si>
  <si>
    <t>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t>
  </si>
  <si>
    <t>Website:</t>
  </si>
  <si>
    <t>https://coding5s.com</t>
  </si>
  <si>
    <t>Each example MUST include: - Internal data OR dataset usage - Print key intermediate steps and the final result - MUST NOT exceed exactly " &amp; $C9 &amp; " lines of EXECUTABLE code (STRICT: Do NOT count comments or blank lines). - NEVER exceed this limit. | " &amp;</t>
  </si>
  <si>
    <t>" &amp; A9 &amp; " | " &amp;</t>
  </si>
  <si>
    <t>You are helping a Junior Developer who is " &amp; IF(UPPER(H9)="PROJECT", "building a PROJECT: " &amp; I9 &amp; ". Topics applied in this project: " &amp; A9 &amp; ". Project objective: " &amp; J9, "learning: " &amp; I9 &amp; ". Topic details: " &amp; J9) &amp; " | " &amp;</t>
  </si>
  <si>
    <t>You are helping a Junior Developer debug a " &amp; IF(UPPER(H9)="PROJECT", "PROJECT: " &amp; I9 &amp; ". Topics involved: " &amp; A9 &amp; ". Project objective: " &amp; J9, "TOPIC: " &amp; I9 &amp; ". Topic details: " &amp; J9) &amp; " | " &amp;</t>
  </si>
  <si>
    <t>You are helping a Junior Developer complete a " &amp; IF(UPPER(H9)="PROJECT", "PROJECT: " &amp; I9 &amp; ". Topics involved: " &amp; A9 &amp; ". Project objective: " &amp; J9, "TOPIC: " &amp; I9 &amp; ". Topic details: " &amp; J9) &amp; " | " &amp;</t>
  </si>
  <si>
    <t>You are performing a Code Review for a " &amp; IF(UPPER(H9)="PROJECT", "PROJECT: " &amp; I9 &amp; ". Topics involved: " &amp; A9 &amp; ". Project objective: " &amp; J9, "TOPIC: " &amp; I9 &amp; ". Topic details: " &amp; J9) &amp; " | " &amp;</t>
  </si>
  <si>
    <t>You are reviewing the final implementation of a new feature for a " &amp; IF(UPPER(H9)="PROJECT", "PROJECT: " &amp; I9 &amp; ". Topics integrated: " &amp; A9 &amp; ". Business Goal: " &amp; J9, "TOPIC: " &amp; I9 &amp; ". Goal: " &amp; J9) &amp; " | " &amp;</t>
  </si>
  <si>
    <t>[EXECUTABLE_LINES_LIMIT]</t>
  </si>
  <si>
    <t>[PROJECT_LINE_LIMIT]</t>
  </si>
  <si>
    <t>Standard basic logic validation using native assert statements.</t>
  </si>
  <si>
    <t>Support files (.env, .env.example) MUST be provided BEFORE the broken code, fully correct, and contain NO bugs.</t>
  </si>
  <si>
    <t>All challenges MUST have similar complexity, length, and functional scope.</t>
  </si>
  <si>
    <t>Simple console output verification via standard print() statements.</t>
  </si>
  <si>
    <t>Act as 'The Logical Scaffold' (El Maestro de Obra). Focus on simple Data Gap Analysis (Point A -&gt; Point B -&gt; Point C) and structural code completion.</t>
  </si>
  <si>
    <t>MUST NOT exceed exactly 6 lines of EXECUTABLE code per example (STRICT: Do NOT count comment lines or blank lines towards this limit).</t>
  </si>
  <si>
    <t>[EXECUTION_CALL_RULE]</t>
  </si>
  <si>
    <t>[CONCEPT_ISOLATION_RULE]</t>
  </si>
  <si>
    <t>Focus SOLELY on teaching the target topic concept. DO NOT use unlearned or complex control structures (like if/else, ternary operators, or list comprehensions) unless the topic explicitly demands them. Keep internal function logic strictly linear, simple, and direct.</t>
  </si>
  <si>
    <t>[TESTING_FRAMEWORK_RULE]</t>
  </si>
  <si>
    <t>[DEPENDENCY_MANAGEMENT_RULE]</t>
  </si>
  <si>
    <t>[CORE_QUALITY_POLICY]</t>
  </si>
  <si>
    <t>Dart Object-Oriented &amp; Advanced Patterns</t>
  </si>
  <si>
    <t>Demonstrate Class Declaration and Instantiation using class, new, identical(), and runtimeType.</t>
  </si>
  <si>
    <t>Class Declaration &amp; Instantiation (class, new, identical(), runtimeType)</t>
  </si>
  <si>
    <t>Implement the Value Equality Contract using operator == and hashCode.</t>
  </si>
  <si>
    <t>Value Equality Contract (operator ==, hashCode)</t>
  </si>
  <si>
    <t>Assign Field Modifiers including static, final, late, and const.</t>
  </si>
  <si>
    <t>Field Modifiers (static, final, late, const)</t>
  </si>
  <si>
    <t>Create Computed Properties using get, set, and backing _fields.</t>
  </si>
  <si>
    <t>Computed Properties (get, set, backing _fields)</t>
  </si>
  <si>
    <t>Implement Generative and Named Constructors with this.field and Class.name().</t>
  </si>
  <si>
    <t>Generative &amp; Named Constructors (this.field, Class.name())</t>
  </si>
  <si>
    <t>Apply Initializer Lists and Redirects using : assert(), : field =, and this.name().</t>
  </si>
  <si>
    <t>Initializer Lists &amp; Redirects (: assert(), : field =, this.name())</t>
  </si>
  <si>
    <t>Utilize Super Constructors and Parameters with super() and super.field.</t>
  </si>
  <si>
    <t>Super Constructors &amp; Parameters (super(), super.field)</t>
  </si>
  <si>
    <t>Create Const Constructors and Tear-Offs using const Class(), Class.new, and Class.name.</t>
  </si>
  <si>
    <t>Const Constructors &amp; Tear-Offs (const Class(), Class.new, Class.name)</t>
  </si>
  <si>
    <t>Develop a domain entity consolidating Class Declaration and Instantiation, Value Equality Contract, Field Modifiers, Computed Properties, Generative and Named Constructors, Initializer Lists and Redirects, Super Constructors, and Const Constructors.</t>
  </si>
  <si>
    <t>Domain Entity Blueprint with Classes and Constructors</t>
  </si>
  <si>
    <t>Define Instance and Static Methods using void, static returnType, and _privateMethod().</t>
  </si>
  <si>
    <t>Instance &amp; Static Methods (void, static returnType, _privateMethod())</t>
  </si>
  <si>
    <t>Apply Cascade Operators using .. and ?.. .</t>
  </si>
  <si>
    <t>Cascade Operators (.., ?..)</t>
  </si>
  <si>
    <t>Implement Callable Objects with call().</t>
  </si>
  <si>
    <t>Callable Objects (call())</t>
  </si>
  <si>
    <t>Overload Arithmetic and Index Operators using operator +, operator -, operator [], and operator []=.</t>
  </si>
  <si>
    <t>Arithmetic &amp; Index Operator Overloading (operator +, operator -, operator [], operator []=)</t>
  </si>
  <si>
    <t>Overload Relational Operators using operator &gt;, operator &lt;, operator &gt;=, and operator &lt;=.</t>
  </si>
  <si>
    <t>Relational Operator Overloading (operator &gt;, operator &lt;, operator &gt;=, operator &lt;=)</t>
  </si>
  <si>
    <t>Extend a Class using extends and super.method().</t>
  </si>
  <si>
    <t>Class Extension (extends, super.method())</t>
  </si>
  <si>
    <t>Override Methods using @override and covariant.</t>
  </si>
  <si>
    <t>Method Overriding (@override, covariant)</t>
  </si>
  <si>
    <t>Create Abstract Classes using abstract class and unimplemented methods.</t>
  </si>
  <si>
    <t>Abstract Classes (abstract class, unimplemented methods)</t>
  </si>
  <si>
    <t>Build a behavioral hierarchy consolidating Instance and Static Methods, Cascade Operators, Callable Objects, Arithmetic and Index Operator Overloading, Relational Operator Overloading, Class Extension, Method Overriding, and Abstract Classes.</t>
  </si>
  <si>
    <t>Behavioral Hierarchy with Methods and Inheritance</t>
  </si>
  <si>
    <t>Implement Implicit Interfaces using implements and multiple interface contracts.</t>
  </si>
  <si>
    <t>Implicit Interfaces (implements, multiple interface contracts)</t>
  </si>
  <si>
    <t>Apply Mixins using mixin and with.</t>
  </si>
  <si>
    <t>Mixin Application (mixin, with)</t>
  </si>
  <si>
    <t>Constrain Mixins using the on keyword.</t>
  </si>
  <si>
    <t>Mixin Constraints (on keyword)</t>
  </si>
  <si>
    <t>Declare Mixin Classes using mixin class.</t>
  </si>
  <si>
    <t>Mixin Classes (mixin class)</t>
  </si>
  <si>
    <t>Declare Enhanced Enums using enum and const fields.</t>
  </si>
  <si>
    <t>Enhanced Enum Declaration (enum, const fields)</t>
  </si>
  <si>
    <t>Enhance Enums with Methods and Interfaces using enum.values, enum.name, and implements.</t>
  </si>
  <si>
    <t>Enum Methods &amp; Interfaces (enum.values, enum.name, implements)</t>
  </si>
  <si>
    <t>Implement Factory Constructors using factory and returning cached instances.</t>
  </si>
  <si>
    <t>Factory Constructors (factory, returning cached instances)</t>
  </si>
  <si>
    <t>Create Private Internal Constructors using Class._internal() for singletons.</t>
  </si>
  <si>
    <t>Private Internal Constructors (Class._internal(), singletons)</t>
  </si>
  <si>
    <t>Construct a flexible composition system consolidating Implicit Interfaces, Mixin Application, Mixin Constraints, Mixin Classes, Enhanced Enum Declaration, Enum Methods and Interfaces, Factory Constructors, and Private Internal Constructors.</t>
  </si>
  <si>
    <t>Composition System with Interfaces Mixins Enums and Factories</t>
  </si>
  <si>
    <t>Define Extension Methods using extension on, show, and hide.</t>
  </si>
  <si>
    <t>Extension Methods (extension on, show, hide)</t>
  </si>
  <si>
    <t>Create Extension Types using extension type and zero-cost wrappers.</t>
  </si>
  <si>
    <t>Extension Types (extension type, zero-cost wrappers)</t>
  </si>
  <si>
    <t>Apply Inheritance Modifiers using final class, base class, and interface class.</t>
  </si>
  <si>
    <t>Inheritance Modifiers (final class, base class, interface class)</t>
  </si>
  <si>
    <t>Implement Sealed Hierarchies using sealed class and switch exhaustiveness.</t>
  </si>
  <si>
    <t>Sealed Hierarchies (sealed class, switch exhaustiveness)</t>
  </si>
  <si>
    <t>Create Generic Classes using class Box&lt;T&gt; and class Pair&lt;K, V&gt;.</t>
  </si>
  <si>
    <t>Generic Classes (class Box&lt;T&gt;, class Pair&lt;K, V&gt;)</t>
  </si>
  <si>
    <t>Apply Bounded Type Constraints using &lt;T BaseType extends&gt; and &lt;T Object extends&gt;.</t>
  </si>
  <si>
    <t>Bounded Type Constraints (&lt;T BaseType extends&gt;, &lt;T Object extends&gt;)</t>
  </si>
  <si>
    <t>Implement Custom Exceptions using implements Exception and toString().</t>
  </si>
  <si>
    <t>Exception Implementation (implements Exception, toString())</t>
  </si>
  <si>
    <t>Extend Errors using extends Error and capturing state.</t>
  </si>
  <si>
    <t>Error Extension (extends Error, capturing state)</t>
  </si>
  <si>
    <t>Develop an advanced type-safe hierarchy consolidating Extension Methods, Extension Types, Inheritance Modifiers, Sealed Hierarchies, Generic Classes, Bounded Type Constraints, Exception Implementation, and Error Extension.</t>
  </si>
  <si>
    <t>Advanced Type System and Error Handling Project</t>
  </si>
  <si>
    <t>Organize Test Suites using group(), setUp(), and tearDown().</t>
  </si>
  <si>
    <t>Test Suite Organization (group(), setUp(), tearDown())</t>
  </si>
  <si>
    <t>Assert Behaviors using test(), expect(), and throwsA().</t>
  </si>
  <si>
    <t>Behavior Assertions (test(), expect(), throwsA())</t>
  </si>
  <si>
    <t>Dart native classes, constructors, OOP patterns, and standard core execution models utilizing top-level main().</t>
  </si>
  <si>
    <t>Focus strictly on basic class definitions, constructors, properties, and object instantiation inside main(). DO NOT use procedural scripts.</t>
  </si>
  <si>
    <t>STRICT REQUIREMENT: Integrate custom class definitions ('class'), constructors, instance methods, and getters/setters in EVERY example.</t>
  </si>
  <si>
    <t>Advanced OOP &amp; patterns: abstract classes, mixins, factory/named constructors, interfaces ('implements'), extensions, and overriding ('@override').</t>
  </si>
  <si>
    <t>Use primitives (int, double, String, bool) and flat List/Map collections inside class structures. No deep nesting.</t>
  </si>
  <si>
    <t>Print intermediate steps and final results explicitly using standard print() statements with string interpolation.</t>
  </si>
  <si>
    <t>You MUST instantiate the class and invoke at least one instance method inside the main() block. STRICTLY PROHIBITED: Do not use complex boilerplate entry points outside main().</t>
  </si>
  <si>
    <t>Basic primitive types (int, double, String, bool) or simple List/Map structures within classes.</t>
  </si>
  <si>
    <t>print() statements with string interpolation to display outputs clearly.</t>
  </si>
  <si>
    <t>reinventing native OOP features, violating encapsulation, or ignoring Effective Dart object-oriented and pattern design idioms</t>
  </si>
  <si>
    <t>official Effective Dart OOP guidelines, composition over inheritance, proper access modifiers ('_'), and idiomatic main() instantiations</t>
  </si>
  <si>
    <t>visual block tags separating script sections (e.g., '// --- BLOQUE 1: [NAME] ---')</t>
  </si>
  <si>
    <t>comprehensive doc comments using triple slashes ('///') explaining class purposes, parameters, return types, and exceptions</t>
  </si>
  <si>
    <t>80 characters (Effective Dart standard)</t>
  </si>
  <si>
    <t>Evaluate based on basic class instantiation, constructors, and property access inside main(). Do NOT expect advanced mixins or factories unless explicitly demanded.</t>
  </si>
  <si>
    <t>Expect clean class definitions, proper encapsulation (using '_'), named constructors, and correct 'this' usage. Enforce solid OOP principles.</t>
  </si>
  <si>
    <t>Expect advanced OOP architecture using abstract classes, mixins, factory constructors, interfaces, overriding, and composition.</t>
  </si>
  <si>
    <t>Use PascalCase for Classes/Mixins, camelCase for functions/variables/methods, lowerCamelCase for constants, and snake_case for file names adhering to Effective Dart.</t>
  </si>
  <si>
    <t>Dart object model built-ins from dart:core, primitive operators, and explicit type conversion methods like int.parse().</t>
  </si>
  <si>
    <t>Reject procedural loose functions outside classes, unencapsulated global state, abusing dynamic type, or writing weakly-typed monolithic scripts.</t>
  </si>
  <si>
    <t>Enforce strict null safety in constructors. Use 'required' named parameters, const defaults, or nullable types with late initialization correctly.</t>
  </si>
  <si>
    <t>Enforce utf8 encoding when handling files via File from dart:io using readAsString() or openRead() streams inside class methods.</t>
  </si>
  <si>
    <t>Environment variables via Platform.environment or dotenv packages may be used but bugs MUST exist ONLY in Dart code logic, NEVER in .env files.</t>
  </si>
  <si>
    <t>Validation using print() statements or native assert statements. Avoid complex dart test suites; keep object validation inside main().</t>
  </si>
  <si>
    <t>Standard Dart runtime context. If external packages are needed, specify them strictly in pubspec.yaml support files.</t>
  </si>
  <si>
    <t>Each challenge MUST include: internal data OR collection usage, at least 1 print statement, at least 1 loop (when applicable), EXACTLY 1 class definition, 1 constructor, and EXACTLY 1 class instantiation within main().</t>
  </si>
  <si>
    <t>lines of EXECUTABLE broken Dart code per challenge (STRICT: Do NOT count blank lines). All logic MUST be encapsulated inside class methods and executed via main().</t>
  </si>
  <si>
    <t>Simulate a messy Dart OOP script. The project MUST contain EXACTLY 2-5 bugs mixing Syntax errors, Null-safety errors, OOP/Encapsulation logic errors, and Runtime Exceptions.</t>
  </si>
  <si>
    <t>1. Syntax &amp; Type Errors (e.g., missing semicolons/brackets, type mismatches, constructor syntax errors, unhandled null access violating strict null safety),</t>
  </si>
  <si>
    <t>2. Logic Errors (e.g., incorrect calculations, faulty comparison operators, improper encapsulation/getters, wrong return values), AND</t>
  </si>
  <si>
    <t>3. Runtime Exceptions (e.g., StateError, RangeError, FormatException, NoSuchMethodError due to bad casting).</t>
  </si>
  <si>
    <t>Clean Effective Dart compliant OOP code, descriptive PascalCase classes, camelCase methods, 2-space indentation, strong typing, and explicit Minimal Intervention Rule.</t>
  </si>
  <si>
    <t>Use PascalCase for Classes, camelCase for methods/variables, lowerCamelCase for constants, and snake_case for file names.</t>
  </si>
  <si>
    <t>Act as 'The Analytical Partner' (El Detective con Cafe). Translate machine tracebacks from bottom to top into plain human language. Enforce NO KEYBOARD rule in Phase 1.</t>
  </si>
  <si>
    <t>Enforce strict null safety in constructors. Use 'required', const defaults, or nullable types with late initialization correctly.</t>
  </si>
  <si>
    <t>Standard Dart built-ins. Strictly ZERO external pub.dev packages required for beginner topics.</t>
  </si>
  <si>
    <t>For Beginner level, // TODO MUST be atomic (1-2 simple lines max, e.g., basic property assignment, method call, or direct comparison). NO complex buffer redirections or string parsing.</t>
  </si>
  <si>
    <t>5-15 lines of EXECUTABLE base code with a main() entry point. Code outside // TODO MUST be 100% valid and readable. All code MUST be encapsulated within a class structure.</t>
  </si>
  <si>
    <t>Require standard dart pub tooling and pubspec.yaml file for external dependencies when applicable.</t>
  </si>
  <si>
    <t>MUST be between 25-40 lines of EXECUTABLE base Dart code (STRICT: Do NOT count comments or // TODO blocks).</t>
  </si>
  <si>
    <t>Class-based object architecture. Require at least 1 class with internal state management. Logica de integracion ubicada exclusivamente dentro de los bloques // TODO.</t>
  </si>
  <si>
    <t>Clean Effective Dart compliant OOP code with 2-space indentation. Enforce Minimal Intervention Rule and NO KEYBOARD rule in Phase 1.</t>
  </si>
  <si>
    <t>Reject loose procedural code outside classes. Enforce explicit encapsulation (use private '_properties') and correct 'this' usage.</t>
  </si>
  <si>
    <t>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t>
  </si>
  <si>
    <t>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t>
  </si>
  <si>
    <t>TRIGGER: Questions or confusion detected. ACTION: Address EACH question via a Modular Block BEFORE Phase 1. BLOCK STRUCTURE: 1. Header ❓ Question [N]: [Exact Student Question/Excerpt]. 2. 💡 Direct Answer &amp; Analogy: Warm explanation in (" &amp; $B$6 &amp; ")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t>
  </si>
  <si>
    <t>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</si>
</sst>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18"/>
      <color theme="0"/>
      <name val="Aptos Narrow"/>
      <family val="2"/>
      <scheme val="minor"/>
    </font>
    <font>
      <sz val="11"/>
      <name val="Aptos Narrow"/>
      <family val="2"/>
      <scheme val="minor"/>
    </font>
    <font>
      <b/>
      <sz val="18"/>
      <color rgb="FFFFFF00"/>
      <name val="Aptos Narrow"/>
      <family val="2"/>
      <scheme val="minor"/>
    </font>
    <font>
      <b/>
      <sz val="20"/>
      <color rgb="FFFFC000"/>
      <name val="Aptos Narrow"/>
      <family val="2"/>
      <scheme val="minor"/>
    </font>
    <font>
      <sz val="14"/>
      <color theme="0"/>
      <name val="Aptos Narrow"/>
      <family val="2"/>
      <scheme val="minor"/>
    </font>
    <font>
      <b/>
      <sz val="12"/>
      <color theme="0"/>
      <name val="Aptos Narrow"/>
      <family val="2"/>
      <scheme val="minor"/>
    </font>
    <font>
      <sz val="12"/>
      <color theme="0"/>
      <name val="Aptos Narrow"/>
      <family val="2"/>
      <scheme val="minor"/>
    </font>
    <font>
      <sz val="11"/>
      <color theme="0" tint="-4.9989318521683403E-2"/>
      <name val="Aptos Narrow"/>
      <family val="2"/>
      <scheme val="minor"/>
    </font>
    <font>
      <b/>
      <sz val="12"/>
      <color theme="0" tint="-4.9989318521683403E-2"/>
      <name val="Aptos Narrow"/>
      <family val="2"/>
      <scheme val="minor"/>
    </font>
    <font>
      <b/>
      <sz val="16"/>
      <color theme="0"/>
      <name val="Aptos Narrow"/>
      <family val="2"/>
      <scheme val="minor"/>
    </font>
    <font>
      <b/>
      <sz val="11"/>
      <color theme="1"/>
      <name val="Arial"/>
      <family val="2"/>
    </font>
    <font>
      <sz val="11"/>
      <color theme="1"/>
      <name val="Arial"/>
      <family val="2"/>
    </font>
    <font>
      <sz val="28"/>
      <color theme="1"/>
      <name val="Aptos Narrow"/>
      <family val="2"/>
      <scheme val="minor"/>
    </font>
    <font>
      <b/>
      <sz val="11"/>
      <color theme="0"/>
      <name val="Aptos Narrow"/>
      <family val="2"/>
      <scheme val="minor"/>
    </font>
    <font>
      <b/>
      <sz val="28"/>
      <color theme="1"/>
      <name val="Aptos Narrow"/>
      <family val="2"/>
      <scheme val="minor"/>
    </font>
    <font>
      <b/>
      <sz val="14"/>
      <color theme="1"/>
      <name val="Aptos Narrow"/>
      <family val="2"/>
      <scheme val="minor"/>
    </font>
    <font>
      <u/>
      <sz val="11"/>
      <color theme="10"/>
      <name val="Aptos Narrow"/>
      <family val="2"/>
      <scheme val="minor"/>
    </font>
    <font>
      <b/>
      <sz val="13.5"/>
      <color theme="1"/>
      <name val="Aptos Narrow"/>
      <family val="2"/>
      <scheme val="minor"/>
    </font>
    <font>
      <sz val="10"/>
      <color theme="1"/>
      <name val="Arial Unicode MS"/>
    </font>
    <font>
      <sz val="20"/>
      <color theme="1"/>
      <name val="Aptos Narrow"/>
      <family val="2"/>
      <scheme val="minor"/>
    </font>
    <font>
      <b/>
      <sz val="20"/>
      <color theme="5" tint="-0.249977111117893"/>
      <name val="Aptos Narrow"/>
      <family val="2"/>
      <scheme val="minor"/>
    </font>
    <font>
      <b/>
      <sz val="24"/>
      <color theme="1"/>
      <name val="Aptos Narrow"/>
      <family val="2"/>
      <scheme val="minor"/>
    </font>
    <font>
      <b/>
      <sz val="16"/>
      <color theme="1"/>
      <name val="Aptos Narrow"/>
      <family val="2"/>
      <scheme val="minor"/>
    </font>
  </fonts>
  <fills count="37">
    <fill>
      <patternFill patternType="none"/>
    </fill>
    <fill>
      <patternFill patternType="gray125"/>
    </fill>
    <fill>
      <patternFill patternType="solid">
        <fgColor theme="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2" tint="-9.9978637043366805E-2"/>
        <bgColor theme="0" tint="-0.14999847407452621"/>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749992370372631"/>
        <bgColor theme="0" tint="-0.14999847407452621"/>
      </patternFill>
    </fill>
    <fill>
      <patternFill patternType="solid">
        <fgColor theme="6" tint="0.79998168889431442"/>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rgb="FF2C353E"/>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theme="4" tint="0.59999389629810485"/>
        <bgColor theme="0" tint="-0.14999847407452621"/>
      </patternFill>
    </fill>
    <fill>
      <patternFill patternType="solid">
        <fgColor rgb="FF00B050"/>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D8BEEC"/>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7" tint="0.59999389629810485"/>
        <bgColor theme="0" tint="-0.14999847407452621"/>
      </patternFill>
    </fill>
    <fill>
      <patternFill patternType="solid">
        <fgColor rgb="FF002060"/>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7" tint="0.79998168889431442"/>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theme="0" tint="-0.14996795556505021"/>
      </left>
      <right/>
      <top style="thin">
        <color theme="0" tint="-0.14996795556505021"/>
      </top>
      <bottom/>
      <diagonal/>
    </border>
    <border>
      <left/>
      <right/>
      <top style="thin">
        <color theme="0" tint="-0.14996795556505021"/>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style="thin">
        <color theme="0" tint="-0.14993743705557422"/>
      </right>
      <top style="thin">
        <color theme="0" tint="-0.14993743705557422"/>
      </top>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14996795556505021"/>
      </left>
      <right/>
      <top/>
      <bottom/>
      <diagonal/>
    </border>
    <border>
      <left style="thin">
        <color theme="0" tint="-0.14993743705557422"/>
      </left>
      <right/>
      <top/>
      <bottom/>
      <diagonal/>
    </border>
    <border>
      <left/>
      <right style="thin">
        <color theme="0" tint="-0.14993743705557422"/>
      </right>
      <top/>
      <bottom/>
      <diagonal/>
    </border>
    <border>
      <left style="thin">
        <color theme="0" tint="-0.24994659260841701"/>
      </left>
      <right/>
      <top/>
      <bottom/>
      <diagonal/>
    </border>
    <border>
      <left/>
      <right style="thin">
        <color theme="0" tint="-0.24994659260841701"/>
      </right>
      <top/>
      <bottom/>
      <diagonal/>
    </border>
    <border>
      <left/>
      <right/>
      <top/>
      <bottom style="thin">
        <color theme="0" tint="-0.14996795556505021"/>
      </bottom>
      <diagonal/>
    </border>
    <border>
      <left/>
      <right style="thin">
        <color theme="0" tint="-0.14993743705557422"/>
      </right>
      <top/>
      <bottom style="thin">
        <color theme="0" tint="-0.14993743705557422"/>
      </bottom>
      <diagonal/>
    </border>
    <border>
      <left/>
      <right style="thin">
        <color theme="0" tint="-0.24994659260841701"/>
      </right>
      <top/>
      <bottom style="thin">
        <color theme="0" tint="-0.24994659260841701"/>
      </bottom>
      <diagonal/>
    </border>
    <border>
      <left style="medium">
        <color indexed="64"/>
      </left>
      <right/>
      <top style="thin">
        <color theme="1"/>
      </top>
      <bottom/>
      <diagonal/>
    </border>
    <border>
      <left style="thin">
        <color indexed="64"/>
      </left>
      <right/>
      <top style="thin">
        <color theme="1"/>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style="medium">
        <color indexed="64"/>
      </left>
      <right/>
      <top style="thin">
        <color indexed="64"/>
      </top>
      <bottom/>
      <diagonal/>
    </border>
    <border>
      <left style="thin">
        <color indexed="64"/>
      </left>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right/>
      <top style="thin">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144">
    <xf numFmtId="0" fontId="0" fillId="0" borderId="0" xfId="0"/>
    <xf numFmtId="0" fontId="0" fillId="2" borderId="0" xfId="0" applyFill="1"/>
    <xf numFmtId="0" fontId="2" fillId="2" borderId="0" xfId="0" applyFont="1" applyFill="1"/>
    <xf numFmtId="0" fontId="3" fillId="2" borderId="0" xfId="0" applyFont="1" applyFill="1"/>
    <xf numFmtId="0" fontId="1" fillId="3" borderId="1" xfId="0" applyFont="1" applyFill="1" applyBorder="1"/>
    <xf numFmtId="0" fontId="3" fillId="2" borderId="2" xfId="0" applyFont="1" applyFill="1" applyBorder="1"/>
    <xf numFmtId="0" fontId="3" fillId="2" borderId="3" xfId="0" applyFont="1" applyFill="1" applyBorder="1"/>
    <xf numFmtId="0" fontId="4"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9" xfId="0" applyFont="1" applyFill="1" applyBorder="1"/>
    <xf numFmtId="0" fontId="0" fillId="4" borderId="0" xfId="0" applyFill="1"/>
    <xf numFmtId="0" fontId="5" fillId="4" borderId="0" xfId="0" applyFont="1" applyFill="1"/>
    <xf numFmtId="0" fontId="6" fillId="2" borderId="0" xfId="0" applyFont="1" applyFill="1"/>
    <xf numFmtId="0" fontId="0" fillId="5" borderId="1" xfId="0" applyFill="1" applyBorder="1"/>
    <xf numFmtId="0" fontId="7" fillId="2" borderId="10" xfId="0" applyFont="1" applyFill="1" applyBorder="1"/>
    <xf numFmtId="0" fontId="8" fillId="2" borderId="0" xfId="0" applyFont="1" applyFill="1"/>
    <xf numFmtId="0" fontId="2" fillId="2" borderId="0" xfId="0" applyFont="1" applyFill="1" applyAlignment="1">
      <alignment horizontal="left"/>
    </xf>
    <xf numFmtId="0" fontId="2" fillId="2" borderId="10" xfId="0" applyFont="1" applyFill="1" applyBorder="1"/>
    <xf numFmtId="0" fontId="2" fillId="2" borderId="0" xfId="0" applyFont="1" applyFill="1" applyAlignment="1">
      <alignment vertical="center" wrapText="1"/>
    </xf>
    <xf numFmtId="0" fontId="2" fillId="2" borderId="12" xfId="0" applyFont="1" applyFill="1" applyBorder="1" applyAlignment="1">
      <alignment vertical="center" wrapText="1"/>
    </xf>
    <xf numFmtId="0" fontId="2" fillId="2" borderId="10" xfId="0" applyFont="1" applyFill="1" applyBorder="1" applyAlignment="1">
      <alignment vertical="center" wrapText="1"/>
    </xf>
    <xf numFmtId="0" fontId="2" fillId="2" borderId="14" xfId="0" applyFont="1" applyFill="1" applyBorder="1" applyAlignment="1">
      <alignment vertical="center" wrapText="1"/>
    </xf>
    <xf numFmtId="0" fontId="2" fillId="2" borderId="13" xfId="0" applyFont="1" applyFill="1" applyBorder="1" applyAlignment="1">
      <alignment vertical="center" wrapText="1"/>
    </xf>
    <xf numFmtId="0" fontId="10" fillId="2" borderId="10" xfId="0" applyFont="1" applyFill="1" applyBorder="1"/>
    <xf numFmtId="0" fontId="11" fillId="2" borderId="0" xfId="0" applyFont="1" applyFill="1"/>
    <xf numFmtId="0" fontId="12" fillId="2" borderId="0" xfId="0" applyFont="1" applyFill="1"/>
    <xf numFmtId="0" fontId="2" fillId="2" borderId="11" xfId="0" applyFont="1" applyFill="1" applyBorder="1" applyAlignment="1">
      <alignment vertical="center"/>
    </xf>
    <xf numFmtId="0" fontId="2" fillId="2" borderId="0" xfId="0" applyFont="1" applyFill="1" applyAlignment="1">
      <alignment vertical="center"/>
    </xf>
    <xf numFmtId="0" fontId="1" fillId="0" borderId="1" xfId="0" applyFont="1" applyBorder="1"/>
    <xf numFmtId="0" fontId="13" fillId="2" borderId="10" xfId="0" applyFont="1" applyFill="1" applyBorder="1"/>
    <xf numFmtId="0" fontId="0" fillId="6" borderId="1" xfId="0" applyFill="1" applyBorder="1"/>
    <xf numFmtId="0" fontId="0" fillId="7" borderId="1" xfId="0" applyFill="1" applyBorder="1"/>
    <xf numFmtId="0" fontId="2" fillId="2" borderId="15" xfId="0" applyFont="1" applyFill="1" applyBorder="1"/>
    <xf numFmtId="0" fontId="11" fillId="2" borderId="15" xfId="0" applyFont="1" applyFill="1" applyBorder="1"/>
    <xf numFmtId="0" fontId="2" fillId="2" borderId="16" xfId="0" applyFont="1" applyFill="1" applyBorder="1" applyAlignment="1">
      <alignment vertical="center" wrapText="1"/>
    </xf>
    <xf numFmtId="0" fontId="2" fillId="2" borderId="17" xfId="0" applyFont="1" applyFill="1" applyBorder="1" applyAlignment="1">
      <alignment vertical="center" wrapText="1"/>
    </xf>
    <xf numFmtId="0" fontId="0" fillId="4" borderId="1" xfId="0" applyFill="1" applyBorder="1"/>
    <xf numFmtId="0" fontId="14" fillId="8" borderId="18" xfId="0" applyFont="1" applyFill="1" applyBorder="1" applyAlignment="1">
      <alignment vertical="center"/>
    </xf>
    <xf numFmtId="0" fontId="14" fillId="9" borderId="19" xfId="0" applyFont="1" applyFill="1" applyBorder="1" applyAlignment="1">
      <alignment vertical="center"/>
    </xf>
    <xf numFmtId="0" fontId="14" fillId="9" borderId="1" xfId="0" applyFont="1" applyFill="1" applyBorder="1" applyAlignment="1">
      <alignment vertical="center"/>
    </xf>
    <xf numFmtId="0" fontId="14" fillId="9" borderId="1" xfId="0" applyFont="1" applyFill="1" applyBorder="1" applyAlignment="1">
      <alignment horizontal="left" vertical="center"/>
    </xf>
    <xf numFmtId="0" fontId="0" fillId="10" borderId="1" xfId="0" applyFill="1" applyBorder="1"/>
    <xf numFmtId="0" fontId="15" fillId="11" borderId="20" xfId="0" applyFont="1" applyFill="1" applyBorder="1" applyAlignment="1">
      <alignment horizontal="center" vertical="center"/>
    </xf>
    <xf numFmtId="0" fontId="0" fillId="12" borderId="20" xfId="0" applyFill="1" applyBorder="1" applyAlignment="1">
      <alignment horizontal="left"/>
    </xf>
    <xf numFmtId="0" fontId="15" fillId="13" borderId="1" xfId="0" applyFont="1" applyFill="1" applyBorder="1" applyAlignment="1">
      <alignment vertical="center"/>
    </xf>
    <xf numFmtId="0" fontId="15" fillId="13" borderId="20" xfId="0" applyFont="1" applyFill="1" applyBorder="1" applyAlignment="1">
      <alignment vertical="center"/>
    </xf>
    <xf numFmtId="0" fontId="15" fillId="14" borderId="21" xfId="0" applyFont="1" applyFill="1" applyBorder="1" applyAlignment="1">
      <alignment vertical="center"/>
    </xf>
    <xf numFmtId="0" fontId="15" fillId="13" borderId="22" xfId="0" applyFont="1" applyFill="1" applyBorder="1" applyAlignment="1">
      <alignment vertical="center"/>
    </xf>
    <xf numFmtId="0" fontId="0" fillId="0" borderId="20" xfId="0" applyBorder="1"/>
    <xf numFmtId="0" fontId="0" fillId="13" borderId="20" xfId="0" applyFill="1" applyBorder="1"/>
    <xf numFmtId="0" fontId="0" fillId="0" borderId="1" xfId="0" applyBorder="1"/>
    <xf numFmtId="0" fontId="5" fillId="4" borderId="1" xfId="0" applyFont="1" applyFill="1" applyBorder="1"/>
    <xf numFmtId="0" fontId="0" fillId="15" borderId="1" xfId="0" applyFill="1" applyBorder="1"/>
    <xf numFmtId="0" fontId="15" fillId="4" borderId="20" xfId="0" applyFont="1" applyFill="1" applyBorder="1" applyAlignment="1">
      <alignment horizontal="center" vertical="center"/>
    </xf>
    <xf numFmtId="0" fontId="0" fillId="16" borderId="20" xfId="0" applyFill="1" applyBorder="1" applyAlignment="1">
      <alignment horizontal="left"/>
    </xf>
    <xf numFmtId="0" fontId="15" fillId="0" borderId="1" xfId="0" applyFont="1" applyBorder="1" applyAlignment="1">
      <alignment vertical="center"/>
    </xf>
    <xf numFmtId="0" fontId="15" fillId="0" borderId="20" xfId="0" applyFont="1" applyBorder="1" applyAlignment="1">
      <alignment vertical="center"/>
    </xf>
    <xf numFmtId="0" fontId="15" fillId="17" borderId="21" xfId="0" applyFont="1" applyFill="1" applyBorder="1" applyAlignment="1">
      <alignment vertical="center"/>
    </xf>
    <xf numFmtId="0" fontId="15" fillId="0" borderId="22" xfId="0" applyFont="1" applyBorder="1" applyAlignment="1">
      <alignment vertical="center"/>
    </xf>
    <xf numFmtId="0" fontId="15" fillId="0" borderId="1" xfId="0" applyFont="1" applyBorder="1" applyAlignment="1">
      <alignment vertical="center" wrapText="1"/>
    </xf>
    <xf numFmtId="0" fontId="15" fillId="0" borderId="20" xfId="0" applyFont="1" applyBorder="1" applyAlignment="1">
      <alignment vertical="center" wrapText="1"/>
    </xf>
    <xf numFmtId="0" fontId="15" fillId="13" borderId="1" xfId="0" applyFont="1" applyFill="1" applyBorder="1" applyAlignment="1">
      <alignment vertical="center" wrapText="1"/>
    </xf>
    <xf numFmtId="0" fontId="15" fillId="13" borderId="20" xfId="0" applyFont="1" applyFill="1" applyBorder="1" applyAlignment="1">
      <alignment vertical="center" wrapText="1"/>
    </xf>
    <xf numFmtId="0" fontId="0" fillId="13" borderId="1" xfId="0" applyFill="1" applyBorder="1"/>
    <xf numFmtId="0" fontId="15" fillId="4" borderId="24" xfId="0" applyFont="1" applyFill="1" applyBorder="1" applyAlignment="1">
      <alignment horizontal="center" vertical="center"/>
    </xf>
    <xf numFmtId="0" fontId="0" fillId="0" borderId="24" xfId="0" applyBorder="1"/>
    <xf numFmtId="0" fontId="15" fillId="17" borderId="25" xfId="0" applyFont="1" applyFill="1" applyBorder="1" applyAlignment="1">
      <alignment vertical="center"/>
    </xf>
    <xf numFmtId="0" fontId="15" fillId="0" borderId="26" xfId="0" applyFont="1" applyBorder="1" applyAlignment="1">
      <alignment vertical="center"/>
    </xf>
    <xf numFmtId="0" fontId="0" fillId="18" borderId="0" xfId="0" applyFill="1"/>
    <xf numFmtId="0" fontId="0" fillId="0" borderId="0" xfId="0" applyAlignment="1">
      <alignment horizontal="left"/>
    </xf>
    <xf numFmtId="0" fontId="0" fillId="0" borderId="0" xfId="0" applyAlignment="1">
      <alignment wrapText="1"/>
    </xf>
    <xf numFmtId="0" fontId="0" fillId="20" borderId="1" xfId="0" applyFill="1" applyBorder="1"/>
    <xf numFmtId="0" fontId="17" fillId="22" borderId="1" xfId="0" applyFont="1" applyFill="1" applyBorder="1"/>
    <xf numFmtId="49" fontId="0" fillId="5" borderId="1" xfId="0" applyNumberFormat="1" applyFill="1" applyBorder="1"/>
    <xf numFmtId="0" fontId="16" fillId="12" borderId="1" xfId="0" applyFont="1" applyFill="1" applyBorder="1"/>
    <xf numFmtId="0" fontId="16" fillId="6" borderId="1" xfId="0" applyFont="1" applyFill="1" applyBorder="1"/>
    <xf numFmtId="0" fontId="16" fillId="21" borderId="1" xfId="0" applyFont="1" applyFill="1" applyBorder="1"/>
    <xf numFmtId="0" fontId="18" fillId="0" borderId="0" xfId="0" applyFont="1" applyAlignment="1">
      <alignment horizontal="center" vertical="center"/>
    </xf>
    <xf numFmtId="0" fontId="19" fillId="0" borderId="0" xfId="0" applyFont="1"/>
    <xf numFmtId="0" fontId="0" fillId="9" borderId="1" xfId="0" applyFill="1" applyBorder="1"/>
    <xf numFmtId="0" fontId="0" fillId="19" borderId="1" xfId="0" applyFill="1" applyBorder="1"/>
    <xf numFmtId="49" fontId="0" fillId="0" borderId="0" xfId="0" applyNumberFormat="1"/>
    <xf numFmtId="49" fontId="0" fillId="0" borderId="0" xfId="0" applyNumberFormat="1" applyAlignment="1">
      <alignment wrapText="1"/>
    </xf>
    <xf numFmtId="0" fontId="15" fillId="23" borderId="23" xfId="0" applyFont="1" applyFill="1" applyBorder="1" applyAlignment="1">
      <alignment vertical="center"/>
    </xf>
    <xf numFmtId="49" fontId="0" fillId="24" borderId="1" xfId="0" applyNumberFormat="1" applyFill="1" applyBorder="1"/>
    <xf numFmtId="49" fontId="0" fillId="25" borderId="1" xfId="0" applyNumberFormat="1" applyFill="1" applyBorder="1"/>
    <xf numFmtId="0" fontId="0" fillId="26" borderId="1" xfId="0" applyFill="1" applyBorder="1"/>
    <xf numFmtId="0" fontId="0" fillId="27" borderId="1" xfId="0" applyFill="1" applyBorder="1"/>
    <xf numFmtId="0" fontId="0" fillId="28" borderId="1" xfId="0" applyFill="1" applyBorder="1"/>
    <xf numFmtId="0" fontId="0" fillId="29" borderId="1" xfId="0" applyFill="1" applyBorder="1"/>
    <xf numFmtId="0" fontId="0" fillId="30" borderId="1" xfId="0" applyFill="1" applyBorder="1"/>
    <xf numFmtId="0" fontId="0" fillId="3" borderId="1" xfId="0" applyFill="1" applyBorder="1" applyAlignment="1">
      <alignment horizontal="center"/>
    </xf>
    <xf numFmtId="0" fontId="0" fillId="31" borderId="0" xfId="0" applyFill="1"/>
    <xf numFmtId="0" fontId="7" fillId="2" borderId="0" xfId="0" applyFont="1" applyFill="1"/>
    <xf numFmtId="0" fontId="10" fillId="2" borderId="0" xfId="0" applyFont="1" applyFill="1"/>
    <xf numFmtId="0" fontId="0" fillId="5" borderId="21" xfId="0" applyFill="1" applyBorder="1"/>
    <xf numFmtId="0" fontId="2" fillId="2" borderId="27" xfId="0" applyFont="1" applyFill="1" applyBorder="1" applyAlignment="1">
      <alignment horizontal="left"/>
    </xf>
    <xf numFmtId="0" fontId="2" fillId="2" borderId="28" xfId="0" applyFont="1" applyFill="1" applyBorder="1" applyAlignment="1">
      <alignment horizontal="left"/>
    </xf>
    <xf numFmtId="0" fontId="15" fillId="32" borderId="23" xfId="0" applyFont="1" applyFill="1" applyBorder="1" applyAlignment="1">
      <alignment vertical="center"/>
    </xf>
    <xf numFmtId="0" fontId="15" fillId="11" borderId="1" xfId="0" applyFont="1" applyFill="1" applyBorder="1" applyAlignment="1">
      <alignment vertical="center"/>
    </xf>
    <xf numFmtId="0" fontId="1" fillId="28" borderId="1" xfId="0" applyFont="1" applyFill="1" applyBorder="1"/>
    <xf numFmtId="0" fontId="1" fillId="0" borderId="20" xfId="0" applyFont="1" applyBorder="1"/>
    <xf numFmtId="0" fontId="0" fillId="0" borderId="22" xfId="0" applyBorder="1"/>
    <xf numFmtId="0" fontId="0" fillId="0" borderId="29" xfId="0" applyBorder="1"/>
    <xf numFmtId="0" fontId="1" fillId="0" borderId="30" xfId="0" applyFont="1" applyBorder="1"/>
    <xf numFmtId="0" fontId="0" fillId="0" borderId="31" xfId="0" applyBorder="1"/>
    <xf numFmtId="0" fontId="0" fillId="0" borderId="30" xfId="0" applyBorder="1"/>
    <xf numFmtId="0" fontId="0" fillId="0" borderId="32" xfId="0" applyBorder="1"/>
    <xf numFmtId="0" fontId="0" fillId="0" borderId="33" xfId="0" applyBorder="1"/>
    <xf numFmtId="0" fontId="0" fillId="0" borderId="34" xfId="0" applyBorder="1"/>
    <xf numFmtId="0" fontId="20" fillId="0" borderId="0" xfId="1" applyBorder="1"/>
    <xf numFmtId="0" fontId="21"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0" fillId="0" borderId="0" xfId="0" applyAlignment="1">
      <alignment horizontal="left" vertical="center" indent="2"/>
    </xf>
    <xf numFmtId="0" fontId="22" fillId="0" borderId="0" xfId="0" applyFont="1" applyAlignment="1">
      <alignment horizontal="left" vertical="center" indent="2"/>
    </xf>
    <xf numFmtId="0" fontId="22" fillId="0" borderId="0" xfId="0" applyFont="1"/>
    <xf numFmtId="0" fontId="0" fillId="26" borderId="0" xfId="0" applyFill="1"/>
    <xf numFmtId="0" fontId="24" fillId="0" borderId="1" xfId="0" applyFont="1" applyBorder="1"/>
    <xf numFmtId="0" fontId="23" fillId="26" borderId="1" xfId="0" applyFont="1" applyFill="1" applyBorder="1"/>
    <xf numFmtId="0" fontId="17" fillId="33" borderId="0" xfId="0" applyFont="1" applyFill="1"/>
    <xf numFmtId="0" fontId="0" fillId="34" borderId="0" xfId="0" applyFill="1"/>
    <xf numFmtId="0" fontId="0" fillId="35" borderId="0" xfId="0" applyFill="1"/>
    <xf numFmtId="0" fontId="0" fillId="28" borderId="0" xfId="0" applyFill="1"/>
    <xf numFmtId="0" fontId="0" fillId="36" borderId="0" xfId="0" applyFill="1"/>
    <xf numFmtId="0" fontId="15" fillId="32" borderId="20" xfId="0" applyFont="1" applyFill="1" applyBorder="1" applyAlignment="1">
      <alignment vertical="center"/>
    </xf>
    <xf numFmtId="0" fontId="9" fillId="2" borderId="0" xfId="0" applyFont="1" applyFill="1"/>
    <xf numFmtId="0" fontId="25" fillId="0" borderId="0" xfId="0" applyFont="1" applyAlignment="1">
      <alignment vertical="center"/>
    </xf>
    <xf numFmtId="0" fontId="26" fillId="0" borderId="0" xfId="0" applyFont="1" applyAlignment="1">
      <alignment vertical="center"/>
    </xf>
    <xf numFmtId="0" fontId="22" fillId="0" borderId="0" xfId="0" applyFont="1" applyAlignment="1">
      <alignment vertical="center"/>
    </xf>
    <xf numFmtId="0" fontId="0" fillId="0" borderId="0" xfId="0" applyAlignment="1">
      <alignment vertical="center"/>
    </xf>
    <xf numFmtId="0" fontId="20" fillId="0" borderId="33" xfId="1" applyBorder="1"/>
    <xf numFmtId="0" fontId="1" fillId="0" borderId="0" xfId="0" applyFont="1"/>
    <xf numFmtId="0" fontId="1" fillId="30" borderId="1" xfId="0" applyFont="1" applyFill="1" applyBorder="1"/>
    <xf numFmtId="0" fontId="5" fillId="4" borderId="1" xfId="0" applyFont="1" applyFill="1" applyBorder="1" applyAlignment="1">
      <alignment horizontal="center"/>
    </xf>
    <xf numFmtId="0" fontId="9" fillId="2" borderId="11" xfId="0" applyFont="1" applyFill="1" applyBorder="1" applyAlignment="1">
      <alignment horizontal="center" vertical="center"/>
    </xf>
    <xf numFmtId="0" fontId="9" fillId="2" borderId="0" xfId="0" applyFont="1" applyFill="1" applyAlignment="1">
      <alignment horizontal="center" vertical="center"/>
    </xf>
    <xf numFmtId="0" fontId="9" fillId="2" borderId="12" xfId="0" applyFont="1" applyFill="1" applyBorder="1" applyAlignment="1">
      <alignment horizontal="center" vertical="center"/>
    </xf>
    <xf numFmtId="0" fontId="9" fillId="2" borderId="13" xfId="0" applyFont="1" applyFill="1" applyBorder="1" applyAlignment="1">
      <alignment horizontal="center" vertical="center"/>
    </xf>
    <xf numFmtId="0" fontId="9" fillId="2" borderId="14" xfId="0" applyFont="1" applyFill="1" applyBorder="1" applyAlignment="1">
      <alignment horizontal="center" vertical="center"/>
    </xf>
  </cellXfs>
  <cellStyles count="2">
    <cellStyle name="Hyperlink" xfId="1" builtinId="8"/>
    <cellStyle name="Normal" xfId="0" builtinId="0"/>
  </cellStyles>
  <dxfs count="83">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strike val="0"/>
      </font>
    </dxf>
    <dxf>
      <fill>
        <patternFill>
          <bgColor theme="5" tint="0.79998168889431442"/>
        </patternFill>
      </fill>
    </dxf>
    <dxf>
      <fill>
        <patternFill>
          <bgColor theme="4" tint="0.79998168889431442"/>
        </patternFill>
      </fill>
    </dxf>
    <dxf>
      <fill>
        <patternFill>
          <bgColor theme="6" tint="0.79998168889431442"/>
        </patternFill>
      </fill>
    </dxf>
    <dxf>
      <font>
        <b/>
        <i val="0"/>
      </font>
    </dxf>
    <dxf>
      <fill>
        <patternFill>
          <bgColor theme="5" tint="0.79998168889431442"/>
        </patternFill>
      </fill>
    </dxf>
  </dxfs>
  <tableStyles count="0" defaultTableStyle="TableStyleMedium2" defaultPivotStyle="PivotStyleLight16"/>
  <colors>
    <mruColors>
      <color rgb="FFFFFF99"/>
      <color rgb="FFD8BEEC"/>
      <color rgb="FFC7A1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57150</xdr:colOff>
      <xdr:row>25</xdr:row>
      <xdr:rowOff>142876</xdr:rowOff>
    </xdr:from>
    <xdr:to>
      <xdr:col>6</xdr:col>
      <xdr:colOff>161925</xdr:colOff>
      <xdr:row>34</xdr:row>
      <xdr:rowOff>66676</xdr:rowOff>
    </xdr:to>
    <xdr:sp macro="" textlink="">
      <xdr:nvSpPr>
        <xdr:cNvPr id="2" name="TextBox 1">
          <a:extLst>
            <a:ext uri="{FF2B5EF4-FFF2-40B4-BE49-F238E27FC236}">
              <a16:creationId xmlns:a16="http://schemas.microsoft.com/office/drawing/2014/main" id="{C1853C4B-5CF2-4075-877A-E1BD79048DE4}"/>
            </a:ext>
          </a:extLst>
        </xdr:cNvPr>
        <xdr:cNvSpPr txBox="1"/>
      </xdr:nvSpPr>
      <xdr:spPr>
        <a:xfrm>
          <a:off x="57150" y="5305426"/>
          <a:ext cx="3762375"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[Paste Mentor Prompt Cell Here]</a:t>
          </a:r>
        </a:p>
        <a:p>
          <a:endParaRPr lang="en-US" sz="1100"/>
        </a:p>
        <a:p>
          <a:r>
            <a:rPr lang="en-US" sz="1100" b="1"/>
            <a:t>My question:</a:t>
          </a:r>
        </a:p>
        <a:p>
          <a:r>
            <a:rPr lang="en-US" sz="1100"/>
            <a:t>[Describe what you don't understand or the issue you are facing]</a:t>
          </a:r>
        </a:p>
        <a:p>
          <a:endParaRPr lang="en-US" sz="1100"/>
        </a:p>
        <a:p>
          <a:r>
            <a:rPr lang="en-US" sz="1100" b="1"/>
            <a:t>My current code:</a:t>
          </a:r>
        </a:p>
        <a:p>
          <a:r>
            <a:rPr lang="en-US" sz="1100"/>
            <a:t>[Paste your code from your IDE here]</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7798CF-F458-43D1-85D1-0EF6D1C367F4}" name="Table2" displayName="Table2" ref="B2:E19" totalsRowShown="0">
  <autoFilter ref="B2:E19" xr:uid="{477798CF-F458-43D1-85D1-0EF6D1C367F4}">
    <filterColumn colId="0" hiddenButton="1"/>
    <filterColumn colId="1" hiddenButton="1"/>
    <filterColumn colId="2" hiddenButton="1"/>
    <filterColumn colId="3" hiddenButton="1"/>
  </autoFilter>
  <tableColumns count="4">
    <tableColumn id="1" xr3:uid="{AF1BC3E6-A291-4881-98E4-E2262942E61C}" name="Cell"/>
    <tableColumn id="2" xr3:uid="{A730AA41-75B2-4CE9-A8CA-24DE3FE4108C}" name="Cell References"/>
    <tableColumn id="3" xr3:uid="{C201C974-24D3-4F6B-B4DA-ADDAF2F3C4D7}" name="Type"/>
    <tableColumn id="4" xr3:uid="{74650CAD-2AEE-4B2B-A36B-4C37DA129C83}" name="Detailed Explanatio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hyperlink" Target="https://coding5s.com/" TargetMode="External"/><Relationship Id="rId1" Type="http://schemas.openxmlformats.org/officeDocument/2006/relationships/hyperlink" Target="https://github.com/WilfredoBarrios/coding5s-framewor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1C9F5-A3E1-48B4-A4AC-C90CACFBE404}">
  <sheetPr>
    <tabColor rgb="FFFF0000"/>
  </sheetPr>
  <dimension ref="A1:AM209"/>
  <sheetViews>
    <sheetView showGridLines="0" tabSelected="1" zoomScale="85" zoomScaleNormal="85" workbookViewId="0"/>
  </sheetViews>
  <sheetFormatPr defaultColWidth="11.42578125" defaultRowHeight="15"/>
  <cols>
    <col min="1" max="1" width="15.7109375" customWidth="1"/>
    <col min="2" max="2" width="10" bestFit="1" customWidth="1"/>
    <col min="3" max="3" width="11.28515625" bestFit="1" customWidth="1"/>
    <col min="4" max="4" width="22.28515625" bestFit="1" customWidth="1"/>
    <col min="5" max="5" width="16.5703125" style="73" customWidth="1"/>
    <col min="6" max="6" width="5.140625" customWidth="1"/>
    <col min="7" max="7" width="12.5703125" bestFit="1" customWidth="1"/>
    <col min="8" max="8" width="13.85546875" bestFit="1" customWidth="1"/>
    <col min="9" max="9" width="12.5703125" customWidth="1"/>
    <col min="10" max="10" width="68.5703125" customWidth="1"/>
    <col min="11" max="12" width="18.140625" customWidth="1"/>
    <col min="13" max="13" width="6.7109375" bestFit="1" customWidth="1"/>
    <col min="14" max="15" width="16.140625" customWidth="1"/>
    <col min="16" max="16" width="7.85546875" bestFit="1" customWidth="1"/>
    <col min="17" max="18" width="17.42578125" customWidth="1"/>
    <col min="19" max="19" width="7.85546875" bestFit="1" customWidth="1"/>
    <col min="20" max="21" width="16.5703125" customWidth="1"/>
    <col min="22" max="22" width="7.85546875" bestFit="1" customWidth="1"/>
    <col min="23" max="24" width="20.42578125" customWidth="1"/>
    <col min="25" max="25" width="7.85546875" bestFit="1" customWidth="1"/>
    <col min="26" max="30" width="16" bestFit="1" customWidth="1"/>
    <col min="31" max="31" width="21.5703125" bestFit="1" customWidth="1"/>
    <col min="33" max="33" width="27.5703125" customWidth="1"/>
    <col min="34" max="34" width="14.28515625" bestFit="1" customWidth="1"/>
    <col min="35" max="35" width="32" customWidth="1"/>
    <col min="36" max="36" width="27.85546875" customWidth="1"/>
  </cols>
  <sheetData>
    <row r="1" spans="1:39" ht="26.25">
      <c r="A1" s="1"/>
      <c r="B1" s="2"/>
      <c r="C1" s="96"/>
      <c r="D1" s="3"/>
      <c r="E1" s="4" t="s">
        <v>0</v>
      </c>
      <c r="F1" s="5" t="s">
        <v>1</v>
      </c>
      <c r="G1" s="6"/>
      <c r="H1" s="7" t="s">
        <v>2</v>
      </c>
      <c r="I1" s="6"/>
      <c r="J1" s="3"/>
      <c r="K1" s="8" t="s">
        <v>3</v>
      </c>
      <c r="L1" s="9" t="str">
        <f>IF(H9="Topic",
"[ROLE] Friendly tutor specializing in " &amp; $I$2 &amp; " | " &amp;
"[TASK] Teach and explain concepts clearly with correct code examples | " &amp;
"[TOPIC] " &amp; I9 &amp; " | " &amp;
"[LEVEL] " &amp; G9 &amp; " | " &amp;
"[COUNT] " &amp; D9 &amp; " examples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 &amp; $B$6 &amp; " | " &amp;
"[HEADER RULE - STRICT] You MUST start your entire response EXACTLY with this markdown block (do not print anything before it):" &amp; CHAR(10) &amp; "### 🔹 Topic #" &amp; F9 &amp; " | Stage 1 📖 Practice | " &amp; $I$2 &amp; " | 📊 Level: " &amp; G9 &amp; " | 🌐 Coding5s.com" &amp; CHAR(10) &amp; "**Concept:** " &amp; J9 &amp; CHAR(10) &amp; "---" &amp; CHAR(10) &amp; " | " &amp;
"[INTRO RULE] Include a short tutor-style sentence in " &amp; $B$6 &amp; " before the analogy, followed by this EXACT instruction block translated to " &amp; $B$6 &amp; _xlfn._LONGTEXT(":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&amp; " | ", "") &amp;
"[OUTPUT] Only header, introduction, examples, outputs, notes, summary, and footer | " &amp;
"[FOOTER RULE - STRICT] End your entire response EXACTLY with this markdown string (ensure all code blocks are closed before it):" &amp; CHAR(10) &amp; "---" &amp; CHAR(10) &amp; "⚡ *Coding5s System — Learn Programming by Writing Code*" &amp;
"[CODE CONSTRAINTS] Each example MUST include: - Internal data OR dataset usage - Print key intermediate steps and the final result - MUST NOT exceed exactly " &amp; $C9 &amp; " lines of EXECUTABLE code (STRICT: Do NOT count comments or blank lines towards this limit) - NEVER exceed this limit of executable lines - " &amp; IF(G9&lt;&gt;"Advanced", "NO classes - ", "") &amp; "Single logical flow (no unnecessary complexity) | " &amp;
"[SYNTAX CONFIGURATION RULE] " &amp; IF(F9&gt;=10, "You MUST format output strings elegantly using f-strings natively.", "CRITICAL PROHIBITION: Do NOT use f-strings (f""..."") or any advanced text formatting methods yet. Use basic print() with multiple arguments separated by commas for text labels and variables.") &amp; " | " &amp;
"[FUNCTION RULE] " &amp; IF(G9="Beginner","Do NOT use functions unless absolutely required by the concept. Use flat, linear scripts. ",IF(G9="Intermediate","MUST use modular functions. Break down logic into reusable blocks. ","MUST use modular functions appropriately for architecture and clarity. ")) &amp; "| " &amp;
"[FILE HANDLING RULE] Use correct loaders and enforce encoding='utf-8' and newline='' when applicable | " &amp;
"[SUPPORT FILES RULE] If env/config is used, include: 1. Instructional sentence 2. File content in markdown code block 3. BEFORE the main code | " &amp;
"[ECOSYSTEM ORIENTATION RULE] If a library or ecosystem like " &amp; $J$3 &amp; " is specified, you are CRITICALLY FORBIDDEN from using pure Python iterative loops (for/while). You MUST enforce the native, optimized data structures and vectorized operations of that specific library | " &amp;
"[OUTPUT FORMAT RULE] " &amp; IF(F9&gt;=10, "Monetary values formatted with '$', commas, 2 decimals using f-strings.", "Print raw numeric outputs directly without forcing custom monetary formatting structures yet.") &amp; "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 &amp; $B$6 &amp; ") - PURGE ANY MEMORY of previous datasets. - Generate minimal realistic dummy data internally - Clearly proceed without dataset summary | " &amp;
"[DATA SUMMARY FORMAT RULE] When a dataset is present, you MUST display IMMEDIATELY AFTER THE HEADER: Dataset Summary: - File Type: - Columns / Fields: - Data Types: - Notes: | " &amp;
"[DATA TYPE RULE] Explicit casting required before calculations | " &amp;
"[DATA ROBUSTNESS RULE] Handle missing, malformed, or inconsistent data safely | " &amp;
"[BOOLEAN HANDLING RULE] Normalize boolean values before comparison | " &amp;
"[DATA CONSISTENCY RULE] Respect dataset schema | " &amp;
"[COMMENT DENSITY RULE] Beginner = high, Intermediate = medium, Advanced = lower but present in key logic | " &amp;
"[DIFFICULTY RULE] Complexity MUST match level | ",
IF(H9="PROJECT", Z9, ""))</f>
        <v xml:space="preserve">[ROLE] Friendly tutor specializing in Dart Object-Oriented &amp; Advanced Patterns | [TASK] Teach and explain concepts clearly with correct code examples | [TOPIC] Demonstrate Class Declaration and Instantiation using class, new, identical(), and runtimeType. | [LEVEL] Intermediate | [COUNT] 3 examples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English | [HEADER RULE - STRICT] You MUST start your entire response EXACTLY with this markdown block (do not print anything before it):
### 🔹 Topic #1 | Stage 1 📖 Practice | Dart Object-Oriented &amp; Advanced Patterns | 📊 Level: Intermediate | 🌐 Coding5s.com
**Concept:** Class Declaration &amp; Instantiation (class, new, identical(), runtimeType)
---
 | [INTRO RULE] Include a short tutor-style sentence in English before the analogy, followed by this EXACT instruction block translated to English: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[OUTPUT] Only header, introduction, examples, outputs, notes, summary, and footer | [FOOTER RULE - STRICT] End your entire response EXACTLY with this markdown string (ensure all code blocks are closed before it):
---
⚡ *Coding5s System — Learn Programming by Writing Code*[CODE CONSTRAINTS] Each example MUST include: - Internal data OR dataset usage - Print key intermediate steps and the final result - MUST NOT exceed exactly 12 lines of EXECUTABLE code (STRICT: Do NOT count comments or blank lines towards this limit) - NEVER exceed this limit of executable lines - NO classes - Single logical flow (no unnecessary complexity) | [SYNTAX CONFIGURATION RULE] CRITICAL PROHIBITION: Do NOT use f-strings (f"...") or any advanced text formatting methods yet. Use basic print() with multiple arguments separated by commas for text labels and variables. | [FUNCTION RULE] MUST use modular functions. Break down logic into reusable blocks. | [FILE HANDLING RULE] Use correct loaders and enforce encoding='utf-8' and newline='' when applicable | [SUPPORT FILES RULE] If env/config is used, include: 1. Instructional sentence 2. File content in markdown code block 3. BEFORE the main code | [ECOSYSTEM ORIENTATION RULE] If a library or ecosystem like  is specified, you are CRITICALLY FORBIDDEN from using pure Python iterative loops (for/while). You MUST enforce the native, optimized data structures and vectorized operations of that specific library | [OUTPUT FORMAT RULE] Print raw numeric outputs directly without forcing custom monetary formatting structures yet.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English) - PURGE ANY MEMORY of previous datasets. - Generate minimal realistic dummy data internally - Clearly proceed without dataset summary | [DATA SUMMARY FORMAT RULE] When a dataset is present, you MUST display IMMEDIATELY AFTER THE HEADER: Dataset Summary: - File Type: - Columns / Fields: - Data Types: - Notes: | [DATA TYPE RULE] Explicit casting required before calculations | [DATA ROBUSTNESS RULE] Handle missing, malformed, or inconsistent data safely | [BOOLEAN HANDLING RULE] Normalize boolean values before comparison | [DATA CONSISTENCY RULE] Respect dataset schema | [COMMENT DENSITY RULE] Beginner = high, Intermediate = medium, Advanced = lower but present in key logic | [DIFFICULTY RULE] Complexity MUST match level | </v>
      </c>
      <c r="M1" s="10"/>
      <c r="N1" s="3" t="s">
        <v>4</v>
      </c>
      <c r="O1" s="3"/>
      <c r="P1" s="3"/>
      <c r="Q1" s="11" t="s">
        <v>5</v>
      </c>
      <c r="R1" s="12"/>
      <c r="S1" s="13"/>
      <c r="T1" s="3" t="s">
        <v>6</v>
      </c>
      <c r="U1" s="3"/>
      <c r="V1" s="3"/>
      <c r="W1" s="11" t="s">
        <v>7</v>
      </c>
      <c r="X1" s="12"/>
      <c r="Y1" s="13"/>
      <c r="Z1" s="1"/>
      <c r="AA1" s="1"/>
      <c r="AB1" s="1"/>
      <c r="AC1" s="1"/>
      <c r="AD1" s="1"/>
      <c r="AE1" s="15"/>
      <c r="AF1" s="14"/>
      <c r="AG1" s="14"/>
      <c r="AH1" s="15"/>
      <c r="AI1" s="15"/>
      <c r="AJ1" s="15"/>
      <c r="AK1" s="15"/>
      <c r="AL1" s="15"/>
    </row>
    <row r="2" spans="1:39" ht="30" customHeight="1" thickBot="1">
      <c r="A2" s="1"/>
      <c r="B2" s="2"/>
      <c r="C2" s="96" t="s">
        <v>226</v>
      </c>
      <c r="D2" s="16"/>
      <c r="E2" s="99" t="str">
        <f>IF(E1="Stage 1","k9:L200",IF(E1="Stage 2","N9:O200",IF(E1="Stage 3","Q9:R200",IF(E1="Stage 4","T9:U200",IF(E1="Stage 5","W9:X200","Stage Incorrecta")))))</f>
        <v>k9:L200</v>
      </c>
      <c r="F2" s="18" t="s">
        <v>8</v>
      </c>
      <c r="G2" s="19"/>
      <c r="H2" s="19"/>
      <c r="I2" s="16" t="s">
        <v>729</v>
      </c>
      <c r="J2" s="16"/>
      <c r="K2" s="139" t="s">
        <v>9</v>
      </c>
      <c r="L2" s="140"/>
      <c r="M2" s="141"/>
      <c r="N2" s="140" t="s">
        <v>10</v>
      </c>
      <c r="O2" s="140"/>
      <c r="P2" s="140"/>
      <c r="Q2" s="142" t="s">
        <v>11</v>
      </c>
      <c r="R2" s="140"/>
      <c r="S2" s="143"/>
      <c r="T2" s="140" t="s">
        <v>12</v>
      </c>
      <c r="U2" s="140"/>
      <c r="V2" s="140"/>
      <c r="W2" s="142" t="s">
        <v>13</v>
      </c>
      <c r="X2" s="140"/>
      <c r="Y2" s="143"/>
      <c r="Z2" s="1"/>
      <c r="AA2" s="1"/>
      <c r="AB2" s="1"/>
      <c r="AC2" s="1"/>
      <c r="AD2" s="1"/>
      <c r="AE2" s="15"/>
      <c r="AF2" s="14"/>
      <c r="AG2" s="14"/>
      <c r="AH2" s="15"/>
      <c r="AI2" s="15"/>
      <c r="AJ2" s="15"/>
      <c r="AK2" s="15"/>
      <c r="AL2" s="15"/>
    </row>
    <row r="3" spans="1:39" ht="26.25">
      <c r="A3" s="1"/>
      <c r="B3" s="2"/>
      <c r="C3" s="96" t="str">
        <f>""</f>
        <v/>
      </c>
      <c r="D3" s="2"/>
      <c r="E3" s="100">
        <f>COUNTA(E9:E200)-E4</f>
        <v>0</v>
      </c>
      <c r="F3" s="97" t="s">
        <v>266</v>
      </c>
      <c r="G3" s="2"/>
      <c r="H3" s="2"/>
      <c r="I3" s="16"/>
      <c r="J3" s="16"/>
      <c r="K3" s="30"/>
      <c r="L3" s="22"/>
      <c r="M3" s="23"/>
      <c r="N3" s="22"/>
      <c r="O3" s="22"/>
      <c r="P3" s="22"/>
      <c r="Q3" s="24"/>
      <c r="R3" s="22"/>
      <c r="S3" s="25"/>
      <c r="T3" s="22"/>
      <c r="U3" s="22"/>
      <c r="V3" s="22"/>
      <c r="W3" s="26"/>
      <c r="X3" s="22"/>
      <c r="Y3" s="25"/>
      <c r="Z3" s="1"/>
      <c r="AA3" s="1"/>
      <c r="AB3" s="1"/>
      <c r="AC3" s="1"/>
      <c r="AD3" s="1"/>
      <c r="AE3" s="15"/>
      <c r="AF3" s="14"/>
      <c r="AG3" s="14"/>
      <c r="AH3" s="15"/>
      <c r="AI3" s="15"/>
      <c r="AJ3" s="15"/>
      <c r="AK3" s="15"/>
      <c r="AL3" s="15"/>
    </row>
    <row r="4" spans="1:39" ht="15.75">
      <c r="A4" s="1"/>
      <c r="B4" s="2"/>
      <c r="C4" s="96"/>
      <c r="D4" s="2"/>
      <c r="E4" s="101">
        <f>COUNTIF($E$9:$E$200,"No")</f>
        <v>38</v>
      </c>
      <c r="F4" s="98"/>
      <c r="G4" s="2"/>
      <c r="H4" s="28"/>
      <c r="I4" s="29"/>
      <c r="J4" s="29"/>
      <c r="K4" s="30"/>
      <c r="L4" s="31"/>
      <c r="M4" s="23"/>
      <c r="N4" s="31"/>
      <c r="O4" s="31"/>
      <c r="P4" s="22"/>
      <c r="Q4" s="21"/>
      <c r="R4" s="2"/>
      <c r="S4" s="25"/>
      <c r="T4" s="22"/>
      <c r="U4" s="22"/>
      <c r="V4" s="22"/>
      <c r="W4" s="26"/>
      <c r="X4" s="22"/>
      <c r="Y4" s="25"/>
      <c r="Z4" s="1"/>
      <c r="AA4" s="1"/>
      <c r="AB4" s="1"/>
      <c r="AC4" s="1"/>
      <c r="AD4" s="1"/>
      <c r="AE4" s="14"/>
      <c r="AF4" s="14"/>
      <c r="AG4" s="14"/>
      <c r="AH4" s="15"/>
      <c r="AI4" s="15"/>
      <c r="AJ4" s="15"/>
      <c r="AK4" s="15"/>
      <c r="AL4" s="15"/>
    </row>
    <row r="5" spans="1:39" ht="21">
      <c r="A5" s="1"/>
      <c r="B5" s="32" t="s">
        <v>14</v>
      </c>
      <c r="C5" s="32" t="s">
        <v>15</v>
      </c>
      <c r="D5" s="2"/>
      <c r="E5" s="32" t="s">
        <v>492</v>
      </c>
      <c r="F5" s="33"/>
      <c r="G5" s="2"/>
      <c r="H5" s="28"/>
      <c r="I5" s="29"/>
      <c r="J5" s="29"/>
      <c r="K5" s="30"/>
      <c r="L5" s="31"/>
      <c r="M5" s="23"/>
      <c r="N5" s="31"/>
      <c r="O5" s="31"/>
      <c r="P5" s="22"/>
      <c r="Q5" s="21"/>
      <c r="R5" s="2"/>
      <c r="S5" s="25"/>
      <c r="T5" s="22"/>
      <c r="U5" s="22"/>
      <c r="V5" s="22"/>
      <c r="W5" s="26"/>
      <c r="X5" s="22"/>
      <c r="Y5" s="25"/>
      <c r="Z5" s="1"/>
      <c r="AA5" s="1"/>
      <c r="AB5" s="1"/>
      <c r="AC5" s="1"/>
      <c r="AD5" s="1"/>
      <c r="AE5" s="14"/>
      <c r="AF5" s="14"/>
      <c r="AG5" s="14"/>
      <c r="AH5" s="15"/>
      <c r="AI5" s="15"/>
      <c r="AJ5" s="15"/>
      <c r="AK5" s="15"/>
      <c r="AL5" s="15"/>
    </row>
    <row r="6" spans="1:39" ht="15.75">
      <c r="A6" s="1"/>
      <c r="B6" s="34" t="s">
        <v>53</v>
      </c>
      <c r="C6" s="17" t="str">
        <f>VLOOKUP(B6,AL:AM,2,0)</f>
        <v>en</v>
      </c>
      <c r="D6" s="2"/>
      <c r="E6" s="35" t="str" cm="1">
        <f t="array" ref="E6">"AL9:"&amp;ADDRESS(_xlfn.AGGREGATE(14, 6, ROW(AL:AL)*(AL:AL&lt;&gt;""), 1), COLUMN(AL:AL))</f>
        <v>AL9:$AL$48</v>
      </c>
      <c r="F6" s="27"/>
      <c r="G6" s="130" t="s">
        <v>672</v>
      </c>
      <c r="H6" s="28"/>
      <c r="I6" s="29"/>
      <c r="J6" s="29"/>
      <c r="K6" s="30"/>
      <c r="L6" s="31"/>
      <c r="M6" s="23"/>
      <c r="N6" s="31"/>
      <c r="O6" s="31"/>
      <c r="P6" s="22"/>
      <c r="Q6" s="21"/>
      <c r="R6" s="2"/>
      <c r="S6" s="25"/>
      <c r="T6" s="22"/>
      <c r="U6" s="22"/>
      <c r="V6" s="22"/>
      <c r="W6" s="26"/>
      <c r="X6" s="22"/>
      <c r="Y6" s="25"/>
      <c r="Z6" s="1"/>
      <c r="AA6" s="1"/>
      <c r="AB6" s="1"/>
      <c r="AC6" s="1"/>
      <c r="AD6" s="1"/>
      <c r="AE6" s="104" t="s">
        <v>17</v>
      </c>
      <c r="AF6" s="15"/>
      <c r="AG6" s="15"/>
      <c r="AH6" s="15"/>
      <c r="AI6" s="15"/>
      <c r="AJ6" s="15"/>
      <c r="AK6" s="15"/>
      <c r="AL6" s="15"/>
    </row>
    <row r="7" spans="1:39">
      <c r="A7" s="1"/>
      <c r="B7" s="2"/>
      <c r="C7" s="96"/>
      <c r="D7" s="2"/>
      <c r="E7" s="20"/>
      <c r="F7" s="36"/>
      <c r="G7" s="36"/>
      <c r="H7" s="37"/>
      <c r="I7" s="28"/>
      <c r="J7" s="28"/>
      <c r="K7" s="31" t="s">
        <v>671</v>
      </c>
      <c r="L7" s="31" t="s">
        <v>671</v>
      </c>
      <c r="M7" s="38"/>
      <c r="N7" s="31" t="s">
        <v>671</v>
      </c>
      <c r="O7" s="31" t="s">
        <v>671</v>
      </c>
      <c r="P7" s="22"/>
      <c r="Q7" s="31" t="s">
        <v>671</v>
      </c>
      <c r="R7" s="31" t="s">
        <v>671</v>
      </c>
      <c r="S7" s="39"/>
      <c r="T7" s="31" t="s">
        <v>671</v>
      </c>
      <c r="U7" s="31" t="s">
        <v>671</v>
      </c>
      <c r="V7" s="22"/>
      <c r="W7" s="31" t="s">
        <v>671</v>
      </c>
      <c r="X7" s="31" t="s">
        <v>671</v>
      </c>
      <c r="Y7" s="39"/>
      <c r="Z7" s="31" t="s">
        <v>671</v>
      </c>
      <c r="AA7" s="31" t="s">
        <v>671</v>
      </c>
      <c r="AB7" s="31" t="s">
        <v>671</v>
      </c>
      <c r="AC7" s="31" t="s">
        <v>671</v>
      </c>
      <c r="AD7" s="31" t="s">
        <v>671</v>
      </c>
      <c r="AE7" s="35" t="str">
        <f>_xlfn.CONCAT(AH9:AH200)</f>
        <v/>
      </c>
      <c r="AF7" s="15"/>
      <c r="AG7" s="15"/>
      <c r="AH7" s="15"/>
      <c r="AI7" s="15"/>
      <c r="AJ7" s="15"/>
      <c r="AK7" s="138" t="s">
        <v>497</v>
      </c>
      <c r="AL7" s="138"/>
      <c r="AM7" s="138"/>
    </row>
    <row r="8" spans="1:39">
      <c r="A8" s="42" t="s">
        <v>19</v>
      </c>
      <c r="B8" s="43">
        <v>0</v>
      </c>
      <c r="C8" s="41" t="s">
        <v>18</v>
      </c>
      <c r="D8" s="43" t="s">
        <v>493</v>
      </c>
      <c r="E8" s="44" t="s">
        <v>20</v>
      </c>
      <c r="F8" s="43" t="s">
        <v>21</v>
      </c>
      <c r="G8" s="42" t="s">
        <v>22</v>
      </c>
      <c r="H8" s="42" t="s">
        <v>23</v>
      </c>
      <c r="I8" s="42" t="s">
        <v>24</v>
      </c>
      <c r="J8" s="42" t="s">
        <v>25</v>
      </c>
      <c r="K8" s="42" t="s">
        <v>26</v>
      </c>
      <c r="L8" s="42" t="s">
        <v>27</v>
      </c>
      <c r="M8" s="42" t="s">
        <v>28</v>
      </c>
      <c r="N8" s="42" t="s">
        <v>29</v>
      </c>
      <c r="O8" s="42" t="s">
        <v>27</v>
      </c>
      <c r="P8" s="42" t="s">
        <v>30</v>
      </c>
      <c r="Q8" s="42" t="s">
        <v>31</v>
      </c>
      <c r="R8" s="42" t="s">
        <v>27</v>
      </c>
      <c r="S8" s="42" t="s">
        <v>32</v>
      </c>
      <c r="T8" s="42" t="s">
        <v>33</v>
      </c>
      <c r="U8" s="42" t="s">
        <v>27</v>
      </c>
      <c r="V8" s="42" t="s">
        <v>34</v>
      </c>
      <c r="W8" s="42" t="s">
        <v>35</v>
      </c>
      <c r="X8" s="42" t="s">
        <v>27</v>
      </c>
      <c r="Y8" s="42" t="s">
        <v>36</v>
      </c>
      <c r="Z8" s="42" t="s">
        <v>37</v>
      </c>
      <c r="AA8" s="42" t="s">
        <v>38</v>
      </c>
      <c r="AB8" s="42" t="s">
        <v>39</v>
      </c>
      <c r="AC8" s="42" t="s">
        <v>40</v>
      </c>
      <c r="AD8" s="42" t="s">
        <v>41</v>
      </c>
      <c r="AE8" s="42" t="s">
        <v>494</v>
      </c>
      <c r="AF8" s="42" t="s">
        <v>495</v>
      </c>
      <c r="AG8" s="42" t="s">
        <v>496</v>
      </c>
      <c r="AH8" s="42" t="s">
        <v>42</v>
      </c>
      <c r="AI8" s="42" t="s">
        <v>43</v>
      </c>
      <c r="AJ8" s="42" t="s">
        <v>499</v>
      </c>
      <c r="AK8" s="42" t="s">
        <v>44</v>
      </c>
      <c r="AL8" s="42" t="s">
        <v>45</v>
      </c>
      <c r="AM8" s="42" t="s">
        <v>15</v>
      </c>
    </row>
    <row r="9" spans="1:39">
      <c r="A9" s="45" t="str" cm="1">
        <f t="array" ref="A9">IF(H9="PROJECT", CHAR(10) &amp; "- " &amp; _xlfn.TEXTJOIN(CHAR(10) &amp; "- ", TRUE, _xlfn._xlws.FILTER($I$9:$I$1000, ($B$9:$B$1000=B9) * ($H$9:$H$1000="Topic"))), "")</f>
        <v/>
      </c>
      <c r="B9" s="45">
        <f>IF(H9="","",IF(AND(H9="Topic",H8="PROJECT"),B8+1,IF(H9="PROJECT",B8,IF(AND(H9="Topic",H8="Topic"),B8,B8+1))))</f>
        <v>1</v>
      </c>
      <c r="C9" s="95">
        <v>12</v>
      </c>
      <c r="D9" s="46">
        <v>3</v>
      </c>
      <c r="E9" s="47" t="s">
        <v>46</v>
      </c>
      <c r="F9" s="48">
        <v>1</v>
      </c>
      <c r="G9" s="49" t="s">
        <v>158</v>
      </c>
      <c r="H9" s="49" t="s">
        <v>48</v>
      </c>
      <c r="I9" s="50" t="s">
        <v>730</v>
      </c>
      <c r="J9" s="51" t="s">
        <v>731</v>
      </c>
      <c r="K9" s="129" t="str">
        <f>IF(H9="Topic",
"[ROLE] Friendly tutor specializing in " &amp; $I$2 &amp; " | " &amp;
"[TOPIC] " &amp; I9 &amp; " | " &amp;
"[LEVEL] " &amp; G9 &amp; " | " &amp;
"[COUNT] " &amp; D9 &amp; " examples | " &amp;
"[LIBRARY BEING LEARNED] " &amp; $I$3 &amp; " | " &amp;
"[ECOSYSTEM ORIENTATION RULE] If a data manipulation library, external package, or ecosystem like Pandas or NumPy is specified in " &amp; $I$3 &amp; _xlfn._LONGTEXT(",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$C9 &amp; " lines of EXECUTABLE code (STRICT: Do NOT count comments or blank lines). - NEVER exceed this limit. | " &amp;
"[FUNCTION RULE] Rule: " &amp; IF(G9="Beginner","Focus strictly on basic class definitions, constructors, properties, and object instantiation inside main(). DO NOT use procedural scripts.", IF(G9="Intermediate", "STRICT REQUIREMENT: Integrate custom class definitions ('class'), constructors, instance methods, and getters/setters in EVERY example.", "Advanced OOP &amp; patterns: abstract classes, mixins, factory/named constructors, interfaces ('implements'), extensions, and overriding ('@override').")) &amp; " | " &amp;
_xlfn._LONGTEXT("[CODE_CONSTRAINTS_RULE]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 &amp;
"[I_O_PARADIGM] Use Basic primitive types (int, double, String, bool) or simple List/Map structures within classes. and gracefully handle print() statements with string interpolation to display outputs clearly. when applicable. | " &amp;
"[INLINE_PACKAGE_MANAGER] If using external packages, use Dart native classes, constructors, OOP patterns, and standard core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D9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IF(H9="PROJECT", Z9, ""))</f>
        <v xml:space="preserve">[ROLE] Friendly tutor specializing in Dart Object-Oriented &amp; Advanced Patterns | [TOPIC] Demonstrate Class Declaration and Instantiation using class, new, identical(), and runtimeType. | [LEVEL] Intermediate | [COUNT] 3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 | Stage 1 📖 Practice | Dart Object-Oriented &amp; Advanced Patterns | 📊 Level: Intermediate | 🌐 Coding5s.com
**Concept:** Class Declaration &amp; Instantiation (class, new, identical(), runtimeType)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 s="103" t="str">
        <f>IF(OR(H9="Topic", UPPER(H9)="PROJECT"),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IF(UPPER(H9)="PROJECT", "building a PROJECT: " &amp; I9 &amp; ". Topics applied in this project: " &amp; A9 &amp; ". Project objective: " &amp; J9, "learning: " &amp; I9 &amp; ". Topic details: " &amp; J9)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IF(G9="Beginner", "Evaluate based on basic class instantiation, constructors, and property access inside main(). Do NOT expect advanced mixins or factories unless explicitly demanded.", IF(G9="Intermediate", "Expect clean class definitions, proper encapsulation (using '_'), named constructors, and correct 'this' usage. Enforce solid OOP principles.", "Expect advanced OOP architecture using abstract classes, mixins, factory constructors, interfaces, overriding, and composition.")) &amp; " | " &amp;
_xlfn._LONGTEXT("[CODE_QUALITY_POLICIES]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&amp; IF(AJ9&lt;&gt;"", "[MENTOR CONTEXT ALERT] Be aware of the following infrastructure limitation for this exercise: " &amp; AJ9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Demonstrate Class Declaration and Instantiation using class, new, identical(), and runtimeType.. Topic details: Class Declaration &amp; Instantiation (class, new, identical(), runtimeType)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 | Practice | Dart Object-Oriented &amp; Advanced Patterns | 📊 Level: Intermediate
**Topic:** Demonstrate Class Declaration and Instantiation using class, new, identical(), and runtimeType.
---
 | [FOOTER RULE - STRICT] End your response with: '--- ⚡ *Coding5s Mentor System — Eliminating Epistemic Debt*' | </v>
      </c>
      <c r="M9" s="52">
        <v>0</v>
      </c>
      <c r="N9" s="102" t="str">
        <f>IF(H9="Topic",
"[ROLE] Careless " &amp; $I$2 &amp; " Developer | " &amp;
"[TASK] Generate debugging challenges in " &amp; $I$2 &amp; " | | " &amp;
"[TOPIC] " &amp; I9 &amp; " | | " &amp;
"[LEVEL] " &amp; G9 &amp; "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
"[HEADER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complex dart test suites; keep object validation inside main(). | " &amp;
"[DEPENDENCY_MANAGEMENT_RULE] Standard Dart runtime context. If external packages are needed, specify them strictly in pubspec.yaml support files. | " &amp;
"[CODE CONSTRAINTS] Each challenge MUST include: internal data OR collection usage, at least 1 print statement, at least 1 loop (when applicable), EXACTLY 1 class definition, 1 constructor, and EXACTLY 1 class instantiation within main(). - " &amp; IF(G9="Beginner", "5–15", IF(G9="Intermediate", "10–25", "15–35")) &amp; " lines of EXECUTABLE broken Dart code per challenge (STRICT: Do NOT count blank lines). All logic MUST be encapsulated inside class methods and executed via main().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D9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IF(H9="PROJECT", AA9, ""))</f>
        <v>[ROLE] Careless Dart Object-Oriented &amp; Advanced Patterns Developer | [TASK] Generate debugging challenges in Dart Object-Oriented &amp; Advanced Patterns | | [TOPIC] Demonstrate Class Declaration and Instantiation using class, new, identical(), and runtimeType. | | [LEVEL] Intermediate | | [COUNT] 3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 | Stage 2 🐛 Debug | Dart Object-Oriented &amp; Advanced Patterns | 📊 Level: Intermediate | 🌐 Coding5s.com
Concept: Class Declaration &amp; Instantiation (class, new, identical(), runtimeType)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 s="103" t="str">
        <f>IF(OR(H9="Topic", UPPER(H9)="PROJECT"),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IF(UPPER(H9)="PROJECT", "PROJECT: " &amp; I9 &amp; ". Topics involved: " &amp; A9 &amp; ". Project objective: " &amp; J9, "TOPIC: " &amp; I9 &amp; ". Topic details: " &amp; J9)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
_xlfn._LONGTEXT("[CORE_QUALITY_POLICY]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Demonstrate Class Declaration and Instantiation using class, new, identical(), and runtimeType.. Topic details: Class Declaration &amp; Instantiation (class, new, identical(), runtimeType)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 | Debug | Dart Object-Oriented &amp; Advanced Patterns | 📊 Level: Intermediate
**Topic:** Demonstrate Class Declaration and Instantiation using class, new, identical(), and runtimeType.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 s="53">
        <v>0</v>
      </c>
      <c r="Q9" s="102" t="str">
        <f>IF(H9="Topic",
"[ROLE] Tech Lead | " &amp;
"[TASK] Assign incomplete " &amp; $I$2 &amp; " script challenges | " &amp;
"[TOPIC] " &amp; I9 &amp; " | " &amp;
"[LEVEL] " &amp; G9 &amp;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
"[HEADER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Strictly ZERO external pub.dev packages required for beginner topics. | " &amp;
"[TESTING_FRAMEWORK_PROTOCOL] Simple console output verification via standard print() statements. | " &amp;
"[CHALLENGE_CONSTRAINTS_POLICY] For Beginner level, // TODO MUST be atomic (1-2 simple lines max, e.g., basic property assignment, method call, or direct comparison). NO complex buffer redirections or string parsing. - " &amp; IF(G9="Beginner","5–15", IF(G9="Intermediate","10–25","15–35")) &amp; " 5-15 lines of EXECUTABLE base code with a main() entry point. Code outside // TODO MUST be 100% valid and readable. All code MUST be encapsulated within a class structure.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D9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I9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IF(G9="Beginner", "Clear explicit hint (no code) | ", IF(G9="Intermediate",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IF(H9="PROJECT", AB9, ""))</f>
        <v>[ROLE] Tech Lead | [TASK] Assign incomplete Dart Object-Oriented &amp; Advanced Patterns script challenges | [TOPIC] Demonstrate Class Declaration and Instantiation using class, new, identical(), and runtimeType. | [LEVEL] Intermediate | [COUNT] 3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 | Stage 3 🧩 Complete | Dart Object-Oriented &amp; Advanced Patterns | 📊 Level: Intermediate | 🌐 Coding5s.com
**Concept:** Class Declaration &amp; Instantiation (class, new, identical(), runtimeType)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Demonstrate Class Declaration and Instantiation using class, new, identical(), and runtimeType..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 s="103" t="str">
        <f>IF(OR(H9="Topic", UPPER(H9)="PROJECT"),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IF(UPPER(H9)="PROJECT", "PROJECT: " &amp; I9 &amp; ". Topics involved: " &amp; A9 &amp; ". Project objective: " &amp; J9, "TOPIC: " &amp; I9 &amp; ". Topic details: " &amp; J9)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
_xlfn._LONGTEXT("[CORE_QUALITY_POLICY]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Demonstrate Class Declaration and Instantiation using class, new, identical(), and runtimeType.. Topic details: Class Declaration &amp; Instantiation (class, new, identical(), runtimeType)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 | Complete | Dart Object-Oriented &amp; Advanced Patterns | 📊 Level: Intermediate
**Topic:** Demonstrate Class Declaration and Instantiation using class, new, identical(), and runtimeType.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 s="53">
        <v>0</v>
      </c>
      <c r="T9" s="102" t="str">
        <f>IF(H9="Topic",
"[ROLE] Tech Lead | " &amp;
"[TASK] Provide intentionally messy but functional code for learning debugging and improvement | " &amp;
"[TOPIC] " &amp; I9 &amp; " | " &amp;
"[LEVEL] " &amp; G9 &amp; " | " &amp;
"[COUNT] " &amp; D9 &amp; " challenges | " &amp;
"[LIBRARY BEING LEARNED] " &amp; $I$3 &amp; " | " &amp;
_xlfn._LONGTEXT("[ECOSYSTEM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D9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IF(H9="PROJECT", AC9, ""))</f>
        <v>[ROLE] Tech Lead | [TASK] Provide intentionally messy but functional code for learning debugging and improvement | [TOPIC] Demonstrate Class Declaration and Instantiation using class, new, identical(), and runtimeType. | [LEVEL] Intermediate | [COUNT] 3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 | Stage 4 🧹 Refactor | Dart Object-Oriented &amp; Advanced Patterns | 📊 Level: Intermediate | 🌐 Coding5s.com
**Concept:** Class Declaration &amp; Instantiation (class, new, identical(), runtimeType)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 s="103" t="str">
        <f>IF(OR(H9="Topic", UPPER(H9)="PROJECT"),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IF(UPPER(H9)="PROJECT", "PROJECT: " &amp; I9 &amp; ". Topics involved: " &amp; A9 &amp; ". Project objective: " &amp; J9, "TOPIC: " &amp; I9 &amp; ". Topic details: " &amp; J9)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
_xlfn._LONGTEXT("[PYTHON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Demonstrate Class Declaration and Instantiation using class, new, identical(), and runtimeType.. Topic details: Class Declaration &amp; Instantiation (class, new, identical(), runtimeType)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 | Refactor | Dart Object-Oriented &amp; Advanced Patterns | 📊 Level: Intermediate
**Topic:** Demonstrate Class Declaration and Instantiation using class, new, identical(), and runtimeType.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 s="53">
        <v>0</v>
      </c>
      <c r="W9" s="87" t="str">
        <f>IF(H9="Topic",
"[ROLE] Tech Product Manager assigning a " &amp; $I$2 &amp; " Jira Ticket | " &amp;
"[TASK] Provide a guided implementation exercise with full solution for learning purposes | " &amp;
"[TOPIC] " &amp; I9 &amp; " | " &amp;
"[LEVEL] " &amp; G9 &amp; " | " &amp;
"[LIBRARY BEING LEARNED] " &amp; $I$3 &amp; " | " &amp;
_xlfn._LONGTEXT("[ECOSYSTEM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
"[FUNCTIONAL_STRUCTURE_POLICY] Rule: " &amp; IF(G9="Beginner", "Use simple scripts or minimal functions. ", IF(G9="Intermediate",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IF(G9="Beginner", "10–20", IF(G9="Intermediate", "15–30", "25–40")) &amp; " lines of EXECUTABLE code (STRICT) - V1.1 MUST be between " &amp; IF(G9="Beginner", "15–30", IF(G9="Intermediate",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IF(H9="PROJECT", AD9, ""))</f>
        <v>[ROLE] Tech Product Manager assigning a Dart Object-Oriented &amp; Advanced Patterns Jira Ticket | [TASK] Provide a guided implementation exercise with full solution for learning purposes | [TOPIC] Demonstrate Class Declaration and Instantiation using class, new, identical(), and runtimeType.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 | Stage 5 | Dart Object-Oriented &amp; Advanced Patterns | 📊 Level: Intermediate | 🌐 Coding5s.com
**Concept:** Class Declaration &amp; Instantiation (class, new, identical(), runtimeType)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 s="103" t="str">
        <f>IF(OR(H9="Topic", UPPER(H9)="PROJECT"),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IF(UPPER(H9)="PROJECT", "PROJECT: " &amp; I9 &amp; ". Topics integrated: " &amp; A9 &amp; ". Business Goal: " &amp; J9, "TOPIC: " &amp; I9 &amp; ". Goal: " &amp; J9)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
_xlfn._LONGTEXT("[CODE_QUALITY_PROTOCOL]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Demonstrate Class Declaration and Instantiation using class, new, identical(), and runtimeType.. Goal: Class Declaration &amp; Instantiation (class, new, identical(), runtimeType)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 | Extend | Dart Object-Oriented &amp; Advanced Patterns | 📊 Level: Intermediate
**Topic:** Demonstrate Class Declaration and Instantiation using class, new, identical(), and runtimeType.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 s="53">
        <v>0</v>
      </c>
      <c r="Z9" s="56" t="str">
        <f>IF(H9&lt;&gt;"PROJECT","",
"[TASK] Teach through a practical " &amp; $I$2 &amp; " - " &amp; $I$3 &amp; " project following the micro-learning methodology, acting as a supportive tutor, creating a project about  " &amp; I9 &amp; " | " &amp;
"[TOPICS USED] " &amp; A9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Dart native classes, constructors, OOP patterns, and standard core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script sections (e.g., '// --- BLOQUE 1: [NAME] ---') to map code to the planning phase. 2. Use comprehensive doc comments using triple slashes ('///') explaining class purposes, parameter","s, return types, and exceptions. 3. CRITICAL: NO comment or docstring line may exceed 80 characters (Effective Dart standard) in width. | ") &amp;
"[DATA ROBUSTNESS RULE] Handle real-world data safely | " &amp;
"[CODE CONSTRAINTS] MUST be between " &amp; IF(G9="Beginner", "25–40", IF(G9="Intermediate",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9" s="56" t="str">
        <f>IF(H9&lt;&gt;"PROJECT","",
"[ROLE] Careless " &amp; $I$2 &amp; " Developer | " &amp;
"[TASK] Generate debugging project in " &amp; $I$2 &amp; " | " &amp;
"[PROJECT] " &amp; I9 &amp; " | " &amp;
"[TOPICS USED] " &amp; A9 &amp; " | " &amp;
"[LEVEL] " &amp; G9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_xlfn._LONGTEXT("[BUG RULE] Simulate a messy Dart OOP script. The project MUST contain EXACTLY 2-5 bugs mixing Syntax errors, Null-safety errors, OOP/Encapsulation logic errors, and Runtime Exceptions. 1. Syntax &amp; Type Errors (e.g., missing semicolons/brackets, type misma","tches, constructor syntax errors, unhandled null access violating strict null safety), 2. Logic Errors (e.g., incorrect calculations, faulty comparison operators, improper encapsulation/getters, wrong return values), AND 3. Runtime Exceptions (e.g., State","Error, RangeError, FormatException, NoSuchMethodError due to bad casting).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IF(G9="Beginner", "25–40", IF(G9="Intermediate", "30–60", "40–100")) &amp; " lines of EXECUTABLE code (STRICT: Do NOT count blank lines towards this limit) - Multi-step flow - 2–4 functions ONLY - main() as entry point " &amp; IF(G9&lt;&gt;"Advanced",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9" s="56" t="str">
        <f>IF(H9&lt;&gt;"PROJECT","",
"[ROLE] Tech Lead | " &amp;
"[TASK] Assign incomplete project script | " &amp;
"[PROJECT] " &amp; I9 &amp; " | " &amp;
"[TOPICS USED] " &amp; A9 &amp; " | " &amp;
"[LEVEL] " &amp; G9 &amp; " | " &amp;
"[LIBRARY BEING LEARNED] " &amp; $I$3 &amp; " | " &amp;
"[ECOSYSTEM ORIENTATION RULE] If a data manipulation library, external package, or ecosystem like Pandas or NumPy is specified in " &amp; $I$3 &amp; _xlfn._LONGTEXT(",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IF(G9="Beginner","25–40", IF(G9="Intermediate","30–60","40–100")) &amp; " Class-based object architecture. Require at least 1 class with internal state management.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9" s="56" t="str">
        <f>IF(H9&lt;&gt;"PROJECT","",
"[ROLE] Tech Lead | " &amp;
"[TASK] Provide a messy but functional project for refactoring | " &amp;
"[PROJECT] " &amp; I9 &amp; " | " &amp;
"[TOPICS USED] " &amp; A9 &amp; " | " &amp;
"[LEVEL] " &amp; G9 &amp; " | " &amp;
"[PERSONA RULE] Act as a Tech Lead. A junior wrote this working but messy code. Tone: professional but exhausted | " &amp;
"[HEADER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IF(G9="Beginner", "25–40", IF(G9="Intermediate",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9" s="56" t="str">
        <f>IF(H9&lt;&gt;"PROJECT","",
"[ROLE] Tech Product Manager assigning a " &amp; $I$2 &amp; " Jira Ticket | " &amp;
"[TASK] Provide a guided project implementation with full solution | " &amp;
"[PROJECT] " &amp; I9 &amp; " | " &amp;
"[TOPICS USED] " &amp; A9 &amp; " | " &amp;
"[LEVEL] " &amp; G9 &amp; " | " &amp;
"[PERSONA RULE] Act as a professional Tech Product Manager defining a project ticket | " &amp;
"[LIBRARY BEING LEARNED] " &amp; $I$3 &amp; " | " &amp;
_xlfn._LONGTEXT("[ECOSYSTEM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 &amp;
"[HEADER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IF(G9="Beginner", "Avoid complex structure. ", IF(G9="Intermediate",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9" s="55" t="s">
        <v>49</v>
      </c>
      <c r="AF9" s="55" t="s">
        <v>50</v>
      </c>
      <c r="AG9" s="55" t="s">
        <v>51</v>
      </c>
      <c r="AH9" s="56" t="str">
        <f t="shared" ref="AH9:AH40" si="0">IF(AE9=$B$6,AG9,"")</f>
        <v/>
      </c>
      <c r="AI9" s="54" t="s">
        <v>52</v>
      </c>
      <c r="AJ9" s="54"/>
      <c r="AK9" s="54">
        <v>1</v>
      </c>
      <c r="AL9" s="54" t="s">
        <v>53</v>
      </c>
      <c r="AM9" s="54" t="s">
        <v>54</v>
      </c>
    </row>
    <row r="10" spans="1:39">
      <c r="A10" s="45" t="str" cm="1">
        <f t="array" ref="A10">IF(H10="PROJECT", CHAR(10) &amp; "- " &amp; _xlfn.TEXTJOIN(CHAR(10) &amp; "- ", TRUE, _xlfn._xlws.FILTER($I$9:$I$1000, ($B$9:$B$1000=B10) * ($H$9:$H$1000="Topic"))), "")</f>
        <v/>
      </c>
      <c r="B10" s="45">
        <f t="shared" ref="B10:B73" si="1">IF(H10="","",IF(AND(H10="Topic",H9="PROJECT"),B9+1,IF(H10="PROJECT",B9,IF(AND(H10="Topic",H9="Topic"),B9,B9+1))))</f>
        <v>1</v>
      </c>
      <c r="C10" s="95">
        <v>15</v>
      </c>
      <c r="D10" s="57">
        <v>4</v>
      </c>
      <c r="E10" s="58" t="s">
        <v>46</v>
      </c>
      <c r="F10" s="59">
        <v>2</v>
      </c>
      <c r="G10" s="60" t="s">
        <v>158</v>
      </c>
      <c r="H10" s="60" t="s">
        <v>48</v>
      </c>
      <c r="I10" s="61" t="s">
        <v>732</v>
      </c>
      <c r="J10" s="62" t="s">
        <v>733</v>
      </c>
      <c r="K10" s="129" t="str">
        <f t="shared" ref="K10:K73" si="2">IF(H10="Topic",
"[ROLE] Friendly tutor specializing in " &amp; $I$2 &amp; " | " &amp;
"[TOPIC] " &amp; I10 &amp; " | " &amp;
"[LEVEL] " &amp; G10 &amp; " | " &amp;
"[COUNT] " &amp; D10 &amp; " examples | " &amp;
"[LIBRARY BEING LEARNED] " &amp; $I$3 &amp; " | " &amp;
"[ECOSYSTEM ORIENTATION RULE] If a data manipulation library, external package, or ecosystem like Pandas or NumPy is specified in " &amp; $I$3 &amp; _xlfn._LONGTEXT(",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$C10 &amp; " lines of EXECUTABLE code (STRICT: Do NOT count comments or blank lines). - NEVER exceed this limit. | " &amp;
"[FUNCTION RULE] Rule: " &amp; IF(G10="Beginner","Focus strictly on basic class definitions, constructors, properties, and object instantiation inside main(). DO NOT use procedural scripts.", IF(G10="Intermediate", "STRICT REQUIREMENT: Integrate custom class definitions ('class'), constructors, instance methods, and getters/setters in EVERY example.", "Advanced OOP &amp; patterns: abstract classes, mixins, factory/named constructors, interfaces ('implements'), extensions, and overriding ('@override').")) &amp; " | " &amp;
_xlfn._LONGTEXT("[CODE_CONSTRAINTS_RULE]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 &amp;
"[I_O_PARADIGM] Use Basic primitive types (int, double, String, bool) or simple List/Map structures within classes. and gracefully handle print() statements with string interpolation to display outputs clearly. when applicable. | " &amp;
"[INLINE_PACKAGE_MANAGER] If using external packages, use Dart native classes, constructors, OOP patterns, and standard core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F10 &amp; " | Stage 1 📖 Practice | " &amp; IF($I$3="", $I$2, $I$2&amp; " - " &amp;$I$3) &amp; " | 📊 Level: " &amp; G10 &amp; " | 🌐 Coding5s.com" &amp; CHAR(10) &amp; "**Concept:** " &amp; J10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D10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IF(AJ10&lt;&gt;"", AJ10,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IF(H10="PROJECT", Z10, ""))</f>
        <v xml:space="preserve">[ROLE] Friendly tutor specializing in Dart Object-Oriented &amp; Advanced Patterns | [TOPIC] Implement the Value Equality Contract using operator == and hashCode.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 | Stage 1 📖 Practice | Dart Object-Oriented &amp; Advanced Patterns | 📊 Level: Intermediate | 🌐 Coding5s.com
**Concept:** Value Equality Contract (operator ==, hashCode)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 s="103" t="str">
        <f t="shared" ref="L10:L73" si="3">IF(OR(H10="Topic", UPPER(H10)="PROJECT"),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IF(UPPER(H10)="PROJECT", "building a PROJECT: " &amp; I10 &amp; ". Topics applied in this project: " &amp; A10 &amp; ". Project objective: " &amp; J10, "learning: " &amp; I10 &amp; ". Topic details: " &amp; J10)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IF(G10="Beginner", "Evaluate based on basic class instantiation, constructors, and property access inside main(). Do NOT expect advanced mixins or factories unless explicitly demanded.", IF(G10="Intermediate", "Expect clean class definitions, proper encapsulation (using '_'), named constructors, and correct 'this' usage. Enforce solid OOP principles.", "Expect advanced OOP architecture using abstract classes, mixins, factory constructors, interfaces, overriding, and composition.")) &amp; " | " &amp;
_xlfn._LONGTEXT("[CODE_QUALITY_POLICIES]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&amp; IF(AJ10&lt;&gt;"", "[MENTOR CONTEXT ALERT] Be aware of the following infrastructure limitation for this exercise: " &amp; AJ10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IF(UPPER(H10)="PROJECT",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IF(UPPER(H10)="PROJECT",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IF(UPPER(H10)="PROJECT", "Project #", "Topic #") &amp; F10 &amp; " | Practice | " &amp; IF($I$3="", $I$2, $I$2&amp; " - " &amp;$I$3) &amp; " | 📊 Level: " &amp; G10 &amp; CHAR(10) &amp; "**" &amp; IF(UPPER(H10)="PROJECT", "Project", "Topic") &amp; ":** " &amp; I10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the Value Equality Contract using operator == and hashCode.. Topic details: Value Equality Contract (operator ==, hashCode)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 | Practice | Dart Object-Oriented &amp; Advanced Patterns | 📊 Level: Intermediate
**Topic:** Implement the Value Equality Contract using operator == and hashCode.
---
 | [FOOTER RULE - STRICT] End your response with: '--- ⚡ *Coding5s Mentor System — Eliminating Epistemic Debt*' | </v>
      </c>
      <c r="M10" s="52">
        <v>0</v>
      </c>
      <c r="N10" s="102" t="str">
        <f t="shared" ref="N10:N73" si="4">IF(H10="Topic",
"[ROLE] Careless " &amp; $I$2 &amp; " Developer | " &amp;
"[TASK] Generate debugging challenges in " &amp; $I$2 &amp; " | | " &amp;
"[TOPIC] " &amp; I10 &amp; " | | " &amp;
"[LEVEL] " &amp; G10 &amp; "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
"[HEADER RULE - STRICT] You MUST start your entire response EXACTLY with this markdown block (do not print anything before it):" &amp; CHAR(10) &amp; "### 🔹 Topic #" &amp; F10 &amp; " | Stage 2 🐛 Debug | " &amp; IF($I$3="", $I$2, $I$2&amp; " - " &amp;$I$3) &amp; " | 📊 Level: " &amp; G10 &amp; " | 🌐 Coding5s.com" &amp; CHAR(10) &amp; "Concept: " &amp; J10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complex dart test suites; keep object validation inside main(). | " &amp;
"[DEPENDENCY_MANAGEMENT_RULE] Standard Dart runtime context. If external packages are needed, specify them strictly in pubspec.yaml support files. | " &amp;
"[CODE CONSTRAINTS] Each challenge MUST include: internal data OR collection usage, at least 1 print statement, at least 1 loop (when applicable), EXACTLY 1 class definition, 1 constructor, and EXACTLY 1 class instantiation within main(). - " &amp; IF(G10="Beginner", "5–15", IF(G10="Intermediate", "10–25", "15–35")) &amp; " lines of EXECUTABLE broken Dart code per challenge (STRICT: Do NOT count blank lines). All logic MUST be encapsulated inside class methods and executed via main().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D10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IF(H10="PROJECT", AA10, ""))</f>
        <v>[ROLE] Careless Dart Object-Oriented &amp; Advanced Patterns Developer | [TASK] Generate debugging challenges in Dart Object-Oriented &amp; Advanced Patterns | | [TOPIC] Implement the Value Equality Contract using operator == and hashCode.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 | Stage 2 🐛 Debug | Dart Object-Oriented &amp; Advanced Patterns | 📊 Level: Intermediate | 🌐 Coding5s.com
Concept: Value Equality Contract (operator ==, hashCode)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 s="103" t="str">
        <f t="shared" ref="O10:O73" si="5">IF(OR(H10="Topic", UPPER(H10)="PROJECT"),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IF(UPPER(H10)="PROJECT", "PROJECT: " &amp; I10 &amp; ". Topics involved: " &amp; A10 &amp; ". Project objective: " &amp; J10, "TOPIC: " &amp; I10 &amp; ". Topic details: " &amp; J10)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IF(UPPER(H10)="PROJECT", "Project #", "Topic #") &amp; F10 &amp; " | Debug | " &amp; IF($I$3="", $I$2, $I$2&amp; " - " &amp;$I$3) &amp; " | 📊 Level: " &amp; G10 &amp; CHAR(10) &amp; "**" &amp; IF(UPPER(H10)="PROJECT", "Project", "Topic") &amp; ":** " &amp; I10 &amp; CHAR(10) &amp; "---" &amp; CHAR(10) &amp; " | " &amp;
_xlfn._LONGTEXT("[CORE_QUALITY_POLICY]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the Value Equality Contract using operator == and hashCode.. Topic details: Value Equality Contract (operator ==, hashCode)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 | Debug | Dart Object-Oriented &amp; Advanced Patterns | 📊 Level: Intermediate
**Topic:** Implement the Value Equality Contract using operator == and hashCode.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 s="52">
        <v>0</v>
      </c>
      <c r="Q10" s="102" t="str">
        <f t="shared" ref="Q10:Q73" si="6">IF(H10="Topic",
"[ROLE] Tech Lead | " &amp;
"[TASK] Assign incomplete " &amp; $I$2 &amp; " script challenges | " &amp;
"[TOPIC] " &amp; I10 &amp; " | " &amp;
"[LEVEL] " &amp; G10 &amp;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
"[HEADER RULE - STRICT] You MUST start your entire response EXACTLY with this markdown block (do not print anything before it):" &amp; CHAR(10) &amp; "### 🔹 Topic #" &amp; F10 &amp; " | Stage 3 🧩 Complete | " &amp; IF($I$3="", $I$2, $I$2&amp; " - " &amp;$I$3) &amp; " | 📊 Level: " &amp; G10 &amp; " | 🌐 Coding5s.com" &amp; CHAR(10) &amp; "**Concept:** " &amp; J10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Strictly ZERO external pub.dev packages required for beginner topics. | " &amp;
"[TESTING_FRAMEWORK_PROTOCOL] Simple console output verification via standard print() statements. | " &amp;
"[CHALLENGE_CONSTRAINTS_POLICY] For Beginner level, // TODO MUST be atomic (1-2 simple lines max, e.g., basic property assignment, method call, or direct comparison). NO complex buffer redirections or string parsing. - " &amp; IF(G10="Beginner","5–15", IF(G10="Intermediate","10–25","15–35")) &amp; " 5-15 lines of EXECUTABLE base code with a main() entry point. Code outside // TODO MUST be 100% valid and readable. All code MUST be encapsulated within a class structure.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D10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I10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IF(G10="Beginner", "Clear explicit hint (no code) | ", IF(G10="Intermediate",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IF(H10="PROJECT", AB10, ""))</f>
        <v>[ROLE] Tech Lead | [TASK] Assign incomplete Dart Object-Oriented &amp; Advanced Patterns script challenges | [TOPIC] Implement the Value Equality Contract using operator == and hashCode.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 | Stage 3 🧩 Complete | Dart Object-Oriented &amp; Advanced Patterns | 📊 Level: Intermediate | 🌐 Coding5s.com
**Concept:** Value Equality Contract (operator ==, hashCode)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the Value Equality Contract using operator == and hashCode..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 s="103" t="str">
        <f t="shared" ref="R10:R73" si="7">IF(OR(H10="Topic", UPPER(H10)="PROJECT"),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IF(UPPER(H10)="PROJECT", "PROJECT: " &amp; I10 &amp; ". Topics involved: " &amp; A10 &amp; ". Project objective: " &amp; J10, "TOPIC: " &amp; I10 &amp; ". Topic details: " &amp; J10)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IF(UPPER(H10)="PROJECT", "Project #", "Topic #") &amp; F10 &amp; " | Complete | " &amp; IF($I$3="", $I$2, $I$2&amp; " - " &amp;$I$3) &amp; " | 📊 Level: " &amp; G10 &amp; CHAR(10) &amp; "**" &amp; IF(UPPER(H10)="PROJECT", "Project", "Topic") &amp; ":** " &amp; I10 &amp; CHAR(10) &amp; "---" &amp; CHAR(10) &amp; " | " &amp;
_xlfn._LONGTEXT("[CORE_QUALITY_POLICY]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the Value Equality Contract using operator == and hashCode.. Topic details: Value Equality Contract (operator ==, hashCode)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 | Complete | Dart Object-Oriented &amp; Advanced Patterns | 📊 Level: Intermediate
**Topic:** Implement the Value Equality Contract using operator == and hashCode.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 s="52">
        <v>0</v>
      </c>
      <c r="T10" s="102" t="str">
        <f t="shared" ref="T10:T73" si="8">IF(H10="Topic",
"[ROLE] Tech Lead | " &amp;
"[TASK] Provide intentionally messy but functional code for learning debugging and improvement | " &amp;
"[TOPIC] " &amp; I10 &amp; " | " &amp;
"[LEVEL] " &amp; G10 &amp; " | " &amp;
"[COUNT] " &amp; D10 &amp; " challenges | " &amp;
"[LIBRARY BEING LEARNED] " &amp; $I$3 &amp; " | " &amp;
_xlfn._LONGTEXT("[ECOSYSTEM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F10 &amp; " | Stage 4 🧹 Refactor | " &amp; IF($I$3="", $I$2, $I$2&amp; " - " &amp;$I$3) &amp; " | 📊 Level: " &amp; G10 &amp; " | 🌐 Coding5s.com" &amp; CHAR(10) &amp; "**Concept:** " &amp; J10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D10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IF(G10="Beginner", "5–15", IF(G10="Intermediate",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IF(H10="PROJECT", AC10, ""))</f>
        <v>[ROLE] Tech Lead | [TASK] Provide intentionally messy but functional code for learning debugging and improvement | [TOPIC] Implement the Value Equality Contract using operator == and hashCode.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 | Stage 4 🧹 Refactor | Dart Object-Oriented &amp; Advanced Patterns | 📊 Level: Intermediate | 🌐 Coding5s.com
**Concept:** Value Equality Contract (operator ==, hashCode)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 s="103" t="str">
        <f t="shared" ref="U10:U73" si="9">IF(OR(H10="Topic", UPPER(H10)="PROJECT"),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IF(UPPER(H10)="PROJECT", "PROJECT: " &amp; I10 &amp; ". Topics involved: " &amp; A10 &amp; ". Project objective: " &amp; J10, "TOPIC: " &amp; I10 &amp; ". Topic details: " &amp; J10)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IF(UPPER(H10)="PROJECT", "Project #", "Topic #") &amp; F10 &amp; " | Refactor | " &amp; IF($I$3="", $I$2, $I$2&amp; " - " &amp;$I$3) &amp; " | 📊 Level: " &amp; G10 &amp; CHAR(10) &amp; "**" &amp; IF(UPPER(H10)="PROJECT", "Project", "Topic") &amp; ":** " &amp; I10 &amp; CHAR(10) &amp; "---" &amp; CHAR(10) &amp; " | " &amp;
_xlfn._LONGTEXT("[PYTHON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Implement the Value Equality Contract using operator == and hashCode.. Topic details: Value Equality Contract (operator ==, hashCode)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 | Refactor | Dart Object-Oriented &amp; Advanced Patterns | 📊 Level: Intermediate
**Topic:** Implement the Value Equality Contract using operator == and hashCode.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 s="52">
        <v>0</v>
      </c>
      <c r="W10" s="87" t="str">
        <f t="shared" ref="W10:W73" si="10">IF(H10="Topic",
"[ROLE] Tech Product Manager assigning a " &amp; $I$2 &amp; " Jira Ticket | " &amp;
"[TASK] Provide a guided implementation exercise with full solution for learning purposes | " &amp;
"[TOPIC] " &amp; I10 &amp; " | " &amp;
"[LEVEL] " &amp; G10 &amp; " | " &amp;
"[LIBRARY BEING LEARNED] " &amp; $I$3 &amp; " | " &amp;
_xlfn._LONGTEXT("[ECOSYSTEM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F10 &amp; " | Stage 5 | " &amp; IF($I$3="", $I$2, $I$2&amp; " - " &amp;$I$3) &amp; " | 📊 Level: " &amp; G10 &amp; " | 🌐 Coding5s.com" &amp; CHAR(10) &amp; "**Concept:** " &amp; J10 &amp; CHAR(10) &amp; "---" &amp; CHAR(10) &amp; " | " &amp;
"[FUNCTIONAL_STRUCTURE_POLICY] Rule: " &amp; IF(G10="Beginner", "Use simple scripts or minimal functions. ", IF(G10="Intermediate",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IF(G10="Beginner", "10–20", IF(G10="Intermediate", "15–30", "25–40")) &amp; " lines of EXECUTABLE code (STRICT) - V1.1 MUST be between " &amp; IF(G10="Beginner", "15–30", IF(G10="Intermediate",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IF(H10="PROJECT", AD10, ""))</f>
        <v>[ROLE] Tech Product Manager assigning a Dart Object-Oriented &amp; Advanced Patterns Jira Ticket | [TASK] Provide a guided implementation exercise with full solution for learning purposes | [TOPIC] Implement the Value Equality Contract using operator == and hashCode.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 | Stage 5 | Dart Object-Oriented &amp; Advanced Patterns | 📊 Level: Intermediate | 🌐 Coding5s.com
**Concept:** Value Equality Contract (operator ==, hashCode)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 s="103" t="str">
        <f t="shared" ref="X10:X73" si="11">IF(OR(H10="Topic", UPPER(H10)="PROJECT"),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IF(UPPER(H10)="PROJECT", "PROJECT: " &amp; I10 &amp; ". Topics integrated: " &amp; A10 &amp; ". Business Goal: " &amp; J10, "TOPIC: " &amp; I10 &amp; ". Goal: " &amp; J10)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IF(UPPER(H10)="PROJECT", "Project #", "Topic #") &amp; F10 &amp; " | Extend | " &amp; IF($I$3="", $I$2, $I$2&amp; " - " &amp;$I$3) &amp; " | 📊 Level: " &amp; G10 &amp; CHAR(10) &amp; "**" &amp; IF(UPPER(H10)="PROJECT", "Project", "Topic") &amp; ":** " &amp; I10 &amp; CHAR(10) &amp; "---" &amp; CHAR(10) &amp; " | " &amp;
_xlfn._LONGTEXT("[CODE_QUALITY_PROTOCOL]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the Value Equality Contract using operator == and hashCode.. Goal: Value Equality Contract (operator ==, hashCode)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 | Extend | Dart Object-Oriented &amp; Advanced Patterns | 📊 Level: Intermediate
**Topic:** Implement the Value Equality Contract using operator == and hashCode.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 s="52">
        <v>0</v>
      </c>
      <c r="Z10" s="56" t="str">
        <f t="shared" ref="Z10:Z73" si="12">IF(H10&lt;&gt;"PROJECT","",
"[TASK] Teach through a practical " &amp; $I$2 &amp; " - " &amp; $I$3 &amp; " project following the micro-learning methodology, acting as a supportive tutor, creating a project about  " &amp; I10 &amp; " | " &amp;
"[TOPICS USED] " &amp; A10 &amp; " | " &amp;
"[LEVEL] " &amp; G10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Dart native classes, constructors, OOP patterns, and standard core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script sections (e.g., '// --- BLOQUE 1: [NAME] ---') to map code to the planning phase. 2. Use comprehensive doc comments using triple slashes ('///') explaining class purposes, parameter","s, return types, and exceptions. 3. CRITICAL: NO comment or docstring line may exceed 80 characters (Effective Dart standard) in width. | ") &amp;
"[DATA ROBUSTNESS RULE] Handle real-world data safely | " &amp;
"[CODE CONSTRAINTS] MUST be between " &amp; IF(G10="Beginner", "25–40", IF(G10="Intermediate",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F10 &amp; " | Stage 1 | " &amp; IF($I$3="", $I$2, $I$2&amp; " - " &amp;$I$3) &amp; " | 📊 Level: " &amp; G10 &amp; " | 🌐 Coding5s.com" &amp; CHAR(10) &amp; "**Project:** " &amp; J10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0" s="56" t="str">
        <f t="shared" ref="AA10:AA73" si="13">IF(H10&lt;&gt;"PROJECT","",
"[ROLE] Careless " &amp; $I$2 &amp; " Developer | " &amp;
"[TASK] Generate debugging project in " &amp; $I$2 &amp; " | " &amp;
"[PROJECT] " &amp; I10 &amp; " | " &amp;
"[TOPICS USED] " &amp; A10 &amp; " | " &amp;
"[LEVEL] " &amp; G10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F10 &amp; " | Stage 2 | " &amp; IF($I$3="", $I$2, $I$2&amp; " - " &amp;$I$3) &amp; " | 📊 Level: " &amp; G10 &amp; " | 🌐 Coding5s.com" &amp; CHAR(10) &amp; "Project: " &amp; J10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AE8 &amp; " | " &amp;
"[LANGUAGE SEED CONTEXT] " &amp; IF($AE$7 = "", "Language Seed Not Necessary", "You MUST strictly follow this seed context to enhance, adapt, and naturalize your tone, vocabulary, and instructional quality in " &amp; $B$6 &amp; ": " &amp; $AE$7) &amp; " | " &amp;
_xlfn._LONGTEXT("[BUG RULE] Simulate a messy Dart OOP script. The project MUST contain EXACTLY 2-5 bugs mixing Syntax errors, Null-safety errors, OOP/Encapsulation logic errors, and Runtime Exceptions. 1. Syntax &amp; Type Errors (e.g., missing semicolons/brackets, type misma","tches, constructor syntax errors, unhandled null access violating strict null safety), 2. Logic Errors (e.g., incorrect calculations, faulty comparison operators, improper encapsulation/getters, wrong return values), AND 3. Runtime Exceptions (e.g., State","Error, RangeError, FormatException, NoSuchMethodError due to bad casting).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IF(G10="Beginner", "25–40", IF(G10="Intermediate", "30–60", "40–100")) &amp; " lines of EXECUTABLE code (STRICT: Do NOT count blank lines towards this limit) - Multi-step flow - 2–4 functions ONLY - main() as entry point " &amp; IF(G10&lt;&gt;"Advanced",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0" s="56" t="str">
        <f t="shared" ref="AB10:AB73" si="14">IF(H10&lt;&gt;"PROJECT","",
"[ROLE] Tech Lead | " &amp;
"[TASK] Assign incomplete project script | " &amp;
"[PROJECT] " &amp; I10 &amp; " | " &amp;
"[TOPICS USED] " &amp; A10 &amp; " | " &amp;
"[LEVEL] " &amp; G10 &amp; " | " &amp;
"[LIBRARY BEING LEARNED] " &amp; $I$3 &amp; " | " &amp;
"[ECOSYSTEM ORIENTATION RULE] If a data manipulation library, external package, or ecosystem like Pandas or NumPy is specified in " &amp; $I$3 &amp; _xlfn._LONGTEXT(",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F10 &amp; " | Stage 3 | " &amp; IF($I$3="", $I$2, $I$2&amp; " - " &amp;$I$3) &amp; " | 📊 Level: " &amp; G10 &amp; " | 🌐 Coding5s.com" &amp; CHAR(10) &amp; "**Project:** " &amp; J10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IF(G10="Beginner","25–40", IF(G10="Intermediate","30–60","40–100")) &amp; " Class-based object architecture. Require at least 1 class with internal state management.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0" s="56" t="str">
        <f t="shared" ref="AC10:AC73" si="15">IF(H10&lt;&gt;"PROJECT","",
"[ROLE] Tech Lead | " &amp;
"[TASK] Provide a messy but functional project for refactoring | " &amp;
"[PROJECT] " &amp; I10 &amp; " | " &amp;
"[TOPICS USED] " &amp; A10 &amp; " | " &amp;
"[LEVEL] " &amp; G10 &amp; " | " &amp;
"[PERSONA RULE] Act as a Tech Lead. A junior wrote this working but messy code. Tone: professional but exhausted | " &amp;
"[HEADER RULE - STRICT] You MUST start your entire response EXACTLY with this markdown block (do not print anything before it):" &amp; CHAR(10) &amp; "### 🚀 Project #" &amp; F10 &amp; " | Stage 4 | " &amp; IF($I$3="", $I$2, $I$2&amp; " - " &amp;$I$3) &amp; " | 📊 Level: " &amp; G10 &amp; " | 🌐 Coding5s.com" &amp; CHAR(10) &amp; "**Project:** " &amp; J10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IF(G10="Beginner", "25–40", IF(G10="Intermediate",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0" s="56" t="str">
        <f t="shared" ref="AD10:AD73" si="16">IF(H10&lt;&gt;"PROJECT","",
"[ROLE] Tech Product Manager assigning a " &amp; $I$2 &amp; " Jira Ticket | " &amp;
"[TASK] Provide a guided project implementation with full solution | " &amp;
"[PROJECT] " &amp; I10 &amp; " | " &amp;
"[TOPICS USED] " &amp; A10 &amp; " | " &amp;
"[LEVEL] " &amp; G10 &amp; " | " &amp;
"[PERSONA RULE] Act as a professional Tech Product Manager defining a project ticket | " &amp;
"[LIBRARY BEING LEARNED] " &amp; $I$3 &amp; " | " &amp;
_xlfn._LONGTEXT("[ECOSYSTEM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 &amp;
"[HEADER RULE - STRICT] You MUST start your entire response EXACTLY with this markdown block (do not print anything before it):" &amp; CHAR(10) &amp; "### 🚀 Project #" &amp; F10 &amp; " | Stage 5 | " &amp; IF($I$3="", $I$2, $I$2&amp; " - " &amp;$I$3) &amp; " | 📊 Level: " &amp; G10 &amp; " | 🌐 Coding5s.com" &amp; CHAR(10) &amp; "**Project:** " &amp; J10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IF(G10="Beginner", "20–35", IF(G10="Intermediate", "30–50", "45–70")) &amp; " lines of EXECUTABLE code (STRICT) - V1.1 MUST be between " &amp; IF(G10="Beginner", "30–50", IF(G10="Intermediate",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IF(G10="Beginner", "Avoid complex structure. ", IF(G10="Intermediate",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0" s="55" t="s">
        <v>55</v>
      </c>
      <c r="AF10" s="55" t="s">
        <v>56</v>
      </c>
      <c r="AG10" s="55" t="s">
        <v>57</v>
      </c>
      <c r="AH10" s="56" t="str">
        <f t="shared" si="0"/>
        <v/>
      </c>
      <c r="AI10" s="54" t="s">
        <v>58</v>
      </c>
      <c r="AJ10" s="54"/>
      <c r="AK10" s="54">
        <v>2</v>
      </c>
      <c r="AL10" s="54" t="s">
        <v>16</v>
      </c>
      <c r="AM10" s="54" t="s">
        <v>59</v>
      </c>
    </row>
    <row r="11" spans="1:39">
      <c r="A11" s="45" t="str" cm="1">
        <f t="array" ref="A11">IF(H11="PROJECT", CHAR(10) &amp; "- " &amp; _xlfn.TEXTJOIN(CHAR(10) &amp; "- ", TRUE, _xlfn._xlws.FILTER($I$9:$I$1000, ($B$9:$B$1000=B11) * ($H$9:$H$1000="Topic"))), "")</f>
        <v/>
      </c>
      <c r="B11" s="45">
        <f t="shared" si="1"/>
        <v>1</v>
      </c>
      <c r="C11" s="95">
        <v>12</v>
      </c>
      <c r="D11" s="46">
        <v>3</v>
      </c>
      <c r="E11" s="58" t="s">
        <v>46</v>
      </c>
      <c r="F11" s="48">
        <v>3</v>
      </c>
      <c r="G11" s="49" t="s">
        <v>158</v>
      </c>
      <c r="H11" s="49" t="s">
        <v>48</v>
      </c>
      <c r="I11" s="50" t="s">
        <v>734</v>
      </c>
      <c r="J11" s="51" t="s">
        <v>735</v>
      </c>
      <c r="K11" s="129" t="str">
        <f t="shared" si="2"/>
        <v xml:space="preserve">[ROLE] Friendly tutor specializing in Dart Object-Oriented &amp; Advanced Patterns | [TOPIC] Assign Field Modifiers including static, final, late, and const. | [LEVEL] Intermediate | [COUNT] 3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 | Stage 1 📖 Practice | Dart Object-Oriented &amp; Advanced Patterns | 📊 Level: Intermediate | 🌐 Coding5s.com
**Concept:** Field Modifiers (static, final, late, const)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Assign Field Modifiers including static, final, late, and const.. Topic details: Field Modifiers (static, final, late, const)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 | Practice | Dart Object-Oriented &amp; Advanced Patterns | 📊 Level: Intermediate
**Topic:** Assign Field Modifiers including static, final, late, and const.
---
 | [FOOTER RULE - STRICT] End your response with: '--- ⚡ *Coding5s Mentor System — Eliminating Epistemic Debt*' | </v>
      </c>
      <c r="M11" s="52">
        <v>0</v>
      </c>
      <c r="N11" s="102" t="str">
        <f t="shared" si="4"/>
        <v>[ROLE] Careless Dart Object-Oriented &amp; Advanced Patterns Developer | [TASK] Generate debugging challenges in Dart Object-Oriented &amp; Advanced Patterns | | [TOPIC] Assign Field Modifiers including static, final, late, and const. | | [LEVEL] Intermediate | | [COUNT] 3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 | Stage 2 🐛 Debug | Dart Object-Oriented &amp; Advanced Patterns | 📊 Level: Intermediate | 🌐 Coding5s.com
Concept: Field Modifiers (static, final, late, const)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Assign Field Modifiers including static, final, late, and const.. Topic details: Field Modifiers (static, final, late, const)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 | Debug | Dart Object-Oriented &amp; Advanced Patterns | 📊 Level: Intermediate
**Topic:** Assign Field Modifiers including static, final, late, and const.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 s="53">
        <v>0</v>
      </c>
      <c r="Q11" s="102" t="str">
        <f t="shared" si="6"/>
        <v>[ROLE] Tech Lead | [TASK] Assign incomplete Dart Object-Oriented &amp; Advanced Patterns script challenges | [TOPIC] Assign Field Modifiers including static, final, late, and const. | [LEVEL] Intermediate | [COUNT] 3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 | Stage 3 🧩 Complete | Dart Object-Oriented &amp; Advanced Patterns | 📊 Level: Intermediate | 🌐 Coding5s.com
**Concept:** Field Modifiers (static, final, late, const)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Assign Field Modifiers including static, final, late, and const..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Assign Field Modifiers including static, final, late, and const.. Topic details: Field Modifiers (static, final, late, const)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 | Complete | Dart Object-Oriented &amp; Advanced Patterns | 📊 Level: Intermediate
**Topic:** Assign Field Modifiers including static, final, late, and const.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 s="53">
        <v>0</v>
      </c>
      <c r="T11" s="102" t="str">
        <f t="shared" si="8"/>
        <v>[ROLE] Tech Lead | [TASK] Provide intentionally messy but functional code for learning debugging and improvement | [TOPIC] Assign Field Modifiers including static, final, late, and const. | [LEVEL] Intermediate | [COUNT] 3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 | Stage 4 🧹 Refactor | Dart Object-Oriented &amp; Advanced Patterns | 📊 Level: Intermediate | 🌐 Coding5s.com
**Concept:** Field Modifiers (static, final, late, const)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Assign Field Modifiers including static, final, late, and const.. Topic details: Field Modifiers (static, final, late, const)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 | Refactor | Dart Object-Oriented &amp; Advanced Patterns | 📊 Level: Intermediate
**Topic:** Assign Field Modifiers including static, final, late, and const.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 s="53">
        <v>0</v>
      </c>
      <c r="W11" s="87" t="str">
        <f t="shared" si="10"/>
        <v>[ROLE] Tech Product Manager assigning a Dart Object-Oriented &amp; Advanced Patterns Jira Ticket | [TASK] Provide a guided implementation exercise with full solution for learning purposes | [TOPIC] Assign Field Modifiers including static, final, late, and const.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 | Stage 5 | Dart Object-Oriented &amp; Advanced Patterns | 📊 Level: Intermediate | 🌐 Coding5s.com
**Concept:** Field Modifiers (static, final, late, const)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Assign Field Modifiers including static, final, late, and const.. Goal: Field Modifiers (static, final, late, const)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 | Extend | Dart Object-Oriented &amp; Advanced Patterns | 📊 Level: Intermediate
**Topic:** Assign Field Modifiers including static, final, late, and const.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 s="53">
        <v>0</v>
      </c>
      <c r="Z11" s="56" t="str">
        <f t="shared" si="12"/>
        <v/>
      </c>
      <c r="AA11" s="56" t="str">
        <f t="shared" si="13"/>
        <v/>
      </c>
      <c r="AB11" s="56" t="str">
        <f t="shared" si="14"/>
        <v/>
      </c>
      <c r="AC11" s="56" t="str">
        <f t="shared" si="15"/>
        <v/>
      </c>
      <c r="AD11" s="56" t="str">
        <f t="shared" si="16"/>
        <v/>
      </c>
      <c r="AE11" s="55" t="s">
        <v>60</v>
      </c>
      <c r="AF11" s="55" t="s">
        <v>61</v>
      </c>
      <c r="AG11" s="55" t="s">
        <v>62</v>
      </c>
      <c r="AH11" s="56" t="str">
        <f t="shared" si="0"/>
        <v/>
      </c>
      <c r="AI11" s="54" t="s">
        <v>63</v>
      </c>
      <c r="AJ11" s="54"/>
      <c r="AK11" s="54">
        <v>3</v>
      </c>
      <c r="AL11" s="54" t="s">
        <v>64</v>
      </c>
      <c r="AM11" s="54" t="s">
        <v>65</v>
      </c>
    </row>
    <row r="12" spans="1:39">
      <c r="A12" s="45" t="str" cm="1">
        <f t="array" ref="A12">IF(H12="PROJECT", CHAR(10) &amp; "- " &amp; _xlfn.TEXTJOIN(CHAR(10) &amp; "- ", TRUE, _xlfn._xlws.FILTER($I$9:$I$1000, ($B$9:$B$1000=B12) * ($H$9:$H$1000="Topic"))), "")</f>
        <v/>
      </c>
      <c r="B12" s="45">
        <f t="shared" si="1"/>
        <v>1</v>
      </c>
      <c r="C12" s="95">
        <v>15</v>
      </c>
      <c r="D12" s="57">
        <v>4</v>
      </c>
      <c r="E12" s="58" t="s">
        <v>46</v>
      </c>
      <c r="F12" s="59">
        <v>4</v>
      </c>
      <c r="G12" s="60" t="s">
        <v>158</v>
      </c>
      <c r="H12" s="60" t="s">
        <v>48</v>
      </c>
      <c r="I12" s="61" t="s">
        <v>736</v>
      </c>
      <c r="J12" s="62" t="s">
        <v>737</v>
      </c>
      <c r="K12" s="129" t="str">
        <f t="shared" si="2"/>
        <v xml:space="preserve">[ROLE] Friendly tutor specializing in Dart Object-Oriented &amp; Advanced Patterns | [TOPIC] Create Computed Properties using get, set, and backing _fields.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 | Stage 1 📖 Practice | Dart Object-Oriented &amp; Advanced Patterns | 📊 Level: Intermediate | 🌐 Coding5s.com
**Concept:** Computed Properties (get, set, backing _fields)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Computed Properties using get, set, and backing _fields.. Topic details: Computed Properties (get, set, backing _fields)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 | Practice | Dart Object-Oriented &amp; Advanced Patterns | 📊 Level: Intermediate
**Topic:** Create Computed Properties using get, set, and backing _fields.
---
 | [FOOTER RULE - STRICT] End your response with: '--- ⚡ *Coding5s Mentor System — Eliminating Epistemic Debt*' | </v>
      </c>
      <c r="M12" s="52">
        <v>0</v>
      </c>
      <c r="N12" s="102" t="str">
        <f t="shared" si="4"/>
        <v>[ROLE] Careless Dart Object-Oriented &amp; Advanced Patterns Developer | [TASK] Generate debugging challenges in Dart Object-Oriented &amp; Advanced Patterns | | [TOPIC] Create Computed Properties using get, set, and backing _fields.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#4 | Stage 2 🐛 Debug | Dart Object-Oriented &amp; Advanced Patterns | 📊 Level: Intermediate | 🌐 Coding5s.com
Concept: Computed Properties (get, set, backing _fields)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Computed Properties using get, set, and backing _fields.. Topic details: Computed Properties (get, set, backing _fields)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 | Debug | Dart Object-Oriented &amp; Advanced Patterns | 📊 Level: Intermediate
**Topic:** Create Computed Properties using get, set, and backing _fields.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 s="52">
        <v>0</v>
      </c>
      <c r="Q12" s="102" t="str">
        <f t="shared" si="6"/>
        <v>[ROLE] Tech Lead | [TASK] Assign incomplete Dart Object-Oriented &amp; Advanced Patterns script challenges | [TOPIC] Create Computed Properties using get, set, and backing _fields.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#4 | Stage 3 🧩 Complete | Dart Object-Oriented &amp; Advanced Patterns | 📊 Level: Intermediate | 🌐 Coding5s.com
**Concept:** Computed Properties (get, set, backing _fields)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Computed Properties using get, set, and backing _fields..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Computed Properties using get, set, and backing _fields.. Topic details: Computed Properties (get, set, backing _fields)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 | Complete | Dart Object-Oriented &amp; Advanced Patterns | 📊 Level: Intermediate
**Topic:** Create Computed Properties using get, set, and backing _fields.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 s="52">
        <v>0</v>
      </c>
      <c r="T12" s="102" t="str">
        <f t="shared" si="8"/>
        <v>[ROLE] Tech Lead | [TASK] Provide intentionally messy but functional code for learning debugging and improvement | [TOPIC] Create Computed Properties using get, set, and backing _fields.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 | Stage 4 🧹 Refactor | Dart Object-Oriented &amp; Advanced Patterns | 📊 Level: Intermediate | 🌐 Coding5s.com
**Concept:** Computed Properties (get, set, backing _fields)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Create Computed Properties using get, set, and backing _fields.. Topic details: Computed Properties (get, set, backing _fields)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 | Refactor | Dart Object-Oriented &amp; Advanced Patterns | 📊 Level: Intermediate
**Topic:** Create Computed Properties using get, set, and backing _fields.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 s="52">
        <v>0</v>
      </c>
      <c r="W12" s="87" t="str">
        <f t="shared" si="10"/>
        <v>[ROLE] Tech Product Manager assigning a Dart Object-Oriented &amp; Advanced Patterns Jira Ticket | [TASK] Provide a guided implementation exercise with full solution for learning purposes | [TOPIC] Create Computed Properties using get, set, and backing _fields.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 | Stage 5 | Dart Object-Oriented &amp; Advanced Patterns | 📊 Level: Intermediate | 🌐 Coding5s.com
**Concept:** Computed Properties (get, set, backing _fields)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Computed Properties using get, set, and backing _fields.. Goal: Computed Properties (get, set, backing _fields)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 | Extend | Dart Object-Oriented &amp; Advanced Patterns | 📊 Level: Intermediate
**Topic:** Create Computed Properties using get, set, and backing _fields.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 s="52">
        <v>0</v>
      </c>
      <c r="Z12" s="56" t="str">
        <f t="shared" si="12"/>
        <v/>
      </c>
      <c r="AA12" s="56" t="str">
        <f t="shared" si="13"/>
        <v/>
      </c>
      <c r="AB12" s="56" t="str">
        <f t="shared" si="14"/>
        <v/>
      </c>
      <c r="AC12" s="56" t="str">
        <f t="shared" si="15"/>
        <v/>
      </c>
      <c r="AD12" s="56" t="str">
        <f t="shared" si="16"/>
        <v/>
      </c>
      <c r="AE12" s="55" t="s">
        <v>66</v>
      </c>
      <c r="AF12" s="55" t="s">
        <v>67</v>
      </c>
      <c r="AG12" s="55" t="s">
        <v>68</v>
      </c>
      <c r="AH12" s="56" t="str">
        <f t="shared" si="0"/>
        <v/>
      </c>
      <c r="AI12" s="54" t="s">
        <v>69</v>
      </c>
      <c r="AJ12" s="54"/>
      <c r="AK12" s="54">
        <v>4</v>
      </c>
      <c r="AL12" s="54" t="s">
        <v>70</v>
      </c>
      <c r="AM12" s="54" t="s">
        <v>71</v>
      </c>
    </row>
    <row r="13" spans="1:39">
      <c r="A13" s="45" t="str" cm="1">
        <f t="array" ref="A13">IF(H13="PROJECT", CHAR(10) &amp; "- " &amp; _xlfn.TEXTJOIN(CHAR(10) &amp; "- ", TRUE, _xlfn._xlws.FILTER($I$9:$I$1000, ($B$9:$B$1000=B13) * ($H$9:$H$1000="Topic"))), "")</f>
        <v/>
      </c>
      <c r="B13" s="45">
        <f t="shared" si="1"/>
        <v>1</v>
      </c>
      <c r="C13" s="95">
        <v>15</v>
      </c>
      <c r="D13" s="46">
        <v>4</v>
      </c>
      <c r="E13" s="58" t="s">
        <v>46</v>
      </c>
      <c r="F13" s="48">
        <v>5</v>
      </c>
      <c r="G13" s="49" t="s">
        <v>158</v>
      </c>
      <c r="H13" s="49" t="s">
        <v>48</v>
      </c>
      <c r="I13" s="50" t="s">
        <v>738</v>
      </c>
      <c r="J13" s="51" t="s">
        <v>739</v>
      </c>
      <c r="K13" s="129" t="str">
        <f t="shared" si="2"/>
        <v xml:space="preserve">[ROLE] Friendly tutor specializing in Dart Object-Oriented &amp; Advanced Patterns | [TOPIC] Implement Generative and Named Constructors with this.field and Class.name().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 | Stage 1 📖 Practice | Dart Object-Oriented &amp; Advanced Patterns | 📊 Level: Intermediate | 🌐 Coding5s.com
**Concept:** Generative &amp; Named Constructors (this.field, Class.name())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Generative and Named Constructors with this.field and Class.name().. Topic details: Generative &amp; Named Constructors (this.field, Class.name())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 | Practice | Dart Object-Oriented &amp; Advanced Patterns | 📊 Level: Intermediate
**Topic:** Implement Generative and Named Constructors with this.field and Class.name().
---
 | [FOOTER RULE - STRICT] End your response with: '--- ⚡ *Coding5s Mentor System — Eliminating Epistemic Debt*' | </v>
      </c>
      <c r="M13" s="52">
        <v>0</v>
      </c>
      <c r="N13" s="102" t="str">
        <f t="shared" si="4"/>
        <v>[ROLE] Careless Dart Object-Oriented &amp; Advanced Patterns Developer | [TASK] Generate debugging challenges in Dart Object-Oriented &amp; Advanced Patterns | | [TOPIC] Implement Generative and Named Constructors with this.field and Class.name().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#5 | Stage 2 🐛 Debug | Dart Object-Oriented &amp; Advanced Patterns | 📊 Level: Intermediate | 🌐 Coding5s.com
Concept: Generative &amp; Named Constructors (this.field, Class.name())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Generative and Named Constructors with this.field and Class.name().. Topic details: Generative &amp; Named Constructors (this.field, Class.name())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 | Debug | Dart Object-Oriented &amp; Advanced Patterns | 📊 Level: Intermediate
**Topic:** Implement Generative and Named Constructors with this.field and Class.name().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 s="53">
        <v>0</v>
      </c>
      <c r="Q13" s="102" t="str">
        <f t="shared" si="6"/>
        <v>[ROLE] Tech Lead | [TASK] Assign incomplete Dart Object-Oriented &amp; Advanced Patterns script challenges | [TOPIC] Implement Generative and Named Constructors with this.field and Class.name().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#5 | Stage 3 🧩 Complete | Dart Object-Oriented &amp; Advanced Patterns | 📊 Level: Intermediate | 🌐 Coding5s.com
**Concept:** Generative &amp; Named Constructors (this.field, Class.name())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Generative and Named Constructors with this.field and Class.name()..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Generative and Named Constructors with this.field and Class.name().. Topic details: Generative &amp; Named Constructors (this.field, Class.name())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 | Complete | Dart Object-Oriented &amp; Advanced Patterns | 📊 Level: Intermediate
**Topic:** Implement Generative and Named Constructors with this.field and Class.name().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 s="53">
        <v>0</v>
      </c>
      <c r="T13" s="102" t="str">
        <f t="shared" si="8"/>
        <v>[ROLE] Tech Lead | [TASK] Provide intentionally messy but functional code for learning debugging and improvement | [TOPIC] Implement Generative and Named Constructors with this.field and Class.name().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 | Stage 4 🧹 Refactor | Dart Object-Oriented &amp; Advanced Patterns | 📊 Level: Intermediate | 🌐 Coding5s.com
**Concept:** Generative &amp; Named Constructors (this.field, Class.name())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Implement Generative and Named Constructors with this.field and Class.name().. Topic details: Generative &amp; Named Constructors (this.field, Class.name())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 | Refactor | Dart Object-Oriented &amp; Advanced Patterns | 📊 Level: Intermediate
**Topic:** Implement Generative and Named Constructors with this.field and Class.name().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 s="53">
        <v>0</v>
      </c>
      <c r="W13" s="87" t="str">
        <f t="shared" si="10"/>
        <v>[ROLE] Tech Product Manager assigning a Dart Object-Oriented &amp; Advanced Patterns Jira Ticket | [TASK] Provide a guided implementation exercise with full solution for learning purposes | [TOPIC] Implement Generative and Named Constructors with this.field and Class.name().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 | Stage 5 | Dart Object-Oriented &amp; Advanced Patterns | 📊 Level: Intermediate | 🌐 Coding5s.com
**Concept:** Generative &amp; Named Constructors (this.field, Class.name())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Generative and Named Constructors with this.field and Class.name().. Goal: Generative &amp; Named Constructors (this.field, Class.name())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 | Extend | Dart Object-Oriented &amp; Advanced Patterns | 📊 Level: Intermediate
**Topic:** Implement Generative and Named Constructors with this.field and Class.name().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 s="53">
        <v>0</v>
      </c>
      <c r="Z13" s="56" t="str">
        <f t="shared" si="12"/>
        <v/>
      </c>
      <c r="AA13" s="56" t="str">
        <f t="shared" si="13"/>
        <v/>
      </c>
      <c r="AB13" s="56" t="str">
        <f t="shared" si="14"/>
        <v/>
      </c>
      <c r="AC13" s="56" t="str">
        <f t="shared" si="15"/>
        <v/>
      </c>
      <c r="AD13" s="56" t="str">
        <f t="shared" si="16"/>
        <v/>
      </c>
      <c r="AE13" s="40" t="s">
        <v>72</v>
      </c>
      <c r="AF13" s="40" t="s">
        <v>73</v>
      </c>
      <c r="AG13" s="40" t="s">
        <v>74</v>
      </c>
      <c r="AH13" s="56" t="str">
        <f t="shared" si="0"/>
        <v/>
      </c>
      <c r="AI13" s="54"/>
      <c r="AJ13" s="54"/>
      <c r="AK13" s="54">
        <v>5</v>
      </c>
      <c r="AL13" s="54" t="s">
        <v>75</v>
      </c>
      <c r="AM13" s="54" t="s">
        <v>76</v>
      </c>
    </row>
    <row r="14" spans="1:39">
      <c r="A14" s="45" t="str" cm="1">
        <f t="array" ref="A14">IF(H14="PROJECT", CHAR(10) &amp; "- " &amp; _xlfn.TEXTJOIN(CHAR(10) &amp; "- ", TRUE, _xlfn._xlws.FILTER($I$9:$I$1000, ($B$9:$B$1000=B14) * ($H$9:$H$1000="Topic"))), "")</f>
        <v/>
      </c>
      <c r="B14" s="45">
        <f t="shared" si="1"/>
        <v>1</v>
      </c>
      <c r="C14" s="95">
        <v>18</v>
      </c>
      <c r="D14" s="57">
        <v>4</v>
      </c>
      <c r="E14" s="58" t="s">
        <v>46</v>
      </c>
      <c r="F14" s="59">
        <v>6</v>
      </c>
      <c r="G14" s="60" t="s">
        <v>158</v>
      </c>
      <c r="H14" s="60" t="s">
        <v>48</v>
      </c>
      <c r="I14" s="61" t="s">
        <v>740</v>
      </c>
      <c r="J14" s="62" t="s">
        <v>741</v>
      </c>
      <c r="K14" s="129" t="str">
        <f t="shared" si="2"/>
        <v xml:space="preserve">[ROLE] Friendly tutor specializing in Dart Object-Oriented &amp; Advanced Patterns | [TOPIC] Apply Initializer Lists and Redirects using : assert(), : field =, and this.name().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 | Stage 1 📖 Practice | Dart Object-Oriented &amp; Advanced Patterns | 📊 Level: Intermediate | 🌐 Coding5s.com
**Concept:** Initializer Lists &amp; Redirects (: assert(), : field =, this.name())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4"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Initializer Lists and Redirects using : assert(), : field =, and this.name().. Topic details: Initializer Lists &amp; Redirects (: assert(), : field =, this.name())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 | Practice | Dart Object-Oriented &amp; Advanced Patterns | 📊 Level: Intermediate
**Topic:** Apply Initializer Lists and Redirects using : assert(), : field =, and this.name().
---
 | [FOOTER RULE - STRICT] End your response with: '--- ⚡ *Coding5s Mentor System — Eliminating Epistemic Debt*' | </v>
      </c>
      <c r="M14" s="52">
        <v>0</v>
      </c>
      <c r="N14" s="102" t="str">
        <f t="shared" si="4"/>
        <v>[ROLE] Careless Dart Object-Oriented &amp; Advanced Patterns Developer | [TASK] Generate debugging challenges in Dart Object-Oriented &amp; Advanced Patterns | | [TOPIC] Apply Initializer Lists and Redirects using : assert(), : field =, and this.name().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#6 | Stage 2 🐛 Debug | Dart Object-Oriented &amp; Advanced Patterns | 📊 Level: Intermediate | 🌐 Coding5s.com
Concept: Initializer Lists &amp; Redirects (: assert(), : field =, this.name())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4"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Initializer Lists and Redirects using : assert(), : field =, and this.name().. Topic details: Initializer Lists &amp; Redirects (: assert(), : field =, this.name())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 | Debug | Dart Object-Oriented &amp; Advanced Patterns | 📊 Level: Intermediate
**Topic:** Apply Initializer Lists and Redirects using : assert(), : field =, and this.name().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 s="52">
        <v>0</v>
      </c>
      <c r="Q14" s="102" t="str">
        <f t="shared" si="6"/>
        <v>[ROLE] Tech Lead | [TASK] Assign incomplete Dart Object-Oriented &amp; Advanced Patterns script challenges | [TOPIC] Apply Initializer Lists and Redirects using : assert(), : field =, and this.name().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#6 | Stage 3 🧩 Complete | Dart Object-Oriented &amp; Advanced Patterns | 📊 Level: Intermediate | 🌐 Coding5s.com
**Concept:** Initializer Lists &amp; Redirects (: assert(), : field =, this.name())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Initializer Lists and Redirects using : assert(), : field =, and this.name()..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4"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Initializer Lists and Redirects using : assert(), : field =, and this.name().. Topic details: Initializer Lists &amp; Redirects (: assert(), : field =, this.name())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 | Complete | Dart Object-Oriented &amp; Advanced Patterns | 📊 Level: Intermediate
**Topic:** Apply Initializer Lists and Redirects using : assert(), : field =, and this.name().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 s="53">
        <v>0</v>
      </c>
      <c r="T14" s="102" t="str">
        <f t="shared" si="8"/>
        <v>[ROLE] Tech Lead | [TASK] Provide intentionally messy but functional code for learning debugging and improvement | [TOPIC] Apply Initializer Lists and Redirects using : assert(), : field =, and this.name().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 | Stage 4 🧹 Refactor | Dart Object-Oriented &amp; Advanced Patterns | 📊 Level: Intermediate | 🌐 Coding5s.com
**Concept:** Initializer Lists &amp; Redirects (: assert(), : field =, this.name())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Apply Initializer Lists and Redirects using : assert(), : field =, and this.name().. Topic details: Initializer Lists &amp; Redirects (: assert(), : field =, this.name())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 | Refactor | Dart Object-Oriented &amp; Advanced Patterns | 📊 Level: Intermediate
**Topic:** Apply Initializer Lists and Redirects using : assert(), : field =, and this.name().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 s="52">
        <v>0</v>
      </c>
      <c r="W14" s="87" t="str">
        <f t="shared" si="10"/>
        <v>[ROLE] Tech Product Manager assigning a Dart Object-Oriented &amp; Advanced Patterns Jira Ticket | [TASK] Provide a guided implementation exercise with full solution for learning purposes | [TOPIC] Apply Initializer Lists and Redirects using : assert(), : field =, and this.name().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 | Stage 5 | Dart Object-Oriented &amp; Advanced Patterns | 📊 Level: Intermediate | 🌐 Coding5s.com
**Concept:** Initializer Lists &amp; Redirects (: assert(), : field =, this.name())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Initializer Lists and Redirects using : assert(), : field =, and this.name().. Goal: Initializer Lists &amp; Redirects (: assert(), : field =, this.name())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 | Extend | Dart Object-Oriented &amp; Advanced Patterns | 📊 Level: Intermediate
**Topic:** Apply Initializer Lists and Redirects using : assert(), : field =, and this.name().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 s="52">
        <v>0</v>
      </c>
      <c r="Z14" s="56" t="str">
        <f t="shared" si="12"/>
        <v/>
      </c>
      <c r="AA14" s="56" t="str">
        <f t="shared" si="13"/>
        <v/>
      </c>
      <c r="AB14" s="56" t="str">
        <f t="shared" si="14"/>
        <v/>
      </c>
      <c r="AC14" s="56" t="str">
        <f t="shared" si="15"/>
        <v/>
      </c>
      <c r="AD14" s="56" t="str">
        <f t="shared" si="16"/>
        <v/>
      </c>
      <c r="AE14" s="40" t="s">
        <v>78</v>
      </c>
      <c r="AF14" s="40" t="s">
        <v>79</v>
      </c>
      <c r="AG14" s="40" t="s">
        <v>80</v>
      </c>
      <c r="AH14" s="56" t="str">
        <f t="shared" si="0"/>
        <v/>
      </c>
      <c r="AI14" s="54"/>
      <c r="AJ14" s="54"/>
      <c r="AK14" s="54">
        <v>6</v>
      </c>
      <c r="AL14" s="54" t="s">
        <v>81</v>
      </c>
      <c r="AM14" s="54" t="s">
        <v>82</v>
      </c>
    </row>
    <row r="15" spans="1:39">
      <c r="A15" s="45" t="str" cm="1">
        <f t="array" ref="A15">IF(H15="PROJECT", CHAR(10) &amp; "- " &amp; _xlfn.TEXTJOIN(CHAR(10) &amp; "- ", TRUE, _xlfn._xlws.FILTER($I$9:$I$1000, ($B$9:$B$1000=B15) * ($H$9:$H$1000="Topic"))), "")</f>
        <v/>
      </c>
      <c r="B15" s="45">
        <f t="shared" si="1"/>
        <v>1</v>
      </c>
      <c r="C15" s="95">
        <v>15</v>
      </c>
      <c r="D15" s="46">
        <v>4</v>
      </c>
      <c r="E15" s="58" t="s">
        <v>46</v>
      </c>
      <c r="F15" s="48">
        <v>7</v>
      </c>
      <c r="G15" s="49" t="s">
        <v>158</v>
      </c>
      <c r="H15" s="49" t="s">
        <v>48</v>
      </c>
      <c r="I15" s="50" t="s">
        <v>742</v>
      </c>
      <c r="J15" s="51" t="s">
        <v>743</v>
      </c>
      <c r="K15" s="129" t="str">
        <f t="shared" si="2"/>
        <v xml:space="preserve">[ROLE] Friendly tutor specializing in Dart Object-Oriented &amp; Advanced Patterns | [TOPIC] Utilize Super Constructors and Parameters with super() and super.field.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 | Stage 1 📖 Practice | Dart Object-Oriented &amp; Advanced Patterns | 📊 Level: Intermediate | 🌐 Coding5s.com
**Concept:** Super Constructors &amp; Parameters (super(), super.field)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5"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Utilize Super Constructors and Parameters with super() and super.field.. Topic details: Super Constructors &amp; Parameters (super(), super.field)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 | Practice | Dart Object-Oriented &amp; Advanced Patterns | 📊 Level: Intermediate
**Topic:** Utilize Super Constructors and Parameters with super() and super.field.
---
 | [FOOTER RULE - STRICT] End your response with: '--- ⚡ *Coding5s Mentor System — Eliminating Epistemic Debt*' | </v>
      </c>
      <c r="M15" s="52">
        <v>0</v>
      </c>
      <c r="N15" s="102" t="str">
        <f t="shared" si="4"/>
        <v>[ROLE] Careless Dart Object-Oriented &amp; Advanced Patterns Developer | [TASK] Generate debugging challenges in Dart Object-Oriented &amp; Advanced Patterns | | [TOPIC] Utilize Super Constructors and Parameters with super() and super.field.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#7 | Stage 2 🐛 Debug | Dart Object-Oriented &amp; Advanced Patterns | 📊 Level: Intermediate | 🌐 Coding5s.com
Concept: Super Constructors &amp; Parameters (super(), super.field)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5"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Utilize Super Constructors and Parameters with super() and super.field.. Topic details: Super Constructors &amp; Parameters (super(), super.field)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 | Debug | Dart Object-Oriented &amp; Advanced Patterns | 📊 Level: Intermediate
**Topic:** Utilize Super Constructors and Parameters with super() and super.field.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5" s="53">
        <v>0</v>
      </c>
      <c r="Q15" s="102" t="str">
        <f t="shared" si="6"/>
        <v>[ROLE] Tech Lead | [TASK] Assign incomplete Dart Object-Oriented &amp; Advanced Patterns script challenges | [TOPIC] Utilize Super Constructors and Parameters with super() and super.field.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#7 | Stage 3 🧩 Complete | Dart Object-Oriented &amp; Advanced Patterns | 📊 Level: Intermediate | 🌐 Coding5s.com
**Concept:** Super Constructors &amp; Parameters (super(), super.field)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Utilize Super Constructors and Parameters with super() and super.field..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5"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Utilize Super Constructors and Parameters with super() and super.field.. Topic details: Super Constructors &amp; Parameters (super(), super.field)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 | Complete | Dart Object-Oriented &amp; Advanced Patterns | 📊 Level: Intermediate
**Topic:** Utilize Super Constructors and Parameters with super() and super.field.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5" s="53">
        <v>0</v>
      </c>
      <c r="T15" s="102" t="str">
        <f t="shared" si="8"/>
        <v>[ROLE] Tech Lead | [TASK] Provide intentionally messy but functional code for learning debugging and improvement | [TOPIC] Utilize Super Constructors and Parameters with super() and super.field.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 | Stage 4 🧹 Refactor | Dart Object-Oriented &amp; Advanced Patterns | 📊 Level: Intermediate | 🌐 Coding5s.com
**Concept:** Super Constructors &amp; Parameters (super(), super.field)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Utilize Super Constructors and Parameters with super() and super.field.. Topic details: Super Constructors &amp; Parameters (super(), super.field)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 | Refactor | Dart Object-Oriented &amp; Advanced Patterns | 📊 Level: Intermediate
**Topic:** Utilize Super Constructors and Parameters with super() and super.field.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5" s="53">
        <v>0</v>
      </c>
      <c r="W15" s="87" t="str">
        <f t="shared" si="10"/>
        <v>[ROLE] Tech Product Manager assigning a Dart Object-Oriented &amp; Advanced Patterns Jira Ticket | [TASK] Provide a guided implementation exercise with full solution for learning purposes | [TOPIC] Utilize Super Constructors and Parameters with super() and super.field.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 | Stage 5 | Dart Object-Oriented &amp; Advanced Patterns | 📊 Level: Intermediate | 🌐 Coding5s.com
**Concept:** Super Constructors &amp; Parameters (super(), super.field)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Utilize Super Constructors and Parameters with super() and super.field.. Goal: Super Constructors &amp; Parameters (super(), super.field)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 | Extend | Dart Object-Oriented &amp; Advanced Patterns | 📊 Level: Intermediate
**Topic:** Utilize Super Constructors and Parameters with super() and super.field.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5" s="53">
        <v>0</v>
      </c>
      <c r="Z15" s="56" t="str">
        <f t="shared" si="12"/>
        <v/>
      </c>
      <c r="AA15" s="56" t="str">
        <f t="shared" si="13"/>
        <v/>
      </c>
      <c r="AB15" s="56" t="str">
        <f t="shared" si="14"/>
        <v/>
      </c>
      <c r="AC15" s="56" t="str">
        <f t="shared" si="15"/>
        <v/>
      </c>
      <c r="AD15" s="56" t="str">
        <f t="shared" si="16"/>
        <v/>
      </c>
      <c r="AE15" s="40" t="s">
        <v>83</v>
      </c>
      <c r="AF15" s="40" t="s">
        <v>84</v>
      </c>
      <c r="AG15" s="40" t="s">
        <v>85</v>
      </c>
      <c r="AH15" s="56" t="str">
        <f t="shared" si="0"/>
        <v/>
      </c>
      <c r="AI15" s="54"/>
      <c r="AJ15" s="54"/>
      <c r="AK15" s="54">
        <v>7</v>
      </c>
      <c r="AL15" s="54" t="s">
        <v>86</v>
      </c>
      <c r="AM15" s="54" t="s">
        <v>87</v>
      </c>
    </row>
    <row r="16" spans="1:39">
      <c r="A16" s="45" t="str" cm="1">
        <f t="array" ref="A16">IF(H16="PROJECT", CHAR(10) &amp; "- " &amp; _xlfn.TEXTJOIN(CHAR(10) &amp; "- ", TRUE, _xlfn._xlws.FILTER($I$9:$I$1000, ($B$9:$B$1000=B16) * ($H$9:$H$1000="Topic"))), "")</f>
        <v/>
      </c>
      <c r="B16" s="45">
        <f t="shared" si="1"/>
        <v>1</v>
      </c>
      <c r="C16" s="95">
        <v>15</v>
      </c>
      <c r="D16" s="57">
        <v>4</v>
      </c>
      <c r="E16" s="58" t="s">
        <v>46</v>
      </c>
      <c r="F16" s="59">
        <v>8</v>
      </c>
      <c r="G16" s="60" t="s">
        <v>158</v>
      </c>
      <c r="H16" s="60" t="s">
        <v>48</v>
      </c>
      <c r="I16" s="61" t="s">
        <v>744</v>
      </c>
      <c r="J16" s="62" t="s">
        <v>745</v>
      </c>
      <c r="K16" s="129" t="str">
        <f t="shared" si="2"/>
        <v xml:space="preserve">[ROLE] Friendly tutor specializing in Dart Object-Oriented &amp; Advanced Patterns | [TOPIC] Create Const Constructors and Tear-Offs using const Class(), Class.new, and Class.name.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 | Stage 1 📖 Practice | Dart Object-Oriented &amp; Advanced Patterns | 📊 Level: Intermediate | 🌐 Coding5s.com
**Concept:** Const Constructors &amp; Tear-Offs (const Class(), Class.new, Class.name)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6"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Const Constructors and Tear-Offs using const Class(), Class.new, and Class.name.. Topic details: Const Constructors &amp; Tear-Offs (const Class(), Class.new, Class.name)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 | Practice | Dart Object-Oriented &amp; Advanced Patterns | 📊 Level: Intermediate
**Topic:** Create Const Constructors and Tear-Offs using const Class(), Class.new, and Class.name.
---
 | [FOOTER RULE - STRICT] End your response with: '--- ⚡ *Coding5s Mentor System — Eliminating Epistemic Debt*' | </v>
      </c>
      <c r="M16" s="52">
        <v>0</v>
      </c>
      <c r="N16" s="102" t="str">
        <f t="shared" si="4"/>
        <v>[ROLE] Careless Dart Object-Oriented &amp; Advanced Patterns Developer | [TASK] Generate debugging challenges in Dart Object-Oriented &amp; Advanced Patterns | | [TOPIC] Create Const Constructors and Tear-Offs using const Class(), Class.new, and Class.name.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#8 | Stage 2 🐛 Debug | Dart Object-Oriented &amp; Advanced Patterns | 📊 Level: Intermediate | 🌐 Coding5s.com
Concept: Const Constructors &amp; Tear-Offs (const Class(), Class.new, Class.name)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6"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Const Constructors and Tear-Offs using const Class(), Class.new, and Class.name.. Topic details: Const Constructors &amp; Tear-Offs (const Class(), Class.new, Class.name)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 | Debug | Dart Object-Oriented &amp; Advanced Patterns | 📊 Level: Intermediate
**Topic:** Create Const Constructors and Tear-Offs using const Class(), Class.new, and Class.name.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6" s="52">
        <v>0</v>
      </c>
      <c r="Q16" s="102" t="str">
        <f t="shared" si="6"/>
        <v>[ROLE] Tech Lead | [TASK] Assign incomplete Dart Object-Oriented &amp; Advanced Patterns script challenges | [TOPIC] Create Const Constructors and Tear-Offs using const Class(), Class.new, and Class.name.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#8 | Stage 3 🧩 Complete | Dart Object-Oriented &amp; Advanced Patterns | 📊 Level: Intermediate | 🌐 Coding5s.com
**Concept:** Const Constructors &amp; Tear-Offs (const Class(), Class.new, Class.name)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Const Constructors and Tear-Offs using const Class(), Class.new, and Class.name..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6"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Const Constructors and Tear-Offs using const Class(), Class.new, and Class.name.. Topic details: Const Constructors &amp; Tear-Offs (const Class(), Class.new, Class.name)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 | Complete | Dart Object-Oriented &amp; Advanced Patterns | 📊 Level: Intermediate
**Topic:** Create Const Constructors and Tear-Offs using const Class(), Class.new, and Class.name.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6" s="52">
        <v>0</v>
      </c>
      <c r="T16" s="102" t="str">
        <f t="shared" si="8"/>
        <v>[ROLE] Tech Lead | [TASK] Provide intentionally messy but functional code for learning debugging and improvement | [TOPIC] Create Const Constructors and Tear-Offs using const Class(), Class.new, and Class.name.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 | Stage 4 🧹 Refactor | Dart Object-Oriented &amp; Advanced Patterns | 📊 Level: Intermediate | 🌐 Coding5s.com
**Concept:** Const Constructors &amp; Tear-Offs (const Class(), Class.new, Class.name)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Create Const Constructors and Tear-Offs using const Class(), Class.new, and Class.name.. Topic details: Const Constructors &amp; Tear-Offs (const Class(), Class.new, Class.name)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 | Refactor | Dart Object-Oriented &amp; Advanced Patterns | 📊 Level: Intermediate
**Topic:** Create Const Constructors and Tear-Offs using const Class(), Class.new, and Class.name.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6" s="52">
        <v>0</v>
      </c>
      <c r="W16" s="87" t="str">
        <f t="shared" si="10"/>
        <v>[ROLE] Tech Product Manager assigning a Dart Object-Oriented &amp; Advanced Patterns Jira Ticket | [TASK] Provide a guided implementation exercise with full solution for learning purposes | [TOPIC] Create Const Constructors and Tear-Offs using const Class(), Class.new, and Class.name.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 | Stage 5 | Dart Object-Oriented &amp; Advanced Patterns | 📊 Level: Intermediate | 🌐 Coding5s.com
**Concept:** Const Constructors &amp; Tear-Offs (const Class(), Class.new, Class.name)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Const Constructors and Tear-Offs using const Class(), Class.new, and Class.name.. Goal: Const Constructors &amp; Tear-Offs (const Class(), Class.new, Class.name)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 | Extend | Dart Object-Oriented &amp; Advanced Patterns | 📊 Level: Intermediate
**Topic:** Create Const Constructors and Tear-Offs using const Class(), Class.new, and Class.name.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6" s="52">
        <v>0</v>
      </c>
      <c r="Z16" s="56" t="str">
        <f t="shared" si="12"/>
        <v/>
      </c>
      <c r="AA16" s="56" t="str">
        <f t="shared" si="13"/>
        <v/>
      </c>
      <c r="AB16" s="56" t="str">
        <f t="shared" si="14"/>
        <v/>
      </c>
      <c r="AC16" s="56" t="str">
        <f t="shared" si="15"/>
        <v/>
      </c>
      <c r="AD16" s="56" t="str">
        <f t="shared" si="16"/>
        <v/>
      </c>
      <c r="AE16" s="40" t="s">
        <v>88</v>
      </c>
      <c r="AF16" s="40" t="s">
        <v>89</v>
      </c>
      <c r="AG16" s="40" t="s">
        <v>90</v>
      </c>
      <c r="AH16" s="56" t="str">
        <f t="shared" si="0"/>
        <v/>
      </c>
      <c r="AI16" s="54"/>
      <c r="AJ16" s="54"/>
      <c r="AK16" s="54">
        <v>8</v>
      </c>
      <c r="AL16" s="54" t="s">
        <v>91</v>
      </c>
      <c r="AM16" s="54" t="s">
        <v>92</v>
      </c>
    </row>
    <row r="17" spans="1:39">
      <c r="A17" s="45" t="str" cm="1">
        <f t="array" ref="A17">IF(H17="PROJECT", CHAR(10) &amp; "- " &amp; _xlfn.TEXTJOIN(CHAR(10) &amp; "- ", TRUE, _xlfn._xlws.FILTER($I$9:$I$1000, ($B$9:$B$1000=B17) * ($H$9:$H$1000="Topic"))), "")</f>
        <v xml:space="preserve">
- Demonstrate Class Declaration and Instantiation using class, new, identical(), and runtimeType.
- Implement the Value Equality Contract using operator == and hashCode.
- Assign Field Modifiers including static, final, late, and const.
- Create Computed Properties using get, set, and backing _fields.
- Implement Generative and Named Constructors with this.field and Class.name().
- Apply Initializer Lists and Redirects using : assert(), : field =, and this.name().
- Utilize Super Constructors and Parameters with super() and super.field.
- Create Const Constructors and Tear-Offs using const Class(), Class.new, and Class.name.</v>
      </c>
      <c r="B17" s="45">
        <f t="shared" si="1"/>
        <v>1</v>
      </c>
      <c r="C17" s="95">
        <v>30</v>
      </c>
      <c r="D17" s="46">
        <v>0</v>
      </c>
      <c r="E17" s="58" t="s">
        <v>46</v>
      </c>
      <c r="F17" s="48">
        <v>9</v>
      </c>
      <c r="G17" s="49" t="s">
        <v>158</v>
      </c>
      <c r="H17" s="49" t="s">
        <v>77</v>
      </c>
      <c r="I17" s="50" t="s">
        <v>746</v>
      </c>
      <c r="J17" s="51" t="s">
        <v>747</v>
      </c>
      <c r="K17" s="129" t="str">
        <f t="shared" si="2"/>
        <v>[TASK] Teach through a practical Dart Object-Oriented &amp; Advanced Patterns -  project following the micro-learning methodology, acting as a supportive tutor, creating a project about  Develop a domain entity consolidating Class Declaration and Instantiation, Value Equality Contract, Field Modifiers, Computed Properties, Generative and Named Constructors, Initializer Lists and Redirects, Super Constructors, and Const Constructors. | [TOPICS USED] 
- Demonstrate Class Declaration and Instantiation using class, new, identical(), and runtimeType.
- Implement the Value Equality Contract using operator == and hashCode.
- Assign Field Modifiers including static, final, late, and const.
- Create Computed Properties using get, set, and backing _fields.
- Implement Generative and Named Constructors with this.field and Class.name().
- Apply Initializer Lists and Redirects using : assert(), : field =, and this.name().
- Utilize Super Constructors and Parameters with super() and super.field.
- Create Const Constructors and Tear-Offs using const Class(), Class.new, and Class.name.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classes, constructors, OOP patterns,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class purposes, parameters, return types, and exceptions. 3. CRITICAL: NO comment or docstring line may exceed 80 characters (Effective Dart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#9 | Stage 1 | Dart Object-Oriented &amp; Advanced Patterns | 📊 Level: Intermediate | 🌐 Coding5s.com
**Project:** Domain Entity Blueprint with Classes and Constructors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7"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domain entity consolidating Class Declaration and Instantiation, Value Equality Contract, Field Modifiers, Computed Properties, Generative and Named Constructors, Initializer Lists and Redirects, Super Constructors, and Const Constructors.. Topics applied in this project: 
- Demonstrate Class Declaration and Instantiation using class, new, identical(), and runtimeType.
- Implement the Value Equality Contract using operator == and hashCode.
- Assign Field Modifiers including static, final, late, and const.
- Create Computed Properties using get, set, and backing _fields.
- Implement Generative and Named Constructors with this.field and Class.name().
- Apply Initializer Lists and Redirects using : assert(), : field =, and this.name().
- Utilize Super Constructors and Parameters with super() and super.field.
- Create Const Constructors and Tear-Offs using const Class(), Class.new, and Class.name.. Project objective: Domain Entity Blueprint with Classes and Constructors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#9 | Practice | Dart Object-Oriented &amp; Advanced Patterns | 📊 Level: Intermediate
**Project:** Develop a domain entity consolidating Class Declaration and Instantiation, Value Equality Contract, Field Modifiers, Computed Properties, Generative and Named Constructors, Initializer Lists and Redirects, Super Constructors, and Const Constructors.
---
 | [FOOTER RULE - STRICT] End your response with: '--- ⚡ *Coding5s Mentor System — Eliminating Epistemic Debt*' | </v>
      </c>
      <c r="M17" s="53">
        <v>0</v>
      </c>
      <c r="N17" s="102" t="str">
        <f t="shared" si="4"/>
        <v>[ROLE] Careless Dart Object-Oriented &amp; Advanced Patterns Developer | [TASK] Generate debugging project in Dart Object-Oriented &amp; Advanced Patterns | [PROJECT] Develop a domain entity consolidating Class Declaration and Instantiation, Value Equality Contract, Field Modifiers, Computed Properties, Generative and Named Constructors, Initializer Lists and Redirects, Super Constructors, and Const Constructors. | [TOPICS USED] 
- Demonstrate Class Declaration and Instantiation using class, new, identical(), and runtimeType.
- Implement the Value Equality Contract using operator == and hashCode.
- Assign Field Modifiers including static, final, late, and const.
- Create Computed Properties using get, set, and backing _fields.
- Implement Generative and Named Constructors with this.field and Class.name().
- Apply Initializer Lists and Redirects using : assert(), : field =, and this.name().
- Utilize Super Constructors and Parameters with super() and super.field.
- Create Const Constructors and Tear-Offs using const Class(), Class.new, and Class.name. | [LEVEL] Intermediate | [OUTPUT] Only header, dataset summary or statement (if any), email intro, objective, expected output, broken code, and footer | [HEADER RULE - STRICT] You MUST start your entire response EXACTLY with this markdown block (do not print anything before it):
### 🚀 Project #9 | Stage 2 | Dart Object-Oriented &amp; Advanced Patterns | 📊 Level: Intermediate | 🌐 Coding5s.com
Project: Domain Entity Blueprint with Classes and Constructors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Náhuatl | [LANGUAGE SEED CONTEXT] Language Seed Not Necessary | [BUG RULE] Simulate a messy Dart OOP script. The project MUST contain EXACTLY 2-5 bugs mixing Syntax errors, Null-safety errors, OOP/Encapsulation logic errors, and Runtime Exceptions. 1. Syntax &amp; Type Errors (e.g., missing semicolons/brackets, type mismatches, constructor syntax errors, unhandled null access violating strict null safety), 2. Logic Errors (e.g., incorrect calculations, faulty comparison operators, improper encapsulation/getters, wrong return values), AND 3. Runtime Exceptions (e.g., StateError, RangeError, FormatException, NoSuchMethodError due to bad casting).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Object-Oriented &amp; Advanced Patterns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7"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domain entity consolidating Class Declaration and Instantiation, Value Equality Contract, Field Modifiers, Computed Properties, Generative and Named Constructors, Initializer Lists and Redirects, Super Constructors, and Const Constructors.. Topics involved: 
- Demonstrate Class Declaration and Instantiation using class, new, identical(), and runtimeType.
- Implement the Value Equality Contract using operator == and hashCode.
- Assign Field Modifiers including static, final, late, and const.
- Create Computed Properties using get, set, and backing _fields.
- Implement Generative and Named Constructors with this.field and Class.name().
- Apply Initializer Lists and Redirects using : assert(), : field =, and this.name().
- Utilize Super Constructors and Parameters with super() and super.field.
- Create Const Constructors and Tear-Offs using const Class(), Class.new, and Class.name.. Project objective: Domain Entity Blueprint with Classes and Constructors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#9 | Debug | Dart Object-Oriented &amp; Advanced Patterns | 📊 Level: Intermediate
**Project:** Develop a domain entity consolidating Class Declaration and Instantiation, Value Equality Contract, Field Modifiers, Computed Properties, Generative and Named Constructors, Initializer Lists and Redirects, Super Constructors, and Const Constructors.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7" s="53">
        <v>0</v>
      </c>
      <c r="Q17" s="102" t="str">
        <f t="shared" si="6"/>
        <v>[ROLE] Tech Lead | [TASK] Assign incomplete project script | [PROJECT] Develop a domain entity consolidating Class Declaration and Instantiation, Value Equality Contract, Field Modifiers, Computed Properties, Generative and Named Constructors, Initializer Lists and Redirects, Super Constructors, and Const Constructors. | [TOPICS USED] 
- Demonstrate Class Declaration and Instantiation using class, new, identical(), and runtimeType.
- Implement the Value Equality Contract using operator == and hashCode.
- Assign Field Modifiers including static, final, late, and const.
- Create Computed Properties using get, set, and backing _fields.
- Implement Generative and Named Constructors with this.field and Class.name().
- Apply Initializer Lists and Redirects using : assert(), : field =, and this.name().
- Utilize Super Constructors and Parameters with super() and super.field.
- Create Const Constructors and Tear-Offs using const Class(), Class.new, and Class.name. | [LEVEL] Intermediate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#9 | Stage 3 | Dart Object-Oriented &amp; Advanced Patterns | 📊 Level: Intermediate | 🌐 Coding5s.com
**Project:** Domain Entity Blueprint with Classes and Constructors
---
 | [EXTERNAL_PACKAGE_PROTOCOL] Require standard dart pub tooling and pubspec.yaml file for external dependencies when applicable. | [CHALLENGE_CONSTRAINTS_POLICY] MUST be between 25-40 lines of EXECUTABLE base Dart code (STRICT: Do NOT count comments or // TODO blocks). 30–60 Class-based object architecture. Require at least 1 class with internal state management.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Object-Oriented &amp; Advanced Patterns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7"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domain entity consolidating Class Declaration and Instantiation, Value Equality Contract, Field Modifiers, Computed Properties, Generative and Named Constructors, Initializer Lists and Redirects, Super Constructors, and Const Constructors.. Topics involved: 
- Demonstrate Class Declaration and Instantiation using class, new, identical(), and runtimeType.
- Implement the Value Equality Contract using operator == and hashCode.
- Assign Field Modifiers including static, final, late, and const.
- Create Computed Properties using get, set, and backing _fields.
- Implement Generative and Named Constructors with this.field and Class.name().
- Apply Initializer Lists and Redirects using : assert(), : field =, and this.name().
- Utilize Super Constructors and Parameters with super() and super.field.
- Create Const Constructors and Tear-Offs using const Class(), Class.new, and Class.name.. Project objective: Domain Entity Blueprint with Classes and Constructors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#9 | Complete | Dart Object-Oriented &amp; Advanced Patterns | 📊 Level: Intermediate
**Project:** Develop a domain entity consolidating Class Declaration and Instantiation, Value Equality Contract, Field Modifiers, Computed Properties, Generative and Named Constructors, Initializer Lists and Redirects, Super Constructors, and Const Constructors.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7" s="53">
        <v>0</v>
      </c>
      <c r="T17" s="102" t="str">
        <f t="shared" si="8"/>
        <v>[ROLE] Tech Lead | [TASK] Provide a messy but functional project for refactoring | [PROJECT] Develop a domain entity consolidating Class Declaration and Instantiation, Value Equality Contract, Field Modifiers, Computed Properties, Generative and Named Constructors, Initializer Lists and Redirects, Super Constructors, and Const Constructors. | [TOPICS USED] 
- Demonstrate Class Declaration and Instantiation using class, new, identical(), and runtimeType.
- Implement the Value Equality Contract using operator == and hashCode.
- Assign Field Modifiers including static, final, late, and const.
- Create Computed Properties using get, set, and backing _fields.
- Implement Generative and Named Constructors with this.field and Class.name().
- Apply Initializer Lists and Redirects using : assert(), : field =, and this.name().
- Utilize Super Constructors and Parameters with super() and super.field.
- Create Const Constructors and Tear-Offs using const Class(), Class.new, and Class.name. | [LEVEL] Intermediate | [PERSONA RULE] Act as a Tech Lead. A junior wrote this working but messy code. Tone: professional but exhausted | [HEADER RULE - STRICT] You MUST start your entire response EXACTLY with this markdown block (do not print anything before it):
### 🚀 Project #9 | Stage 4 | Dart Object-Oriented &amp; Advanced Patterns | 📊 Level: Intermediate | 🌐 Coding5s.com
**Project:** Domain Entity Blueprint with Classes and Constructors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Object-Oriented &amp; Advanced Patterns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PROJECT: Develop a domain entity consolidating Class Declaration and Instantiation, Value Equality Contract, Field Modifiers, Computed Properties, Generative and Named Constructors, Initializer Lists and Redirects, Super Constructors, and Const Constructors.. Topics involved: 
- Demonstrate Class Declaration and Instantiation using class, new, identical(), and runtimeType.
- Implement the Value Equality Contract using operator == and hashCode.
- Assign Field Modifiers including static, final, late, and const.
- Create Computed Properties using get, set, and backing _fields.
- Implement Generative and Named Constructors with this.field and Class.name().
- Apply Initializer Lists and Redirects using : assert(), : field =, and this.name().
- Utilize Super Constructors and Parameters with super() and super.field.
- Create Const Constructors and Tear-Offs using const Class(), Class.new, and Class.name.. Project objective: Domain Entity Blueprint with Classes and Constructors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#9 | Refactor | Dart Object-Oriented &amp; Advanced Patterns | 📊 Level: Intermediate
**Project:** Develop a domain entity consolidating Class Declaration and Instantiation, Value Equality Contract, Field Modifiers, Computed Properties, Generative and Named Constructors, Initializer Lists and Redirects, Super Constructors, and Const Constructors.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7" s="53">
        <v>0</v>
      </c>
      <c r="W17" s="87" t="str">
        <f t="shared" si="10"/>
        <v>[ROLE] Tech Product Manager assigning a Dart Object-Oriented &amp; Advanced Patterns Jira Ticket | [TASK] Provide a guided project implementation with full solution | [PROJECT] Develop a domain entity consolidating Class Declaration and Instantiation, Value Equality Contract, Field Modifiers, Computed Properties, Generative and Named Constructors, Initializer Lists and Redirects, Super Constructors, and Const Constructors. | [TOPICS USED] 
- Demonstrate Class Declaration and Instantiation using class, new, identical(), and runtimeType.
- Implement the Value Equality Contract using operator == and hashCode.
- Assign Field Modifiers including static, final, late, and const.
- Create Computed Properties using get, set, and backing _fields.
- Implement Generative and Named Constructors with this.field and Class.name().
- Apply Initializer Lists and Redirects using : assert(), : field =, and this.name().
- Utilize Super Constructors and Parameters with super() and super.field.
- Create Const Constructors and Tear-Offs using const Class(), Class.new, and Class.name. | [LEVEL] Intermediate | [PERSONA RULE] Act as a professional Tech Product Manager defining a project ticket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[HEADER RULE - STRICT] You MUST start your entire response EXACTLY with this markdown block (do not print anything before it):
### 🚀 Project #9 | Stage 5 | Dart Object-Oriented &amp; Advanced Patterns | 📊 Level: Intermediate | 🌐 Coding5s.com
**Project:** Domain Entity Blueprint with Classes and Constructors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Object-Oriented &amp; Advanced Patterns Dev']
Subject: Assignment Details
Hello [Insert my user name if known, otherwise use 'Dart Object-Oriented &amp; Advanced Patterns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domain entity consolidating Class Declaration and Instantiation, Value Equality Contract, Field Modifiers, Computed Properties, Generative and Named Constructors, Initializer Lists and Redirects, Super Constructors, and Const Constructors.. Topics integrated: 
- Demonstrate Class Declaration and Instantiation using class, new, identical(), and runtimeType.
- Implement the Value Equality Contract using operator == and hashCode.
- Assign Field Modifiers including static, final, late, and const.
- Create Computed Properties using get, set, and backing _fields.
- Implement Generative and Named Constructors with this.field and Class.name().
- Apply Initializer Lists and Redirects using : assert(), : field =, and this.name().
- Utilize Super Constructors and Parameters with super() and super.field.
- Create Const Constructors and Tear-Offs using const Class(), Class.new, and Class.name.. Business Goal: Domain Entity Blueprint with Classes and Constructors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#9 | Extend | Dart Object-Oriented &amp; Advanced Patterns | 📊 Level: Intermediate
**Project:** Develop a domain entity consolidating Class Declaration and Instantiation, Value Equality Contract, Field Modifiers, Computed Properties, Generative and Named Constructors, Initializer Lists and Redirects, Super Constructors, and Const Constructors.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7" s="53">
        <v>0</v>
      </c>
      <c r="Z17" s="56" t="str">
        <f t="shared" si="12"/>
        <v>[TASK] Teach through a practical Dart Object-Oriented &amp; Advanced Patterns -  project following the micro-learning methodology, acting as a supportive tutor, creating a project about  Develop a domain entity consolidating Class Declaration and Instantiation, Value Equality Contract, Field Modifiers, Computed Properties, Generative and Named Constructors, Initializer Lists and Redirects, Super Constructors, and Const Constructors. | [TOPICS USED] 
- Demonstrate Class Declaration and Instantiation using class, new, identical(), and runtimeType.
- Implement the Value Equality Contract using operator == and hashCode.
- Assign Field Modifiers including static, final, late, and const.
- Create Computed Properties using get, set, and backing _fields.
- Implement Generative and Named Constructors with this.field and Class.name().
- Apply Initializer Lists and Redirects using : assert(), : field =, and this.name().
- Utilize Super Constructors and Parameters with super() and super.field.
- Create Const Constructors and Tear-Offs using const Class(), Class.new, and Class.name.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classes, constructors, OOP patterns,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class purposes, parameters, return types, and exceptions. 3. CRITICAL: NO comment or docstring line may exceed 80 characters (Effective Dart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#9 | Stage 1 | Dart Object-Oriented &amp; Advanced Patterns | 📊 Level: Intermediate | 🌐 Coding5s.com
**Project:** Domain Entity Blueprint with Classes and Constructors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7" s="56" t="str">
        <f t="shared" si="13"/>
        <v>[ROLE] Careless Dart Object-Oriented &amp; Advanced Patterns Developer | [TASK] Generate debugging project in Dart Object-Oriented &amp; Advanced Patterns | [PROJECT] Develop a domain entity consolidating Class Declaration and Instantiation, Value Equality Contract, Field Modifiers, Computed Properties, Generative and Named Constructors, Initializer Lists and Redirects, Super Constructors, and Const Constructors. | [TOPICS USED] 
- Demonstrate Class Declaration and Instantiation using class, new, identical(), and runtimeType.
- Implement the Value Equality Contract using operator == and hashCode.
- Assign Field Modifiers including static, final, late, and const.
- Create Computed Properties using get, set, and backing _fields.
- Implement Generative and Named Constructors with this.field and Class.name().
- Apply Initializer Lists and Redirects using : assert(), : field =, and this.name().
- Utilize Super Constructors and Parameters with super() and super.field.
- Create Const Constructors and Tear-Offs using const Class(), Class.new, and Class.name. | [LEVEL] Intermediate | [OUTPUT] Only header, dataset summary or statement (if any), email intro, objective, expected output, broken code, and footer | [HEADER RULE - STRICT] You MUST start your entire response EXACTLY with this markdown block (do not print anything before it):
### 🚀 Project #9 | Stage 2 | Dart Object-Oriented &amp; Advanced Patterns | 📊 Level: Intermediate | 🌐 Coding5s.com
Project: Domain Entity Blueprint with Classes and Constructors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Náhuatl | [LANGUAGE SEED CONTEXT] Language Seed Not Necessary | [BUG RULE] Simulate a messy Dart OOP script. The project MUST contain EXACTLY 2-5 bugs mixing Syntax errors, Null-safety errors, OOP/Encapsulation logic errors, and Runtime Exceptions. 1. Syntax &amp; Type Errors (e.g., missing semicolons/brackets, type mismatches, constructor syntax errors, unhandled null access violating strict null safety), 2. Logic Errors (e.g., incorrect calculations, faulty comparison operators, improper encapsulation/getters, wrong return values), AND 3. Runtime Exceptions (e.g., StateError, RangeError, FormatException, NoSuchMethodError due to bad casting).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Object-Oriented &amp; Advanced Patterns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7" s="56" t="str">
        <f t="shared" si="14"/>
        <v>[ROLE] Tech Lead | [TASK] Assign incomplete project script | [PROJECT] Develop a domain entity consolidating Class Declaration and Instantiation, Value Equality Contract, Field Modifiers, Computed Properties, Generative and Named Constructors, Initializer Lists and Redirects, Super Constructors, and Const Constructors. | [TOPICS USED] 
- Demonstrate Class Declaration and Instantiation using class, new, identical(), and runtimeType.
- Implement the Value Equality Contract using operator == and hashCode.
- Assign Field Modifiers including static, final, late, and const.
- Create Computed Properties using get, set, and backing _fields.
- Implement Generative and Named Constructors with this.field and Class.name().
- Apply Initializer Lists and Redirects using : assert(), : field =, and this.name().
- Utilize Super Constructors and Parameters with super() and super.field.
- Create Const Constructors and Tear-Offs using const Class(), Class.new, and Class.name. | [LEVEL] Intermediate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#9 | Stage 3 | Dart Object-Oriented &amp; Advanced Patterns | 📊 Level: Intermediate | 🌐 Coding5s.com
**Project:** Domain Entity Blueprint with Classes and Constructors
---
 | [EXTERNAL_PACKAGE_PROTOCOL] Require standard dart pub tooling and pubspec.yaml file for external dependencies when applicable. | [CHALLENGE_CONSTRAINTS_POLICY] MUST be between 25-40 lines of EXECUTABLE base Dart code (STRICT: Do NOT count comments or // TODO blocks). 30–60 Class-based object architecture. Require at least 1 class with internal state management.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Object-Oriented &amp; Advanced Patterns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7" s="56" t="str">
        <f t="shared" si="15"/>
        <v>[ROLE] Tech Lead | [TASK] Provide a messy but functional project for refactoring | [PROJECT] Develop a domain entity consolidating Class Declaration and Instantiation, Value Equality Contract, Field Modifiers, Computed Properties, Generative and Named Constructors, Initializer Lists and Redirects, Super Constructors, and Const Constructors. | [TOPICS USED] 
- Demonstrate Class Declaration and Instantiation using class, new, identical(), and runtimeType.
- Implement the Value Equality Contract using operator == and hashCode.
- Assign Field Modifiers including static, final, late, and const.
- Create Computed Properties using get, set, and backing _fields.
- Implement Generative and Named Constructors with this.field and Class.name().
- Apply Initializer Lists and Redirects using : assert(), : field =, and this.name().
- Utilize Super Constructors and Parameters with super() and super.field.
- Create Const Constructors and Tear-Offs using const Class(), Class.new, and Class.name. | [LEVEL] Intermediate | [PERSONA RULE] Act as a Tech Lead. A junior wrote this working but messy code. Tone: professional but exhausted | [HEADER RULE - STRICT] You MUST start your entire response EXACTLY with this markdown block (do not print anything before it):
### 🚀 Project #9 | Stage 4 | Dart Object-Oriented &amp; Advanced Patterns | 📊 Level: Intermediate | 🌐 Coding5s.com
**Project:** Domain Entity Blueprint with Classes and Constructors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Object-Oriented &amp; Advanced Patterns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7" s="56" t="str">
        <f t="shared" si="16"/>
        <v>[ROLE] Tech Product Manager assigning a Dart Object-Oriented &amp; Advanced Patterns Jira Ticket | [TASK] Provide a guided project implementation with full solution | [PROJECT] Develop a domain entity consolidating Class Declaration and Instantiation, Value Equality Contract, Field Modifiers, Computed Properties, Generative and Named Constructors, Initializer Lists and Redirects, Super Constructors, and Const Constructors. | [TOPICS USED] 
- Demonstrate Class Declaration and Instantiation using class, new, identical(), and runtimeType.
- Implement the Value Equality Contract using operator == and hashCode.
- Assign Field Modifiers including static, final, late, and const.
- Create Computed Properties using get, set, and backing _fields.
- Implement Generative and Named Constructors with this.field and Class.name().
- Apply Initializer Lists and Redirects using : assert(), : field =, and this.name().
- Utilize Super Constructors and Parameters with super() and super.field.
- Create Const Constructors and Tear-Offs using const Class(), Class.new, and Class.name. | [LEVEL] Intermediate | [PERSONA RULE] Act as a professional Tech Product Manager defining a project ticket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[HEADER RULE - STRICT] You MUST start your entire response EXACTLY with this markdown block (do not print anything before it):
### 🚀 Project #9 | Stage 5 | Dart Object-Oriented &amp; Advanced Patterns | 📊 Level: Intermediate | 🌐 Coding5s.com
**Project:** Domain Entity Blueprint with Classes and Constructors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Object-Oriented &amp; Advanced Patterns Dev']
Subject: Assignment Details
Hello [Insert my user name if known, otherwise use 'Dart Object-Oriented &amp; Advanced Patterns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7" s="40" t="s">
        <v>93</v>
      </c>
      <c r="AF17" s="40" t="s">
        <v>94</v>
      </c>
      <c r="AG17" s="40" t="s">
        <v>95</v>
      </c>
      <c r="AH17" s="56" t="str">
        <f t="shared" si="0"/>
        <v/>
      </c>
      <c r="AI17" s="54"/>
      <c r="AJ17" s="54"/>
      <c r="AK17" s="54">
        <v>9</v>
      </c>
      <c r="AL17" s="54" t="s">
        <v>96</v>
      </c>
      <c r="AM17" s="54" t="s">
        <v>97</v>
      </c>
    </row>
    <row r="18" spans="1:39">
      <c r="A18" s="45" t="str" cm="1">
        <f t="array" ref="A18">IF(H18="PROJECT", CHAR(10) &amp; "- " &amp; _xlfn.TEXTJOIN(CHAR(10) &amp; "- ", TRUE, _xlfn._xlws.FILTER($I$9:$I$1000, ($B$9:$B$1000=B18) * ($H$9:$H$1000="Topic"))), "")</f>
        <v/>
      </c>
      <c r="B18" s="45">
        <f t="shared" si="1"/>
        <v>2</v>
      </c>
      <c r="C18" s="95">
        <v>15</v>
      </c>
      <c r="D18" s="57">
        <v>4</v>
      </c>
      <c r="E18" s="58" t="s">
        <v>46</v>
      </c>
      <c r="F18" s="59">
        <v>10</v>
      </c>
      <c r="G18" s="60" t="s">
        <v>158</v>
      </c>
      <c r="H18" s="60" t="s">
        <v>48</v>
      </c>
      <c r="I18" s="61" t="s">
        <v>748</v>
      </c>
      <c r="J18" s="62" t="s">
        <v>749</v>
      </c>
      <c r="K18" s="129" t="str">
        <f t="shared" si="2"/>
        <v xml:space="preserve">[ROLE] Friendly tutor specializing in Dart Object-Oriented &amp; Advanced Patterns | [TOPIC] Define Instance and Static Methods using void, static returnType, and _privateMethod().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 | Stage 1 📖 Practice | Dart Object-Oriented &amp; Advanced Patterns | 📊 Level: Intermediate | 🌐 Coding5s.com
**Concept:** Instance &amp; Static Methods (void, static returnType, _privateMethod())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8"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Instance and Static Methods using void, static returnType, and _privateMethod().. Topic details: Instance &amp; Static Methods (void, static returnType, _privateMethod())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 | Practice | Dart Object-Oriented &amp; Advanced Patterns | 📊 Level: Intermediate
**Topic:** Define Instance and Static Methods using void, static returnType, and _privateMethod().
---
 | [FOOTER RULE - STRICT] End your response with: '--- ⚡ *Coding5s Mentor System — Eliminating Epistemic Debt*' | </v>
      </c>
      <c r="M18" s="52">
        <v>0</v>
      </c>
      <c r="N18" s="102" t="str">
        <f t="shared" si="4"/>
        <v>[ROLE] Careless Dart Object-Oriented &amp; Advanced Patterns Developer | [TASK] Generate debugging challenges in Dart Object-Oriented &amp; Advanced Patterns | | [TOPIC] Define Instance and Static Methods using void, static returnType, and _privateMethod().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#10 | Stage 2 🐛 Debug | Dart Object-Oriented &amp; Advanced Patterns | 📊 Level: Intermediate | 🌐 Coding5s.com
Concept: Instance &amp; Static Methods (void, static returnType, _privateMethod())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8"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Instance and Static Methods using void, static returnType, and _privateMethod().. Topic details: Instance &amp; Static Methods (void, static returnType, _privateMethod())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 | Debug | Dart Object-Oriented &amp; Advanced Patterns | 📊 Level: Intermediate
**Topic:** Define Instance and Static Methods using void, static returnType, and _privateMethod().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8" s="52">
        <v>0</v>
      </c>
      <c r="Q18" s="102" t="str">
        <f t="shared" si="6"/>
        <v>[ROLE] Tech Lead | [TASK] Assign incomplete Dart Object-Oriented &amp; Advanced Patterns script challenges | [TOPIC] Define Instance and Static Methods using void, static returnType, and _privateMethod().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#10 | Stage 3 🧩 Complete | Dart Object-Oriented &amp; Advanced Patterns | 📊 Level: Intermediate | 🌐 Coding5s.com
**Concept:** Instance &amp; Static Methods (void, static returnType, _privateMethod())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Instance and Static Methods using void, static returnType, and _privateMethod()..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8"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Instance and Static Methods using void, static returnType, and _privateMethod().. Topic details: Instance &amp; Static Methods (void, static returnType, _privateMethod())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 | Complete | Dart Object-Oriented &amp; Advanced Patterns | 📊 Level: Intermediate
**Topic:** Define Instance and Static Methods using void, static returnType, and _privateMethod().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8" s="52">
        <v>0</v>
      </c>
      <c r="T18" s="102" t="str">
        <f t="shared" si="8"/>
        <v>[ROLE] Tech Lead | [TASK] Provide intentionally messy but functional code for learning debugging and improvement | [TOPIC] Define Instance and Static Methods using void, static returnType, and _privateMethod().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 | Stage 4 🧹 Refactor | Dart Object-Oriented &amp; Advanced Patterns | 📊 Level: Intermediate | 🌐 Coding5s.com
**Concept:** Instance &amp; Static Methods (void, static returnType, _privateMethod())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Define Instance and Static Methods using void, static returnType, and _privateMethod().. Topic details: Instance &amp; Static Methods (void, static returnType, _privateMethod())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 | Refactor | Dart Object-Oriented &amp; Advanced Patterns | 📊 Level: Intermediate
**Topic:** Define Instance and Static Methods using void, static returnType, and _privateMethod().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8" s="52">
        <v>0</v>
      </c>
      <c r="W18" s="87" t="str">
        <f t="shared" si="10"/>
        <v>[ROLE] Tech Product Manager assigning a Dart Object-Oriented &amp; Advanced Patterns Jira Ticket | [TASK] Provide a guided implementation exercise with full solution for learning purposes | [TOPIC] Define Instance and Static Methods using void, static returnType, and _privateMethod().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 | Stage 5 | Dart Object-Oriented &amp; Advanced Patterns | 📊 Level: Intermediate | 🌐 Coding5s.com
**Concept:** Instance &amp; Static Methods (void, static returnType, _privateMethod())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Instance and Static Methods using void, static returnType, and _privateMethod().. Goal: Instance &amp; Static Methods (void, static returnType, _privateMethod())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 | Extend | Dart Object-Oriented &amp; Advanced Patterns | 📊 Level: Intermediate
**Topic:** Define Instance and Static Methods using void, static returnType, and _privateMethod().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8" s="52">
        <v>0</v>
      </c>
      <c r="Z18" s="56" t="str">
        <f t="shared" si="12"/>
        <v/>
      </c>
      <c r="AA18" s="56" t="str">
        <f t="shared" si="13"/>
        <v/>
      </c>
      <c r="AB18" s="56" t="str">
        <f t="shared" si="14"/>
        <v/>
      </c>
      <c r="AC18" s="56" t="str">
        <f t="shared" si="15"/>
        <v/>
      </c>
      <c r="AD18" s="56" t="str">
        <f t="shared" si="16"/>
        <v/>
      </c>
      <c r="AE18" s="40" t="s">
        <v>98</v>
      </c>
      <c r="AF18" s="40" t="s">
        <v>99</v>
      </c>
      <c r="AG18" s="40" t="s">
        <v>100</v>
      </c>
      <c r="AH18" s="56" t="str">
        <f t="shared" si="0"/>
        <v/>
      </c>
      <c r="AI18" s="54"/>
      <c r="AJ18" s="54"/>
      <c r="AK18" s="54">
        <v>10</v>
      </c>
      <c r="AL18" s="54" t="s">
        <v>101</v>
      </c>
      <c r="AM18" s="54" t="s">
        <v>102</v>
      </c>
    </row>
    <row r="19" spans="1:39">
      <c r="A19" s="45" t="str" cm="1">
        <f t="array" ref="A19">IF(H19="PROJECT", CHAR(10) &amp; "- " &amp; _xlfn.TEXTJOIN(CHAR(10) &amp; "- ", TRUE, _xlfn._xlws.FILTER($I$9:$I$1000, ($B$9:$B$1000=B19) * ($H$9:$H$1000="Topic"))), "")</f>
        <v/>
      </c>
      <c r="B19" s="45">
        <f t="shared" si="1"/>
        <v>2</v>
      </c>
      <c r="C19" s="95">
        <v>12</v>
      </c>
      <c r="D19" s="46">
        <v>3</v>
      </c>
      <c r="E19" s="58" t="s">
        <v>46</v>
      </c>
      <c r="F19" s="48">
        <v>11</v>
      </c>
      <c r="G19" s="49" t="s">
        <v>158</v>
      </c>
      <c r="H19" s="49" t="s">
        <v>48</v>
      </c>
      <c r="I19" s="50" t="s">
        <v>750</v>
      </c>
      <c r="J19" s="51" t="s">
        <v>751</v>
      </c>
      <c r="K19" s="129" t="str">
        <f t="shared" si="2"/>
        <v xml:space="preserve">[ROLE] Friendly tutor specializing in Dart Object-Oriented &amp; Advanced Patterns | [TOPIC] Apply Cascade Operators using .. and ?.. . | [LEVEL] Intermediate | [COUNT] 3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 | Stage 1 📖 Practice | Dart Object-Oriented &amp; Advanced Patterns | 📊 Level: Intermediate | 🌐 Coding5s.com
**Concept:** Cascade Operators (.., ?..)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9"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Cascade Operators using .. and ?.. .. Topic details: Cascade Operators (.., ?..)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 | Practice | Dart Object-Oriented &amp; Advanced Patterns | 📊 Level: Intermediate
**Topic:** Apply Cascade Operators using .. and ?.. .
---
 | [FOOTER RULE - STRICT] End your response with: '--- ⚡ *Coding5s Mentor System — Eliminating Epistemic Debt*' | </v>
      </c>
      <c r="M19" s="53">
        <v>0</v>
      </c>
      <c r="N19" s="102" t="str">
        <f t="shared" si="4"/>
        <v>[ROLE] Careless Dart Object-Oriented &amp; Advanced Patterns Developer | [TASK] Generate debugging challenges in Dart Object-Oriented &amp; Advanced Patterns | | [TOPIC] Apply Cascade Operators using .. and ?.. . | | [LEVEL] Intermediate | | [COUNT] 3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#11 | Stage 2 🐛 Debug | Dart Object-Oriented &amp; Advanced Patterns | 📊 Level: Intermediate | 🌐 Coding5s.com
Concept: Cascade Operators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9"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Cascade Operators using .. and ?.. .. Topic details: Cascade Operators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 | Debug | Dart Object-Oriented &amp; Advanced Patterns | 📊 Level: Intermediate
**Topic:** Apply Cascade Operators using .. and ?.. .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9" s="53">
        <v>0</v>
      </c>
      <c r="Q19" s="102" t="str">
        <f t="shared" si="6"/>
        <v>[ROLE] Tech Lead | [TASK] Assign incomplete Dart Object-Oriented &amp; Advanced Patterns script challenges | [TOPIC] Apply Cascade Operators using .. and ?.. . | [LEVEL] Intermediate | [COUNT] 3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#11 | Stage 3 🧩 Complete | Dart Object-Oriented &amp; Advanced Patterns | 📊 Level: Intermediate | 🌐 Coding5s.com
**Concept:** Cascade Operators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Cascade Operators using .. and ?..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9"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Cascade Operators using .. and ?.. .. Topic details: Cascade Operators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 | Complete | Dart Object-Oriented &amp; Advanced Patterns | 📊 Level: Intermediate
**Topic:** Apply Cascade Operators using .. and ?.. .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9" s="53">
        <v>0</v>
      </c>
      <c r="T19" s="102" t="str">
        <f t="shared" si="8"/>
        <v>[ROLE] Tech Lead | [TASK] Provide intentionally messy but functional code for learning debugging and improvement | [TOPIC] Apply Cascade Operators using .. and ?.. . | [LEVEL] Intermediate | [COUNT] 3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 | Stage 4 🧹 Refactor | Dart Object-Oriented &amp; Advanced Patterns | 📊 Level: Intermediate | 🌐 Coding5s.com
**Concept:** Cascade Operators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Apply Cascade Operators using .. and ?.. .. Topic details: Cascade Operators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 | Refactor | Dart Object-Oriented &amp; Advanced Patterns | 📊 Level: Intermediate
**Topic:** Apply Cascade Operators using .. and ?.. .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9" s="53">
        <v>0</v>
      </c>
      <c r="W19" s="87" t="str">
        <f t="shared" si="10"/>
        <v>[ROLE] Tech Product Manager assigning a Dart Object-Oriented &amp; Advanced Patterns Jira Ticket | [TASK] Provide a guided implementation exercise with full solution for learning purposes | [TOPIC] Apply Cascade Operators using .. and ?.. .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 | Stage 5 | Dart Object-Oriented &amp; Advanced Patterns | 📊 Level: Intermediate | 🌐 Coding5s.com
**Concept:** Cascade Operators (.., ?..)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Cascade Operators using .. and ?.. .. Goal: Cascade Operators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 | Extend | Dart Object-Oriented &amp; Advanced Patterns | 📊 Level: Intermediate
**Topic:** Apply Cascade Operators using .. and ?.. .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9" s="53">
        <v>0</v>
      </c>
      <c r="Z19" s="56" t="str">
        <f t="shared" si="12"/>
        <v/>
      </c>
      <c r="AA19" s="56" t="str">
        <f t="shared" si="13"/>
        <v/>
      </c>
      <c r="AB19" s="56" t="str">
        <f t="shared" si="14"/>
        <v/>
      </c>
      <c r="AC19" s="56" t="str">
        <f t="shared" si="15"/>
        <v/>
      </c>
      <c r="AD19" s="56" t="str">
        <f t="shared" si="16"/>
        <v/>
      </c>
      <c r="AE19" s="40" t="s">
        <v>103</v>
      </c>
      <c r="AF19" s="40" t="s">
        <v>104</v>
      </c>
      <c r="AG19" s="40" t="s">
        <v>105</v>
      </c>
      <c r="AH19" s="56" t="str">
        <f t="shared" si="0"/>
        <v/>
      </c>
      <c r="AI19" s="54"/>
      <c r="AJ19" s="54"/>
      <c r="AK19" s="54">
        <v>11</v>
      </c>
      <c r="AL19" s="54" t="s">
        <v>106</v>
      </c>
      <c r="AM19" s="54" t="s">
        <v>107</v>
      </c>
    </row>
    <row r="20" spans="1:39">
      <c r="A20" s="45" t="str" cm="1">
        <f t="array" ref="A20">IF(H20="PROJECT", CHAR(10) &amp; "- " &amp; _xlfn.TEXTJOIN(CHAR(10) &amp; "- ", TRUE, _xlfn._xlws.FILTER($I$9:$I$1000, ($B$9:$B$1000=B20) * ($H$9:$H$1000="Topic"))), "")</f>
        <v/>
      </c>
      <c r="B20" s="45">
        <f t="shared" si="1"/>
        <v>2</v>
      </c>
      <c r="C20" s="95">
        <v>12</v>
      </c>
      <c r="D20" s="57">
        <v>3</v>
      </c>
      <c r="E20" s="58" t="s">
        <v>46</v>
      </c>
      <c r="F20" s="59">
        <v>12</v>
      </c>
      <c r="G20" s="60" t="s">
        <v>158</v>
      </c>
      <c r="H20" s="60" t="s">
        <v>48</v>
      </c>
      <c r="I20" s="61" t="s">
        <v>752</v>
      </c>
      <c r="J20" s="62" t="s">
        <v>753</v>
      </c>
      <c r="K20" s="129" t="str">
        <f t="shared" si="2"/>
        <v xml:space="preserve">[ROLE] Friendly tutor specializing in Dart Object-Oriented &amp; Advanced Patterns | [TOPIC] Implement Callable Objects with call(). | [LEVEL] Intermediate | [COUNT] 3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 | Stage 1 📖 Practice | Dart Object-Oriented &amp; Advanced Patterns | 📊 Level: Intermediate | 🌐 Coding5s.com
**Concept:** Callable Objects (call())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0"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Callable Objects with call().. Topic details: Callable Objects (call())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 | Practice | Dart Object-Oriented &amp; Advanced Patterns | 📊 Level: Intermediate
**Topic:** Implement Callable Objects with call().
---
 | [FOOTER RULE - STRICT] End your response with: '--- ⚡ *Coding5s Mentor System — Eliminating Epistemic Debt*' | </v>
      </c>
      <c r="M20" s="52">
        <v>0</v>
      </c>
      <c r="N20" s="102" t="str">
        <f t="shared" si="4"/>
        <v>[ROLE] Careless Dart Object-Oriented &amp; Advanced Patterns Developer | [TASK] Generate debugging challenges in Dart Object-Oriented &amp; Advanced Patterns | | [TOPIC] Implement Callable Objects with call(). | | [LEVEL] Intermediate | | [COUNT] 3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#12 | Stage 2 🐛 Debug | Dart Object-Oriented &amp; Advanced Patterns | 📊 Level: Intermediate | 🌐 Coding5s.com
Concept: Callable Objects (call())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0"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Callable Objects with call().. Topic details: Callable Objects (call())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 | Debug | Dart Object-Oriented &amp; Advanced Patterns | 📊 Level: Intermediate
**Topic:** Implement Callable Objects with call().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0" s="52">
        <v>0</v>
      </c>
      <c r="Q20" s="102" t="str">
        <f t="shared" si="6"/>
        <v>[ROLE] Tech Lead | [TASK] Assign incomplete Dart Object-Oriented &amp; Advanced Patterns script challenges | [TOPIC] Implement Callable Objects with call(). | [LEVEL] Intermediate | [COUNT] 3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#12 | Stage 3 🧩 Complete | Dart Object-Oriented &amp; Advanced Patterns | 📊 Level: Intermediate | 🌐 Coding5s.com
**Concept:** Callable Objects (call())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Callable Objects with call()..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0"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Callable Objects with call().. Topic details: Callable Objects (call())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 | Complete | Dart Object-Oriented &amp; Advanced Patterns | 📊 Level: Intermediate
**Topic:** Implement Callable Objects with call().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0" s="52">
        <v>0</v>
      </c>
      <c r="T20" s="102" t="str">
        <f t="shared" si="8"/>
        <v>[ROLE] Tech Lead | [TASK] Provide intentionally messy but functional code for learning debugging and improvement | [TOPIC] Implement Callable Objects with call(). | [LEVEL] Intermediate | [COUNT] 3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#12 | Stage 4 🧹 Refactor | Dart Object-Oriented &amp; Advanced Patterns | 📊 Level: Intermediate | 🌐 Coding5s.com
**Concept:** Callable Objects (call())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Implement Callable Objects with call().. Topic details: Callable Objects (call())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 | Refactor | Dart Object-Oriented &amp; Advanced Patterns | 📊 Level: Intermediate
**Topic:** Implement Callable Objects with call().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0" s="52">
        <v>0</v>
      </c>
      <c r="W20" s="87" t="str">
        <f t="shared" si="10"/>
        <v>[ROLE] Tech Product Manager assigning a Dart Object-Oriented &amp; Advanced Patterns Jira Ticket | [TASK] Provide a guided implementation exercise with full solution for learning purposes | [TOPIC] Implement Callable Objects with call().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#12 | Stage 5 | Dart Object-Oriented &amp; Advanced Patterns | 📊 Level: Intermediate | 🌐 Coding5s.com
**Concept:** Callable Objects (call())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Callable Objects with call().. Goal: Callable Objects (call())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 | Extend | Dart Object-Oriented &amp; Advanced Patterns | 📊 Level: Intermediate
**Topic:** Implement Callable Objects with call().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0" s="52">
        <v>0</v>
      </c>
      <c r="Z20" s="56" t="str">
        <f t="shared" si="12"/>
        <v/>
      </c>
      <c r="AA20" s="56" t="str">
        <f t="shared" si="13"/>
        <v/>
      </c>
      <c r="AB20" s="56" t="str">
        <f t="shared" si="14"/>
        <v/>
      </c>
      <c r="AC20" s="56" t="str">
        <f t="shared" si="15"/>
        <v/>
      </c>
      <c r="AD20" s="56" t="str">
        <f t="shared" si="16"/>
        <v/>
      </c>
      <c r="AE20" s="40" t="s">
        <v>108</v>
      </c>
      <c r="AF20" s="40" t="s">
        <v>109</v>
      </c>
      <c r="AG20" s="40" t="s">
        <v>110</v>
      </c>
      <c r="AH20" s="56" t="str">
        <f t="shared" si="0"/>
        <v/>
      </c>
      <c r="AI20" s="54"/>
      <c r="AJ20" s="54"/>
      <c r="AK20" s="54">
        <v>12</v>
      </c>
      <c r="AL20" s="54" t="s">
        <v>111</v>
      </c>
      <c r="AM20" s="54" t="s">
        <v>112</v>
      </c>
    </row>
    <row r="21" spans="1:39">
      <c r="A21" s="45" t="str" cm="1">
        <f t="array" ref="A21">IF(H21="PROJECT", CHAR(10) &amp; "- " &amp; _xlfn.TEXTJOIN(CHAR(10) &amp; "- ", TRUE, _xlfn._xlws.FILTER($I$9:$I$1000, ($B$9:$B$1000=B21) * ($H$9:$H$1000="Topic"))), "")</f>
        <v/>
      </c>
      <c r="B21" s="45">
        <f t="shared" si="1"/>
        <v>2</v>
      </c>
      <c r="C21" s="95">
        <v>18</v>
      </c>
      <c r="D21" s="46">
        <v>5</v>
      </c>
      <c r="E21" s="58" t="s">
        <v>46</v>
      </c>
      <c r="F21" s="48">
        <v>13</v>
      </c>
      <c r="G21" s="49" t="s">
        <v>158</v>
      </c>
      <c r="H21" s="49" t="s">
        <v>48</v>
      </c>
      <c r="I21" s="50" t="s">
        <v>754</v>
      </c>
      <c r="J21" s="51" t="s">
        <v>755</v>
      </c>
      <c r="K21" s="129" t="str">
        <f t="shared" si="2"/>
        <v xml:space="preserve">[ROLE] Friendly tutor specializing in Dart Object-Oriented &amp; Advanced Patterns | [TOPIC] Overload Arithmetic and Index Operators using operator +, operator -, operator [], and operator []=. | [LEVEL] Intermediate | [COUNT] 5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 | Stage 1 📖 Practice | Dart Object-Oriented &amp; Advanced Patterns | 📊 Level: Intermediate | 🌐 Coding5s.com
**Concept:** Arithmetic &amp; Index Operator Overloading (operator +, operator -, operator [], operator []=)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1"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Overload Arithmetic and Index Operators using operator +, operator -, operator [], and operator []=.. Topic details: Arithmetic &amp; Index Operator Overloading (operator +, operator -, operator [], operator []=)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 | Practice | Dart Object-Oriented &amp; Advanced Patterns | 📊 Level: Intermediate
**Topic:** Overload Arithmetic and Index Operators using operator +, operator -, operator [], and operator []=.
---
 | [FOOTER RULE - STRICT] End your response with: '--- ⚡ *Coding5s Mentor System — Eliminating Epistemic Debt*' | </v>
      </c>
      <c r="M21" s="53">
        <v>0</v>
      </c>
      <c r="N21" s="102" t="str">
        <f t="shared" si="4"/>
        <v>[ROLE] Careless Dart Object-Oriented &amp; Advanced Patterns Developer | [TASK] Generate debugging challenges in Dart Object-Oriented &amp; Advanced Patterns | | [TOPIC] Overload Arithmetic and Index Operators using operator +, operator -, operator [], and operator []=. | | [LEVEL] Intermediate | | [COUNT] 5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#13 | Stage 2 🐛 Debug | Dart Object-Oriented &amp; Advanced Patterns | 📊 Level: Intermediate | 🌐 Coding5s.com
Concept: Arithmetic &amp; Index Operator Overloading (operator +, operator -, operator [], operator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1"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Overload Arithmetic and Index Operators using operator +, operator -, operator [], and operator []=.. Topic details: Arithmetic &amp; Index Operator Overloading (operator +, operator -, operator [], operator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 | Debug | Dart Object-Oriented &amp; Advanced Patterns | 📊 Level: Intermediate
**Topic:** Overload Arithmetic and Index Operators using operator +, operator -, operator [], and operator []=.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1" s="53">
        <v>0</v>
      </c>
      <c r="Q21" s="102" t="str">
        <f t="shared" si="6"/>
        <v>[ROLE] Tech Lead | [TASK] Assign incomplete Dart Object-Oriented &amp; Advanced Patterns script challenges | [TOPIC] Overload Arithmetic and Index Operators using operator +, operator -, operator [], and operator []=. | [LEVEL] Intermediate | [COUNT] 5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#13 | Stage 3 🧩 Complete | Dart Object-Oriented &amp; Advanced Patterns | 📊 Level: Intermediate | 🌐 Coding5s.com
**Concept:** Arithmetic &amp; Index Operator Overloading (operator +, operator -, operator [], operator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Overload Arithmetic and Index Operators using operator +, operator -, operator [], and operator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1"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Overload Arithmetic and Index Operators using operator +, operator -, operator [], and operator []=.. Topic details: Arithmetic &amp; Index Operator Overloading (operator +, operator -, operator [], operator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 | Complete | Dart Object-Oriented &amp; Advanced Patterns | 📊 Level: Intermediate
**Topic:** Overload Arithmetic and Index Operators using operator +, operator -, operator [], and operator []=.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1" s="53">
        <v>0</v>
      </c>
      <c r="T21" s="102" t="str">
        <f t="shared" si="8"/>
        <v>[ROLE] Tech Lead | [TASK] Provide intentionally messy but functional code for learning debugging and improvement | [TOPIC] Overload Arithmetic and Index Operators using operator +, operator -, operator [], and operator []=. | [LEVEL] Intermediate | [COUNT] 5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 | Stage 4 🧹 Refactor | Dart Object-Oriented &amp; Advanced Patterns | 📊 Level: Intermediate | 🌐 Coding5s.com
**Concept:** Arithmetic &amp; Index Operator Overloading (operator +, operator -, operator [], operator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Overload Arithmetic and Index Operators using operator +, operator -, operator [], and operator []=.. Topic details: Arithmetic &amp; Index Operator Overloading (operator +, operator -, operator [], operator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 | Refactor | Dart Object-Oriented &amp; Advanced Patterns | 📊 Level: Intermediate
**Topic:** Overload Arithmetic and Index Operators using operator +, operator -, operator [], and operator []=.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1" s="53">
        <v>0</v>
      </c>
      <c r="W21" s="87" t="str">
        <f t="shared" si="10"/>
        <v>[ROLE] Tech Product Manager assigning a Dart Object-Oriented &amp; Advanced Patterns Jira Ticket | [TASK] Provide a guided implementation exercise with full solution for learning purposes | [TOPIC] Overload Arithmetic and Index Operators using operator +, operator -, operator [], and operator []=.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 | Stage 5 | Dart Object-Oriented &amp; Advanced Patterns | 📊 Level: Intermediate | 🌐 Coding5s.com
**Concept:** Arithmetic &amp; Index Operator Overloading (operator +, operator -, operator [], operator []=)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Overload Arithmetic and Index Operators using operator +, operator -, operator [], and operator []=.. Goal: Arithmetic &amp; Index Operator Overloading (operator +, operator -, operator [], operator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 | Extend | Dart Object-Oriented &amp; Advanced Patterns | 📊 Level: Intermediate
**Topic:** Overload Arithmetic and Index Operators using operator +, operator -, operator [], and operator []=.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1" s="53">
        <v>0</v>
      </c>
      <c r="Z21" s="56" t="str">
        <f t="shared" si="12"/>
        <v/>
      </c>
      <c r="AA21" s="56" t="str">
        <f t="shared" si="13"/>
        <v/>
      </c>
      <c r="AB21" s="56" t="str">
        <f t="shared" si="14"/>
        <v/>
      </c>
      <c r="AC21" s="56" t="str">
        <f t="shared" si="15"/>
        <v/>
      </c>
      <c r="AD21" s="56" t="str">
        <f t="shared" si="16"/>
        <v/>
      </c>
      <c r="AE21" s="40" t="s">
        <v>113</v>
      </c>
      <c r="AF21" s="40" t="s">
        <v>114</v>
      </c>
      <c r="AG21" s="40" t="s">
        <v>115</v>
      </c>
      <c r="AH21" s="56" t="str">
        <f t="shared" si="0"/>
        <v/>
      </c>
      <c r="AI21" s="54"/>
      <c r="AJ21" s="54"/>
      <c r="AK21" s="54">
        <v>13</v>
      </c>
      <c r="AL21" s="54" t="s">
        <v>116</v>
      </c>
      <c r="AM21" s="54" t="s">
        <v>117</v>
      </c>
    </row>
    <row r="22" spans="1:39">
      <c r="A22" s="45" t="str" cm="1">
        <f t="array" ref="A22">IF(H22="PROJECT", CHAR(10) &amp; "- " &amp; _xlfn.TEXTJOIN(CHAR(10) &amp; "- ", TRUE, _xlfn._xlws.FILTER($I$9:$I$1000, ($B$9:$B$1000=B22) * ($H$9:$H$1000="Topic"))), "")</f>
        <v/>
      </c>
      <c r="B22" s="45">
        <f t="shared" si="1"/>
        <v>2</v>
      </c>
      <c r="C22" s="95">
        <v>15</v>
      </c>
      <c r="D22" s="57">
        <v>4</v>
      </c>
      <c r="E22" s="58" t="s">
        <v>46</v>
      </c>
      <c r="F22" s="59">
        <v>14</v>
      </c>
      <c r="G22" s="60" t="s">
        <v>158</v>
      </c>
      <c r="H22" s="60" t="s">
        <v>48</v>
      </c>
      <c r="I22" s="61" t="s">
        <v>756</v>
      </c>
      <c r="J22" s="62" t="s">
        <v>757</v>
      </c>
      <c r="K22" s="129" t="str">
        <f t="shared" si="2"/>
        <v xml:space="preserve">[ROLE] Friendly tutor specializing in Dart Object-Oriented &amp; Advanced Patterns | [TOPIC] Overload Relational Operators using operator &gt;, operator &lt;, operator &gt;=, and operator &lt;=.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#14 | Stage 1 📖 Practice | Dart Object-Oriented &amp; Advanced Patterns | 📊 Level: Intermediate | 🌐 Coding5s.com
**Concept:** Relational Operator Overloading (operator &gt;, operator &lt;, operator &gt;=, operator &lt;=)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2"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Overload Relational Operators using operator &gt;, operator &lt;, operator &gt;=, and operator &lt;=.. Topic details: Relational Operator Overloading (operator &gt;, operator &lt;, operator &gt;=, operator &lt;=)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#14 | Practice | Dart Object-Oriented &amp; Advanced Patterns | 📊 Level: Intermediate
**Topic:** Overload Relational Operators using operator &gt;, operator &lt;, operator &gt;=, and operator &lt;=.
---
 | [FOOTER RULE - STRICT] End your response with: '--- ⚡ *Coding5s Mentor System — Eliminating Epistemic Debt*' | </v>
      </c>
      <c r="M22" s="52">
        <v>0</v>
      </c>
      <c r="N22" s="102" t="str">
        <f t="shared" si="4"/>
        <v>[ROLE] Careless Dart Object-Oriented &amp; Advanced Patterns Developer | [TASK] Generate debugging challenges in Dart Object-Oriented &amp; Advanced Patterns | | [TOPIC] Overload Relational Operators using operator &gt;, operator &lt;, operator &gt;=, and operator &lt;=.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#14 | Stage 2 🐛 Debug | Dart Object-Oriented &amp; Advanced Patterns | 📊 Level: Intermediate | 🌐 Coding5s.com
Concept: Relational Operator Overloading (operator &gt;, operator &lt;, operator &gt;=, operator &lt;=)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2"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Overload Relational Operators using operator &gt;, operator &lt;, operator &gt;=, and operator &lt;=.. Topic details: Relational Operator Overloading (operator &gt;, operator &lt;, operator &gt;=, operator &lt;=)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#14 | Debug | Dart Object-Oriented &amp; Advanced Patterns | 📊 Level: Intermediate
**Topic:** Overload Relational Operators using operator &gt;, operator &lt;, operator &gt;=, and operator &lt;=.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2" s="52">
        <v>0</v>
      </c>
      <c r="Q22" s="102" t="str">
        <f t="shared" si="6"/>
        <v>[ROLE] Tech Lead | [TASK] Assign incomplete Dart Object-Oriented &amp; Advanced Patterns script challenges | [TOPIC] Overload Relational Operators using operator &gt;, operator &lt;, operator &gt;=, and operator &lt;=.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#14 | Stage 3 🧩 Complete | Dart Object-Oriented &amp; Advanced Patterns | 📊 Level: Intermediate | 🌐 Coding5s.com
**Concept:** Relational Operator Overloading (operator &gt;, operator &lt;, operator &gt;=, operator &lt;=)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Overload Relational Operators using operator &gt;, operator &lt;, operator &gt;=, and operator &lt;=..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2"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Overload Relational Operators using operator &gt;, operator &lt;, operator &gt;=, and operator &lt;=.. Topic details: Relational Operator Overloading (operator &gt;, operator &lt;, operator &gt;=, operator &lt;=)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#14 | Complete | Dart Object-Oriented &amp; Advanced Patterns | 📊 Level: Intermediate
**Topic:** Overload Relational Operators using operator &gt;, operator &lt;, operator &gt;=, and operator &lt;=.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2" s="52">
        <v>0</v>
      </c>
      <c r="T22" s="102" t="str">
        <f t="shared" si="8"/>
        <v>[ROLE] Tech Lead | [TASK] Provide intentionally messy but functional code for learning debugging and improvement | [TOPIC] Overload Relational Operators using operator &gt;, operator &lt;, operator &gt;=, and operator &lt;=.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#14 | Stage 4 🧹 Refactor | Dart Object-Oriented &amp; Advanced Patterns | 📊 Level: Intermediate | 🌐 Coding5s.com
**Concept:** Relational Operator Overloading (operator &gt;, operator &lt;, operator &gt;=, operator &lt;=)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Overload Relational Operators using operator &gt;, operator &lt;, operator &gt;=, and operator &lt;=.. Topic details: Relational Operator Overloading (operator &gt;, operator &lt;, operator &gt;=, operator &lt;=)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#14 | Refactor | Dart Object-Oriented &amp; Advanced Patterns | 📊 Level: Intermediate
**Topic:** Overload Relational Operators using operator &gt;, operator &lt;, operator &gt;=, and operator &lt;=.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2" s="52">
        <v>0</v>
      </c>
      <c r="W22" s="87" t="str">
        <f t="shared" si="10"/>
        <v>[ROLE] Tech Product Manager assigning a Dart Object-Oriented &amp; Advanced Patterns Jira Ticket | [TASK] Provide a guided implementation exercise with full solution for learning purposes | [TOPIC] Overload Relational Operators using operator &gt;, operator &lt;, operator &gt;=, and operator &lt;=.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#14 | Stage 5 | Dart Object-Oriented &amp; Advanced Patterns | 📊 Level: Intermediate | 🌐 Coding5s.com
**Concept:** Relational Operator Overloading (operator &gt;, operator &lt;, operator &gt;=, operator &lt;=)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Overload Relational Operators using operator &gt;, operator &lt;, operator &gt;=, and operator &lt;=.. Goal: Relational Operator Overloading (operator &gt;, operator &lt;, operator &gt;=, operator &lt;=)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#14 | Extend | Dart Object-Oriented &amp; Advanced Patterns | 📊 Level: Intermediate
**Topic:** Overload Relational Operators using operator &gt;, operator &lt;, operator &gt;=, and operator &lt;=.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2" s="52">
        <v>0</v>
      </c>
      <c r="Z22" s="56" t="str">
        <f t="shared" si="12"/>
        <v/>
      </c>
      <c r="AA22" s="56" t="str">
        <f t="shared" si="13"/>
        <v/>
      </c>
      <c r="AB22" s="56" t="str">
        <f t="shared" si="14"/>
        <v/>
      </c>
      <c r="AC22" s="56" t="str">
        <f t="shared" si="15"/>
        <v/>
      </c>
      <c r="AD22" s="56" t="str">
        <f t="shared" si="16"/>
        <v/>
      </c>
      <c r="AE22" s="40" t="s">
        <v>118</v>
      </c>
      <c r="AF22" s="40" t="s">
        <v>119</v>
      </c>
      <c r="AG22" s="40" t="s">
        <v>120</v>
      </c>
      <c r="AH22" s="56" t="str">
        <f t="shared" si="0"/>
        <v/>
      </c>
      <c r="AI22" s="54"/>
      <c r="AJ22" s="54"/>
      <c r="AK22" s="54">
        <v>14</v>
      </c>
      <c r="AL22" s="54" t="s">
        <v>121</v>
      </c>
      <c r="AM22" s="54" t="s">
        <v>122</v>
      </c>
    </row>
    <row r="23" spans="1:39">
      <c r="A23" s="45" t="str" cm="1">
        <f t="array" ref="A23">IF(H23="PROJECT", CHAR(10) &amp; "- " &amp; _xlfn.TEXTJOIN(CHAR(10) &amp; "- ", TRUE, _xlfn._xlws.FILTER($I$9:$I$1000, ($B$9:$B$1000=B23) * ($H$9:$H$1000="Topic"))), "")</f>
        <v/>
      </c>
      <c r="B23" s="45">
        <f t="shared" si="1"/>
        <v>2</v>
      </c>
      <c r="C23" s="95">
        <v>15</v>
      </c>
      <c r="D23" s="46">
        <v>4</v>
      </c>
      <c r="E23" s="58" t="s">
        <v>46</v>
      </c>
      <c r="F23" s="48">
        <v>15</v>
      </c>
      <c r="G23" s="49" t="s">
        <v>158</v>
      </c>
      <c r="H23" s="49" t="s">
        <v>48</v>
      </c>
      <c r="I23" s="50" t="s">
        <v>758</v>
      </c>
      <c r="J23" s="51" t="s">
        <v>759</v>
      </c>
      <c r="K23" s="129" t="str">
        <f t="shared" si="2"/>
        <v xml:space="preserve">[ROLE] Friendly tutor specializing in Dart Object-Oriented &amp; Advanced Patterns | [TOPIC] Extend a Class using extends and super.method().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#15 | Stage 1 📖 Practice | Dart Object-Oriented &amp; Advanced Patterns | 📊 Level: Intermediate | 🌐 Coding5s.com
**Concept:** Class Extension (extends, super.method())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3"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Extend a Class using extends and super.method().. Topic details: Class Extension (extends, super.method())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#15 | Practice | Dart Object-Oriented &amp; Advanced Patterns | 📊 Level: Intermediate
**Topic:** Extend a Class using extends and super.method().
---
 | [FOOTER RULE - STRICT] End your response with: '--- ⚡ *Coding5s Mentor System — Eliminating Epistemic Debt*' | </v>
      </c>
      <c r="M23" s="53">
        <v>0</v>
      </c>
      <c r="N23" s="102" t="str">
        <f t="shared" si="4"/>
        <v>[ROLE] Careless Dart Object-Oriented &amp; Advanced Patterns Developer | [TASK] Generate debugging challenges in Dart Object-Oriented &amp; Advanced Patterns | | [TOPIC] Extend a Class using extends and super.method().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#15 | Stage 2 🐛 Debug | Dart Object-Oriented &amp; Advanced Patterns | 📊 Level: Intermediate | 🌐 Coding5s.com
Concept: Class Extension (extends, super.method())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3"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Extend a Class using extends and super.method().. Topic details: Class Extension (extends, super.method())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#15 | Debug | Dart Object-Oriented &amp; Advanced Patterns | 📊 Level: Intermediate
**Topic:** Extend a Class using extends and super.method().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3" s="53">
        <v>0</v>
      </c>
      <c r="Q23" s="102" t="str">
        <f t="shared" si="6"/>
        <v>[ROLE] Tech Lead | [TASK] Assign incomplete Dart Object-Oriented &amp; Advanced Patterns script challenges | [TOPIC] Extend a Class using extends and super.method().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#15 | Stage 3 🧩 Complete | Dart Object-Oriented &amp; Advanced Patterns | 📊 Level: Intermediate | 🌐 Coding5s.com
**Concept:** Class Extension (extends, super.method())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Extend a Class using extends and super.method()..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3"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Extend a Class using extends and super.method().. Topic details: Class Extension (extends, super.method())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#15 | Complete | Dart Object-Oriented &amp; Advanced Patterns | 📊 Level: Intermediate
**Topic:** Extend a Class using extends and super.method().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3" s="53">
        <v>0</v>
      </c>
      <c r="T23" s="102" t="str">
        <f t="shared" si="8"/>
        <v>[ROLE] Tech Lead | [TASK] Provide intentionally messy but functional code for learning debugging and improvement | [TOPIC] Extend a Class using extends and super.method().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#15 | Stage 4 🧹 Refactor | Dart Object-Oriented &amp; Advanced Patterns | 📊 Level: Intermediate | 🌐 Coding5s.com
**Concept:** Class Extension (extends, super.method())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Extend a Class using extends and super.method().. Topic details: Class Extension (extends, super.method())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#15 | Refactor | Dart Object-Oriented &amp; Advanced Patterns | 📊 Level: Intermediate
**Topic:** Extend a Class using extends and super.method().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3" s="53">
        <v>0</v>
      </c>
      <c r="W23" s="87" t="str">
        <f t="shared" si="10"/>
        <v>[ROLE] Tech Product Manager assigning a Dart Object-Oriented &amp; Advanced Patterns Jira Ticket | [TASK] Provide a guided implementation exercise with full solution for learning purposes | [TOPIC] Extend a Class using extends and super.method().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#15 | Stage 5 | Dart Object-Oriented &amp; Advanced Patterns | 📊 Level: Intermediate | 🌐 Coding5s.com
**Concept:** Class Extension (extends, super.method())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Extend a Class using extends and super.method().. Goal: Class Extension (extends, super.method())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#15 | Extend | Dart Object-Oriented &amp; Advanced Patterns | 📊 Level: Intermediate
**Topic:** Extend a Class using extends and super.method().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3" s="53">
        <v>0</v>
      </c>
      <c r="Z23" s="56" t="str">
        <f t="shared" si="12"/>
        <v/>
      </c>
      <c r="AA23" s="56" t="str">
        <f t="shared" si="13"/>
        <v/>
      </c>
      <c r="AB23" s="56" t="str">
        <f t="shared" si="14"/>
        <v/>
      </c>
      <c r="AC23" s="56" t="str">
        <f t="shared" si="15"/>
        <v/>
      </c>
      <c r="AD23" s="56" t="str">
        <f t="shared" si="16"/>
        <v/>
      </c>
      <c r="AE23" s="40" t="s">
        <v>123</v>
      </c>
      <c r="AF23" s="40" t="s">
        <v>124</v>
      </c>
      <c r="AG23" s="40" t="s">
        <v>125</v>
      </c>
      <c r="AH23" s="56" t="str">
        <f t="shared" si="0"/>
        <v/>
      </c>
      <c r="AI23" s="54"/>
      <c r="AJ23" s="54"/>
      <c r="AK23" s="54">
        <v>15</v>
      </c>
      <c r="AL23" s="54" t="s">
        <v>126</v>
      </c>
      <c r="AM23" s="54" t="s">
        <v>127</v>
      </c>
    </row>
    <row r="24" spans="1:39">
      <c r="A24" s="45" t="str" cm="1">
        <f t="array" ref="A24">IF(H24="PROJECT", CHAR(10) &amp; "- " &amp; _xlfn.TEXTJOIN(CHAR(10) &amp; "- ", TRUE, _xlfn._xlws.FILTER($I$9:$I$1000, ($B$9:$B$1000=B24) * ($H$9:$H$1000="Topic"))), "")</f>
        <v/>
      </c>
      <c r="B24" s="45">
        <f t="shared" si="1"/>
        <v>2</v>
      </c>
      <c r="C24" s="95">
        <v>15</v>
      </c>
      <c r="D24" s="57">
        <v>4</v>
      </c>
      <c r="E24" s="58" t="s">
        <v>46</v>
      </c>
      <c r="F24" s="59">
        <v>16</v>
      </c>
      <c r="G24" s="60" t="s">
        <v>158</v>
      </c>
      <c r="H24" s="60" t="s">
        <v>48</v>
      </c>
      <c r="I24" s="61" t="s">
        <v>760</v>
      </c>
      <c r="J24" s="62" t="s">
        <v>761</v>
      </c>
      <c r="K24" s="129" t="str">
        <f t="shared" si="2"/>
        <v xml:space="preserve">[ROLE] Friendly tutor specializing in Dart Object-Oriented &amp; Advanced Patterns | [TOPIC] Override Methods using @override and covariant.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#16 | Stage 1 📖 Practice | Dart Object-Oriented &amp; Advanced Patterns | 📊 Level: Intermediate | 🌐 Coding5s.com
**Concept:** Method Overriding (@override, covariant)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4"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Override Methods using @override and covariant.. Topic details: Method Overriding (@override, covariant)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#16 | Practice | Dart Object-Oriented &amp; Advanced Patterns | 📊 Level: Intermediate
**Topic:** Override Methods using @override and covariant.
---
 | [FOOTER RULE - STRICT] End your response with: '--- ⚡ *Coding5s Mentor System — Eliminating Epistemic Debt*' | </v>
      </c>
      <c r="M24" s="52">
        <v>0</v>
      </c>
      <c r="N24" s="102" t="str">
        <f t="shared" si="4"/>
        <v>[ROLE] Careless Dart Object-Oriented &amp; Advanced Patterns Developer | [TASK] Generate debugging challenges in Dart Object-Oriented &amp; Advanced Patterns | | [TOPIC] Override Methods using @override and covariant.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#16 | Stage 2 🐛 Debug | Dart Object-Oriented &amp; Advanced Patterns | 📊 Level: Intermediate | 🌐 Coding5s.com
Concept: Method Overriding (@override, covariant)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4"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Override Methods using @override and covariant.. Topic details: Method Overriding (@override, covariant)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#16 | Debug | Dart Object-Oriented &amp; Advanced Patterns | 📊 Level: Intermediate
**Topic:** Override Methods using @override and covariant.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4" s="52">
        <v>0</v>
      </c>
      <c r="Q24" s="102" t="str">
        <f t="shared" si="6"/>
        <v>[ROLE] Tech Lead | [TASK] Assign incomplete Dart Object-Oriented &amp; Advanced Patterns script challenges | [TOPIC] Override Methods using @override and covariant.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#16 | Stage 3 🧩 Complete | Dart Object-Oriented &amp; Advanced Patterns | 📊 Level: Intermediate | 🌐 Coding5s.com
**Concept:** Method Overriding (@override, covariant)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Override Methods using @override and covariant..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4"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Override Methods using @override and covariant.. Topic details: Method Overriding (@override, covariant)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#16 | Complete | Dart Object-Oriented &amp; Advanced Patterns | 📊 Level: Intermediate
**Topic:** Override Methods using @override and covariant.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4" s="52">
        <v>0</v>
      </c>
      <c r="T24" s="102" t="str">
        <f t="shared" si="8"/>
        <v>[ROLE] Tech Lead | [TASK] Provide intentionally messy but functional code for learning debugging and improvement | [TOPIC] Override Methods using @override and covariant.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#16 | Stage 4 🧹 Refactor | Dart Object-Oriented &amp; Advanced Patterns | 📊 Level: Intermediate | 🌐 Coding5s.com
**Concept:** Method Overriding (@override, covariant)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Override Methods using @override and covariant.. Topic details: Method Overriding (@override, covariant)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#16 | Refactor | Dart Object-Oriented &amp; Advanced Patterns | 📊 Level: Intermediate
**Topic:** Override Methods using @override and covariant.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4" s="52">
        <v>0</v>
      </c>
      <c r="W24" s="87" t="str">
        <f t="shared" si="10"/>
        <v>[ROLE] Tech Product Manager assigning a Dart Object-Oriented &amp; Advanced Patterns Jira Ticket | [TASK] Provide a guided implementation exercise with full solution for learning purposes | [TOPIC] Override Methods using @override and covariant.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#16 | Stage 5 | Dart Object-Oriented &amp; Advanced Patterns | 📊 Level: Intermediate | 🌐 Coding5s.com
**Concept:** Method Overriding (@override, covariant)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Override Methods using @override and covariant.. Goal: Method Overriding (@override, covariant)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#16 | Extend | Dart Object-Oriented &amp; Advanced Patterns | 📊 Level: Intermediate
**Topic:** Override Methods using @override and covariant.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4" s="52">
        <v>0</v>
      </c>
      <c r="Z24" s="56" t="str">
        <f t="shared" si="12"/>
        <v/>
      </c>
      <c r="AA24" s="56" t="str">
        <f t="shared" si="13"/>
        <v/>
      </c>
      <c r="AB24" s="56" t="str">
        <f t="shared" si="14"/>
        <v/>
      </c>
      <c r="AC24" s="56" t="str">
        <f t="shared" si="15"/>
        <v/>
      </c>
      <c r="AD24" s="56" t="str">
        <f t="shared" si="16"/>
        <v/>
      </c>
      <c r="AE24" s="40" t="s">
        <v>128</v>
      </c>
      <c r="AF24" s="40" t="s">
        <v>129</v>
      </c>
      <c r="AG24" s="40" t="s">
        <v>130</v>
      </c>
      <c r="AH24" s="56" t="str">
        <f t="shared" si="0"/>
        <v/>
      </c>
      <c r="AI24" s="54"/>
      <c r="AJ24" s="54"/>
      <c r="AK24" s="54">
        <v>16</v>
      </c>
      <c r="AL24" s="54" t="s">
        <v>131</v>
      </c>
      <c r="AM24" s="54" t="s">
        <v>132</v>
      </c>
    </row>
    <row r="25" spans="1:39">
      <c r="A25" s="45" t="str" cm="1">
        <f t="array" ref="A25">IF(H25="PROJECT", CHAR(10) &amp; "- " &amp; _xlfn.TEXTJOIN(CHAR(10) &amp; "- ", TRUE, _xlfn._xlws.FILTER($I$9:$I$1000, ($B$9:$B$1000=B25) * ($H$9:$H$1000="Topic"))), "")</f>
        <v/>
      </c>
      <c r="B25" s="45">
        <f t="shared" si="1"/>
        <v>2</v>
      </c>
      <c r="C25" s="95">
        <v>18</v>
      </c>
      <c r="D25" s="46">
        <v>4</v>
      </c>
      <c r="E25" s="58" t="s">
        <v>46</v>
      </c>
      <c r="F25" s="48">
        <v>17</v>
      </c>
      <c r="G25" s="49" t="s">
        <v>158</v>
      </c>
      <c r="H25" s="49" t="s">
        <v>48</v>
      </c>
      <c r="I25" s="50" t="s">
        <v>762</v>
      </c>
      <c r="J25" s="51" t="s">
        <v>763</v>
      </c>
      <c r="K25" s="129" t="str">
        <f t="shared" si="2"/>
        <v xml:space="preserve">[ROLE] Friendly tutor specializing in Dart Object-Oriented &amp; Advanced Patterns | [TOPIC] Create Abstract Classes using abstract class and unimplemented methods.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#17 | Stage 1 📖 Practice | Dart Object-Oriented &amp; Advanced Patterns | 📊 Level: Intermediate | 🌐 Coding5s.com
**Concept:** Abstract Classes (abstract class, unimplemented methods)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5"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Abstract Classes using abstract class and unimplemented methods.. Topic details: Abstract Classes (abstract class, unimplemented methods)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#17 | Practice | Dart Object-Oriented &amp; Advanced Patterns | 📊 Level: Intermediate
**Topic:** Create Abstract Classes using abstract class and unimplemented methods.
---
 | [FOOTER RULE - STRICT] End your response with: '--- ⚡ *Coding5s Mentor System — Eliminating Epistemic Debt*' | </v>
      </c>
      <c r="M25" s="53">
        <v>0</v>
      </c>
      <c r="N25" s="102" t="str">
        <f t="shared" si="4"/>
        <v>[ROLE] Careless Dart Object-Oriented &amp; Advanced Patterns Developer | [TASK] Generate debugging challenges in Dart Object-Oriented &amp; Advanced Patterns | | [TOPIC] Create Abstract Classes using abstract class and unimplemented methods.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#17 | Stage 2 🐛 Debug | Dart Object-Oriented &amp; Advanced Patterns | 📊 Level: Intermediate | 🌐 Coding5s.com
Concept: Abstract Classes (abstract class, unimplemented methods)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5"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Abstract Classes using abstract class and unimplemented methods.. Topic details: Abstract Classes (abstract class, unimplemented methods)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#17 | Debug | Dart Object-Oriented &amp; Advanced Patterns | 📊 Level: Intermediate
**Topic:** Create Abstract Classes using abstract class and unimplemented methods.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5" s="53">
        <v>0</v>
      </c>
      <c r="Q25" s="102" t="str">
        <f t="shared" si="6"/>
        <v>[ROLE] Tech Lead | [TASK] Assign incomplete Dart Object-Oriented &amp; Advanced Patterns script challenges | [TOPIC] Create Abstract Classes using abstract class and unimplemented methods.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#17 | Stage 3 🧩 Complete | Dart Object-Oriented &amp; Advanced Patterns | 📊 Level: Intermediate | 🌐 Coding5s.com
**Concept:** Abstract Classes (abstract class, unimplemented methods)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Abstract Classes using abstract class and unimplemented methods..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5"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Abstract Classes using abstract class and unimplemented methods.. Topic details: Abstract Classes (abstract class, unimplemented methods)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#17 | Complete | Dart Object-Oriented &amp; Advanced Patterns | 📊 Level: Intermediate
**Topic:** Create Abstract Classes using abstract class and unimplemented methods.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5" s="53">
        <v>0</v>
      </c>
      <c r="T25" s="102" t="str">
        <f t="shared" si="8"/>
        <v>[ROLE] Tech Lead | [TASK] Provide intentionally messy but functional code for learning debugging and improvement | [TOPIC] Create Abstract Classes using abstract class and unimplemented methods.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#17 | Stage 4 🧹 Refactor | Dart Object-Oriented &amp; Advanced Patterns | 📊 Level: Intermediate | 🌐 Coding5s.com
**Concept:** Abstract Classes (abstract class, unimplemented methods)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Create Abstract Classes using abstract class and unimplemented methods.. Topic details: Abstract Classes (abstract class, unimplemented methods)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#17 | Refactor | Dart Object-Oriented &amp; Advanced Patterns | 📊 Level: Intermediate
**Topic:** Create Abstract Classes using abstract class and unimplemented methods.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5" s="53">
        <v>0</v>
      </c>
      <c r="W25" s="87" t="str">
        <f t="shared" si="10"/>
        <v>[ROLE] Tech Product Manager assigning a Dart Object-Oriented &amp; Advanced Patterns Jira Ticket | [TASK] Provide a guided implementation exercise with full solution for learning purposes | [TOPIC] Create Abstract Classes using abstract class and unimplemented methods.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#17 | Stage 5 | Dart Object-Oriented &amp; Advanced Patterns | 📊 Level: Intermediate | 🌐 Coding5s.com
**Concept:** Abstract Classes (abstract class, unimplemented methods)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Abstract Classes using abstract class and unimplemented methods.. Goal: Abstract Classes (abstract class, unimplemented methods)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#17 | Extend | Dart Object-Oriented &amp; Advanced Patterns | 📊 Level: Intermediate
**Topic:** Create Abstract Classes using abstract class and unimplemented methods.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5" s="53">
        <v>0</v>
      </c>
      <c r="Z25" s="56" t="str">
        <f t="shared" si="12"/>
        <v/>
      </c>
      <c r="AA25" s="56" t="str">
        <f t="shared" si="13"/>
        <v/>
      </c>
      <c r="AB25" s="56" t="str">
        <f t="shared" si="14"/>
        <v/>
      </c>
      <c r="AC25" s="56" t="str">
        <f t="shared" si="15"/>
        <v/>
      </c>
      <c r="AD25" s="56" t="str">
        <f t="shared" si="16"/>
        <v/>
      </c>
      <c r="AE25" s="40" t="s">
        <v>133</v>
      </c>
      <c r="AF25" s="40" t="s">
        <v>134</v>
      </c>
      <c r="AG25" s="40" t="s">
        <v>135</v>
      </c>
      <c r="AH25" s="56" t="str">
        <f t="shared" si="0"/>
        <v/>
      </c>
      <c r="AI25" s="54"/>
      <c r="AJ25" s="54"/>
      <c r="AK25" s="54">
        <v>17</v>
      </c>
      <c r="AL25" s="54" t="s">
        <v>136</v>
      </c>
      <c r="AM25" s="54" t="s">
        <v>137</v>
      </c>
    </row>
    <row r="26" spans="1:39">
      <c r="A26" s="45" t="str" cm="1">
        <f t="array" ref="A26">IF(H26="PROJECT", CHAR(10) &amp; "- " &amp; _xlfn.TEXTJOIN(CHAR(10) &amp; "- ", TRUE, _xlfn._xlws.FILTER($I$9:$I$1000, ($B$9:$B$1000=B26) * ($H$9:$H$1000="Topic"))), "")</f>
        <v xml:space="preserve">
- Define Instance and Static Methods using void, static returnType, and _privateMethod().
- Apply Cascade Operators using .. and ?.. .
- Implement Callable Objects with call().
- Overload Arithmetic and Index Operators using operator +, operator -, operator [], and operator []=.
- Overload Relational Operators using operator &gt;, operator &lt;, operator &gt;=, and operator &lt;=.
- Extend a Class using extends and super.method().
- Override Methods using @override and covariant.
- Create Abstract Classes using abstract class and unimplemented methods.</v>
      </c>
      <c r="B26" s="45">
        <f t="shared" si="1"/>
        <v>2</v>
      </c>
      <c r="C26" s="95">
        <v>30</v>
      </c>
      <c r="D26" s="57">
        <v>0</v>
      </c>
      <c r="E26" s="58" t="s">
        <v>46</v>
      </c>
      <c r="F26" s="59">
        <v>18</v>
      </c>
      <c r="G26" s="60" t="s">
        <v>158</v>
      </c>
      <c r="H26" s="60" t="s">
        <v>77</v>
      </c>
      <c r="I26" s="61" t="s">
        <v>764</v>
      </c>
      <c r="J26" s="62" t="s">
        <v>765</v>
      </c>
      <c r="K26" s="129" t="str">
        <f t="shared" si="2"/>
        <v>[TASK] Teach through a practical Dart Object-Oriented &amp; Advanced Patterns -  project following the micro-learning methodology, acting as a supportive tutor, creating a project about  Build a behavioral hierarchy consolidating Instance and Static Methods, Cascade Operators, Callable Objects, Arithmetic and Index Operator Overloading, Relational Operator Overloading, Class Extension, Method Overriding, and Abstract Classes. | [TOPICS USED] 
- Define Instance and Static Methods using void, static returnType, and _privateMethod().
- Apply Cascade Operators using .. and ?.. .
- Implement Callable Objects with call().
- Overload Arithmetic and Index Operators using operator +, operator -, operator [], and operator []=.
- Overload Relational Operators using operator &gt;, operator &lt;, operator &gt;=, and operator &lt;=.
- Extend a Class using extends and super.method().
- Override Methods using @override and covariant.
- Create Abstract Classes using abstract class and unimplemented methods.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classes, constructors, OOP patterns,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class purposes, parameters, return types, and exceptions. 3. CRITICAL: NO comment or docstring line may exceed 80 characters (Effective Dart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#18 | Stage 1 | Dart Object-Oriented &amp; Advanced Patterns | 📊 Level: Intermediate | 🌐 Coding5s.com
**Project:** Behavioral Hierarchy with Methods and Inheritance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6"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behavioral hierarchy consolidating Instance and Static Methods, Cascade Operators, Callable Objects, Arithmetic and Index Operator Overloading, Relational Operator Overloading, Class Extension, Method Overriding, and Abstract Classes.. Topics applied in this project: 
- Define Instance and Static Methods using void, static returnType, and _privateMethod().
- Apply Cascade Operators using .. and ?.. .
- Implement Callable Objects with call().
- Overload Arithmetic and Index Operators using operator +, operator -, operator [], and operator []=.
- Overload Relational Operators using operator &gt;, operator &lt;, operator &gt;=, and operator &lt;=.
- Extend a Class using extends and super.method().
- Override Methods using @override and covariant.
- Create Abstract Classes using abstract class and unimplemented methods.. Project objective: Behavioral Hierarchy with Methods and Inheritance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#18 | Practice | Dart Object-Oriented &amp; Advanced Patterns | 📊 Level: Intermediate
**Project:** Build a behavioral hierarchy consolidating Instance and Static Methods, Cascade Operators, Callable Objects, Arithmetic and Index Operator Overloading, Relational Operator Overloading, Class Extension, Method Overriding, and Abstract Classes.
---
 | [FOOTER RULE - STRICT] End your response with: '--- ⚡ *Coding5s Mentor System — Eliminating Epistemic Debt*' | </v>
      </c>
      <c r="M26" s="52">
        <v>0</v>
      </c>
      <c r="N26" s="102" t="str">
        <f t="shared" si="4"/>
        <v>[ROLE] Careless Dart Object-Oriented &amp; Advanced Patterns Developer | [TASK] Generate debugging project in Dart Object-Oriented &amp; Advanced Patterns | [PROJECT] Build a behavioral hierarchy consolidating Instance and Static Methods, Cascade Operators, Callable Objects, Arithmetic and Index Operator Overloading, Relational Operator Overloading, Class Extension, Method Overriding, and Abstract Classes. | [TOPICS USED] 
- Define Instance and Static Methods using void, static returnType, and _privateMethod().
- Apply Cascade Operators using .. and ?.. .
- Implement Callable Objects with call().
- Overload Arithmetic and Index Operators using operator +, operator -, operator [], and operator []=.
- Overload Relational Operators using operator &gt;, operator &lt;, operator &gt;=, and operator &lt;=.
- Extend a Class using extends and super.method().
- Override Methods using @override and covariant.
- Create Abstract Classes using abstract class and unimplemented methods. | [LEVEL] Intermediate | [OUTPUT] Only header, dataset summary or statement (if any), email intro, objective, expected output, broken code, and footer | [HEADER RULE - STRICT] You MUST start your entire response EXACTLY with this markdown block (do not print anything before it):
### 🚀 Project #18 | Stage 2 | Dart Object-Oriented &amp; Advanced Patterns | 📊 Level: Intermediate | 🌐 Coding5s.com
Project: Behavioral Hierarchy with Methods and Inheritance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Malay | [LANGUAGE SEED CONTEXT] Language Seed Not Necessary | [BUG RULE] Simulate a messy Dart OOP script. The project MUST contain EXACTLY 2-5 bugs mixing Syntax errors, Null-safety errors, OOP/Encapsulation logic errors, and Runtime Exceptions. 1. Syntax &amp; Type Errors (e.g., missing semicolons/brackets, type mismatches, constructor syntax errors, unhandled null access violating strict null safety), 2. Logic Errors (e.g., incorrect calculations, faulty comparison operators, improper encapsulation/getters, wrong return values), AND 3. Runtime Exceptions (e.g., StateError, RangeError, FormatException, NoSuchMethodError due to bad casting).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Object-Oriented &amp; Advanced Patterns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6"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behavioral hierarchy consolidating Instance and Static Methods, Cascade Operators, Callable Objects, Arithmetic and Index Operator Overloading, Relational Operator Overloading, Class Extension, Method Overriding, and Abstract Classes.. Topics involved: 
- Define Instance and Static Methods using void, static returnType, and _privateMethod().
- Apply Cascade Operators using .. and ?.. .
- Implement Callable Objects with call().
- Overload Arithmetic and Index Operators using operator +, operator -, operator [], and operator []=.
- Overload Relational Operators using operator &gt;, operator &lt;, operator &gt;=, and operator &lt;=.
- Extend a Class using extends and super.method().
- Override Methods using @override and covariant.
- Create Abstract Classes using abstract class and unimplemented methods.. Project objective: Behavioral Hierarchy with Methods and Inheritance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#18 | Debug | Dart Object-Oriented &amp; Advanced Patterns | 📊 Level: Intermediate
**Project:** Build a behavioral hierarchy consolidating Instance and Static Methods, Cascade Operators, Callable Objects, Arithmetic and Index Operator Overloading, Relational Operator Overloading, Class Extension, Method Overriding, and Abstract Classes.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6" s="52">
        <v>0</v>
      </c>
      <c r="Q26" s="102" t="str">
        <f t="shared" si="6"/>
        <v>[ROLE] Tech Lead | [TASK] Assign incomplete project script | [PROJECT] Build a behavioral hierarchy consolidating Instance and Static Methods, Cascade Operators, Callable Objects, Arithmetic and Index Operator Overloading, Relational Operator Overloading, Class Extension, Method Overriding, and Abstract Classes. | [TOPICS USED] 
- Define Instance and Static Methods using void, static returnType, and _privateMethod().
- Apply Cascade Operators using .. and ?.. .
- Implement Callable Objects with call().
- Overload Arithmetic and Index Operators using operator +, operator -, operator [], and operator []=.
- Overload Relational Operators using operator &gt;, operator &lt;, operator &gt;=, and operator &lt;=.
- Extend a Class using extends and super.method().
- Override Methods using @override and covariant.
- Create Abstract Classes using abstract class and unimplemented methods. | [LEVEL] Intermediate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#18 | Stage 3 | Dart Object-Oriented &amp; Advanced Patterns | 📊 Level: Intermediate | 🌐 Coding5s.com
**Project:** Behavioral Hierarchy with Methods and Inheritance
---
 | [EXTERNAL_PACKAGE_PROTOCOL] Require standard dart pub tooling and pubspec.yaml file for external dependencies when applicable. | [CHALLENGE_CONSTRAINTS_POLICY] MUST be between 25-40 lines of EXECUTABLE base Dart code (STRICT: Do NOT count comments or // TODO blocks). 30–60 Class-based object architecture. Require at least 1 class with internal state management.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Object-Oriented &amp; Advanced Patterns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6"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behavioral hierarchy consolidating Instance and Static Methods, Cascade Operators, Callable Objects, Arithmetic and Index Operator Overloading, Relational Operator Overloading, Class Extension, Method Overriding, and Abstract Classes.. Topics involved: 
- Define Instance and Static Methods using void, static returnType, and _privateMethod().
- Apply Cascade Operators using .. and ?.. .
- Implement Callable Objects with call().
- Overload Arithmetic and Index Operators using operator +, operator -, operator [], and operator []=.
- Overload Relational Operators using operator &gt;, operator &lt;, operator &gt;=, and operator &lt;=.
- Extend a Class using extends and super.method().
- Override Methods using @override and covariant.
- Create Abstract Classes using abstract class and unimplemented methods.. Project objective: Behavioral Hierarchy with Methods and Inheritance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#18 | Complete | Dart Object-Oriented &amp; Advanced Patterns | 📊 Level: Intermediate
**Project:** Build a behavioral hierarchy consolidating Instance and Static Methods, Cascade Operators, Callable Objects, Arithmetic and Index Operator Overloading, Relational Operator Overloading, Class Extension, Method Overriding, and Abstract Classes.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6" s="52">
        <v>0</v>
      </c>
      <c r="T26" s="102" t="str">
        <f t="shared" si="8"/>
        <v>[ROLE] Tech Lead | [TASK] Provide a messy but functional project for refactoring | [PROJECT] Build a behavioral hierarchy consolidating Instance and Static Methods, Cascade Operators, Callable Objects, Arithmetic and Index Operator Overloading, Relational Operator Overloading, Class Extension, Method Overriding, and Abstract Classes. | [TOPICS USED] 
- Define Instance and Static Methods using void, static returnType, and _privateMethod().
- Apply Cascade Operators using .. and ?.. .
- Implement Callable Objects with call().
- Overload Arithmetic and Index Operators using operator +, operator -, operator [], and operator []=.
- Overload Relational Operators using operator &gt;, operator &lt;, operator &gt;=, and operator &lt;=.
- Extend a Class using extends and super.method().
- Override Methods using @override and covariant.
- Create Abstract Classes using abstract class and unimplemented methods. | [LEVEL] Intermediate | [PERSONA RULE] Act as a Tech Lead. A junior wrote this working but messy code. Tone: professional but exhausted | [HEADER RULE - STRICT] You MUST start your entire response EXACTLY with this markdown block (do not print anything before it):
### 🚀 Project #18 | Stage 4 | Dart Object-Oriented &amp; Advanced Patterns | 📊 Level: Intermediate | 🌐 Coding5s.com
**Project:** Behavioral Hierarchy with Methods and Inheritance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Object-Oriented &amp; Advanced Patterns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PROJECT: Build a behavioral hierarchy consolidating Instance and Static Methods, Cascade Operators, Callable Objects, Arithmetic and Index Operator Overloading, Relational Operator Overloading, Class Extension, Method Overriding, and Abstract Classes.. Topics involved: 
- Define Instance and Static Methods using void, static returnType, and _privateMethod().
- Apply Cascade Operators using .. and ?.. .
- Implement Callable Objects with call().
- Overload Arithmetic and Index Operators using operator +, operator -, operator [], and operator []=.
- Overload Relational Operators using operator &gt;, operator &lt;, operator &gt;=, and operator &lt;=.
- Extend a Class using extends and super.method().
- Override Methods using @override and covariant.
- Create Abstract Classes using abstract class and unimplemented methods.. Project objective: Behavioral Hierarchy with Methods and Inheritance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#18 | Refactor | Dart Object-Oriented &amp; Advanced Patterns | 📊 Level: Intermediate
**Project:** Build a behavioral hierarchy consolidating Instance and Static Methods, Cascade Operators, Callable Objects, Arithmetic and Index Operator Overloading, Relational Operator Overloading, Class Extension, Method Overriding, and Abstract Classes.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6" s="52">
        <v>0</v>
      </c>
      <c r="W26" s="87" t="str">
        <f t="shared" si="10"/>
        <v>[ROLE] Tech Product Manager assigning a Dart Object-Oriented &amp; Advanced Patterns Jira Ticket | [TASK] Provide a guided project implementation with full solution | [PROJECT] Build a behavioral hierarchy consolidating Instance and Static Methods, Cascade Operators, Callable Objects, Arithmetic and Index Operator Overloading, Relational Operator Overloading, Class Extension, Method Overriding, and Abstract Classes. | [TOPICS USED] 
- Define Instance and Static Methods using void, static returnType, and _privateMethod().
- Apply Cascade Operators using .. and ?.. .
- Implement Callable Objects with call().
- Overload Arithmetic and Index Operators using operator +, operator -, operator [], and operator []=.
- Overload Relational Operators using operator &gt;, operator &lt;, operator &gt;=, and operator &lt;=.
- Extend a Class using extends and super.method().
- Override Methods using @override and covariant.
- Create Abstract Classes using abstract class and unimplemented methods. | [LEVEL] Intermediate | [PERSONA RULE] Act as a professional Tech Product Manager defining a project ticket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[HEADER RULE - STRICT] You MUST start your entire response EXACTLY with this markdown block (do not print anything before it):
### 🚀 Project #18 | Stage 5 | Dart Object-Oriented &amp; Advanced Patterns | 📊 Level: Intermediate | 🌐 Coding5s.com
**Project:** Behavioral Hierarchy with Methods and Inheritance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Object-Oriented &amp; Advanced Patterns Dev']
Subject: Assignment Details
Hello [Insert my user name if known, otherwise use 'Dart Object-Oriented &amp; Advanced Patterns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behavioral hierarchy consolidating Instance and Static Methods, Cascade Operators, Callable Objects, Arithmetic and Index Operator Overloading, Relational Operator Overloading, Class Extension, Method Overriding, and Abstract Classes.. Topics integrated: 
- Define Instance and Static Methods using void, static returnType, and _privateMethod().
- Apply Cascade Operators using .. and ?.. .
- Implement Callable Objects with call().
- Overload Arithmetic and Index Operators using operator +, operator -, operator [], and operator []=.
- Overload Relational Operators using operator &gt;, operator &lt;, operator &gt;=, and operator &lt;=.
- Extend a Class using extends and super.method().
- Override Methods using @override and covariant.
- Create Abstract Classes using abstract class and unimplemented methods.. Business Goal: Behavioral Hierarchy with Methods and Inheritance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#18 | Extend | Dart Object-Oriented &amp; Advanced Patterns | 📊 Level: Intermediate
**Project:** Build a behavioral hierarchy consolidating Instance and Static Methods, Cascade Operators, Callable Objects, Arithmetic and Index Operator Overloading, Relational Operator Overloading, Class Extension, Method Overriding, and Abstract Classes.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6" s="52">
        <v>0</v>
      </c>
      <c r="Z26" s="56" t="str">
        <f t="shared" si="12"/>
        <v>[TASK] Teach through a practical Dart Object-Oriented &amp; Advanced Patterns -  project following the micro-learning methodology, acting as a supportive tutor, creating a project about  Build a behavioral hierarchy consolidating Instance and Static Methods, Cascade Operators, Callable Objects, Arithmetic and Index Operator Overloading, Relational Operator Overloading, Class Extension, Method Overriding, and Abstract Classes. | [TOPICS USED] 
- Define Instance and Static Methods using void, static returnType, and _privateMethod().
- Apply Cascade Operators using .. and ?.. .
- Implement Callable Objects with call().
- Overload Arithmetic and Index Operators using operator +, operator -, operator [], and operator []=.
- Overload Relational Operators using operator &gt;, operator &lt;, operator &gt;=, and operator &lt;=.
- Extend a Class using extends and super.method().
- Override Methods using @override and covariant.
- Create Abstract Classes using abstract class and unimplemented methods.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classes, constructors, OOP patterns,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class purposes, parameters, return types, and exceptions. 3. CRITICAL: NO comment or docstring line may exceed 80 characters (Effective Dart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#18 | Stage 1 | Dart Object-Oriented &amp; Advanced Patterns | 📊 Level: Intermediate | 🌐 Coding5s.com
**Project:** Behavioral Hierarchy with Methods and Inheritance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6" s="56" t="str">
        <f t="shared" si="13"/>
        <v>[ROLE] Careless Dart Object-Oriented &amp; Advanced Patterns Developer | [TASK] Generate debugging project in Dart Object-Oriented &amp; Advanced Patterns | [PROJECT] Build a behavioral hierarchy consolidating Instance and Static Methods, Cascade Operators, Callable Objects, Arithmetic and Index Operator Overloading, Relational Operator Overloading, Class Extension, Method Overriding, and Abstract Classes. | [TOPICS USED] 
- Define Instance and Static Methods using void, static returnType, and _privateMethod().
- Apply Cascade Operators using .. and ?.. .
- Implement Callable Objects with call().
- Overload Arithmetic and Index Operators using operator +, operator -, operator [], and operator []=.
- Overload Relational Operators using operator &gt;, operator &lt;, operator &gt;=, and operator &lt;=.
- Extend a Class using extends and super.method().
- Override Methods using @override and covariant.
- Create Abstract Classes using abstract class and unimplemented methods. | [LEVEL] Intermediate | [OUTPUT] Only header, dataset summary or statement (if any), email intro, objective, expected output, broken code, and footer | [HEADER RULE - STRICT] You MUST start your entire response EXACTLY with this markdown block (do not print anything before it):
### 🚀 Project #18 | Stage 2 | Dart Object-Oriented &amp; Advanced Patterns | 📊 Level: Intermediate | 🌐 Coding5s.com
Project: Behavioral Hierarchy with Methods and Inheritance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Malay | [LANGUAGE SEED CONTEXT] Language Seed Not Necessary | [BUG RULE] Simulate a messy Dart OOP script. The project MUST contain EXACTLY 2-5 bugs mixing Syntax errors, Null-safety errors, OOP/Encapsulation logic errors, and Runtime Exceptions. 1. Syntax &amp; Type Errors (e.g., missing semicolons/brackets, type mismatches, constructor syntax errors, unhandled null access violating strict null safety), 2. Logic Errors (e.g., incorrect calculations, faulty comparison operators, improper encapsulation/getters, wrong return values), AND 3. Runtime Exceptions (e.g., StateError, RangeError, FormatException, NoSuchMethodError due to bad casting).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Object-Oriented &amp; Advanced Patterns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6" s="56" t="str">
        <f t="shared" si="14"/>
        <v>[ROLE] Tech Lead | [TASK] Assign incomplete project script | [PROJECT] Build a behavioral hierarchy consolidating Instance and Static Methods, Cascade Operators, Callable Objects, Arithmetic and Index Operator Overloading, Relational Operator Overloading, Class Extension, Method Overriding, and Abstract Classes. | [TOPICS USED] 
- Define Instance and Static Methods using void, static returnType, and _privateMethod().
- Apply Cascade Operators using .. and ?.. .
- Implement Callable Objects with call().
- Overload Arithmetic and Index Operators using operator +, operator -, operator [], and operator []=.
- Overload Relational Operators using operator &gt;, operator &lt;, operator &gt;=, and operator &lt;=.
- Extend a Class using extends and super.method().
- Override Methods using @override and covariant.
- Create Abstract Classes using abstract class and unimplemented methods. | [LEVEL] Intermediate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#18 | Stage 3 | Dart Object-Oriented &amp; Advanced Patterns | 📊 Level: Intermediate | 🌐 Coding5s.com
**Project:** Behavioral Hierarchy with Methods and Inheritance
---
 | [EXTERNAL_PACKAGE_PROTOCOL] Require standard dart pub tooling and pubspec.yaml file for external dependencies when applicable. | [CHALLENGE_CONSTRAINTS_POLICY] MUST be between 25-40 lines of EXECUTABLE base Dart code (STRICT: Do NOT count comments or // TODO blocks). 30–60 Class-based object architecture. Require at least 1 class with internal state management.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Object-Oriented &amp; Advanced Patterns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6" s="56" t="str">
        <f t="shared" si="15"/>
        <v>[ROLE] Tech Lead | [TASK] Provide a messy but functional project for refactoring | [PROJECT] Build a behavioral hierarchy consolidating Instance and Static Methods, Cascade Operators, Callable Objects, Arithmetic and Index Operator Overloading, Relational Operator Overloading, Class Extension, Method Overriding, and Abstract Classes. | [TOPICS USED] 
- Define Instance and Static Methods using void, static returnType, and _privateMethod().
- Apply Cascade Operators using .. and ?.. .
- Implement Callable Objects with call().
- Overload Arithmetic and Index Operators using operator +, operator -, operator [], and operator []=.
- Overload Relational Operators using operator &gt;, operator &lt;, operator &gt;=, and operator &lt;=.
- Extend a Class using extends and super.method().
- Override Methods using @override and covariant.
- Create Abstract Classes using abstract class and unimplemented methods. | [LEVEL] Intermediate | [PERSONA RULE] Act as a Tech Lead. A junior wrote this working but messy code. Tone: professional but exhausted | [HEADER RULE - STRICT] You MUST start your entire response EXACTLY with this markdown block (do not print anything before it):
### 🚀 Project #18 | Stage 4 | Dart Object-Oriented &amp; Advanced Patterns | 📊 Level: Intermediate | 🌐 Coding5s.com
**Project:** Behavioral Hierarchy with Methods and Inheritance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Object-Oriented &amp; Advanced Patterns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6" s="56" t="str">
        <f t="shared" si="16"/>
        <v>[ROLE] Tech Product Manager assigning a Dart Object-Oriented &amp; Advanced Patterns Jira Ticket | [TASK] Provide a guided project implementation with full solution | [PROJECT] Build a behavioral hierarchy consolidating Instance and Static Methods, Cascade Operators, Callable Objects, Arithmetic and Index Operator Overloading, Relational Operator Overloading, Class Extension, Method Overriding, and Abstract Classes. | [TOPICS USED] 
- Define Instance and Static Methods using void, static returnType, and _privateMethod().
- Apply Cascade Operators using .. and ?.. .
- Implement Callable Objects with call().
- Overload Arithmetic and Index Operators using operator +, operator -, operator [], and operator []=.
- Overload Relational Operators using operator &gt;, operator &lt;, operator &gt;=, and operator &lt;=.
- Extend a Class using extends and super.method().
- Override Methods using @override and covariant.
- Create Abstract Classes using abstract class and unimplemented methods. | [LEVEL] Intermediate | [PERSONA RULE] Act as a professional Tech Product Manager defining a project ticket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[HEADER RULE - STRICT] You MUST start your entire response EXACTLY with this markdown block (do not print anything before it):
### 🚀 Project #18 | Stage 5 | Dart Object-Oriented &amp; Advanced Patterns | 📊 Level: Intermediate | 🌐 Coding5s.com
**Project:** Behavioral Hierarchy with Methods and Inheritance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Object-Oriented &amp; Advanced Patterns Dev']
Subject: Assignment Details
Hello [Insert my user name if known, otherwise use 'Dart Object-Oriented &amp; Advanced Patterns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6" s="40" t="s">
        <v>138</v>
      </c>
      <c r="AF26" s="40" t="s">
        <v>139</v>
      </c>
      <c r="AG26" s="40" t="s">
        <v>140</v>
      </c>
      <c r="AH26" s="56" t="str">
        <f t="shared" si="0"/>
        <v/>
      </c>
      <c r="AI26" s="54"/>
      <c r="AJ26" s="54"/>
      <c r="AK26" s="54">
        <v>18</v>
      </c>
      <c r="AL26" s="54" t="s">
        <v>141</v>
      </c>
      <c r="AM26" s="54" t="s">
        <v>142</v>
      </c>
    </row>
    <row r="27" spans="1:39">
      <c r="A27" s="45" t="str" cm="1">
        <f t="array" ref="A27">IF(H27="PROJECT", CHAR(10) &amp; "- " &amp; _xlfn.TEXTJOIN(CHAR(10) &amp; "- ", TRUE, _xlfn._xlws.FILTER($I$9:$I$1000, ($B$9:$B$1000=B27) * ($H$9:$H$1000="Topic"))), "")</f>
        <v/>
      </c>
      <c r="B27" s="45">
        <f t="shared" si="1"/>
        <v>3</v>
      </c>
      <c r="C27" s="95">
        <v>15</v>
      </c>
      <c r="D27" s="46">
        <v>4</v>
      </c>
      <c r="E27" s="58" t="s">
        <v>46</v>
      </c>
      <c r="F27" s="48">
        <v>19</v>
      </c>
      <c r="G27" s="49" t="s">
        <v>158</v>
      </c>
      <c r="H27" s="49" t="s">
        <v>48</v>
      </c>
      <c r="I27" s="50" t="s">
        <v>766</v>
      </c>
      <c r="J27" s="51" t="s">
        <v>767</v>
      </c>
      <c r="K27" s="129" t="str">
        <f t="shared" si="2"/>
        <v xml:space="preserve">[ROLE] Friendly tutor specializing in Dart Object-Oriented &amp; Advanced Patterns | [TOPIC] Implement Implicit Interfaces using implements and multiple interface contracts.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#19 | Stage 1 📖 Practice | Dart Object-Oriented &amp; Advanced Patterns | 📊 Level: Intermediate | 🌐 Coding5s.com
**Concept:** Implicit Interfaces (implements, multiple interface contracts)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7"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Implicit Interfaces using implements and multiple interface contracts.. Topic details: Implicit Interfaces (implements, multiple interface contracts)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#19 | Practice | Dart Object-Oriented &amp; Advanced Patterns | 📊 Level: Intermediate
**Topic:** Implement Implicit Interfaces using implements and multiple interface contracts.
---
 | [FOOTER RULE - STRICT] End your response with: '--- ⚡ *Coding5s Mentor System — Eliminating Epistemic Debt*' | </v>
      </c>
      <c r="M27" s="53">
        <v>0</v>
      </c>
      <c r="N27" s="102" t="str">
        <f t="shared" si="4"/>
        <v>[ROLE] Careless Dart Object-Oriented &amp; Advanced Patterns Developer | [TASK] Generate debugging challenges in Dart Object-Oriented &amp; Advanced Patterns | | [TOPIC] Implement Implicit Interfaces using implements and multiple interface contracts.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#19 | Stage 2 🐛 Debug | Dart Object-Oriented &amp; Advanced Patterns | 📊 Level: Intermediate | 🌐 Coding5s.com
Concept: Implicit Interfaces (implements, multiple interface contracts)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7"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Implicit Interfaces using implements and multiple interface contracts.. Topic details: Implicit Interfaces (implements, multiple interface contracts)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#19 | Debug | Dart Object-Oriented &amp; Advanced Patterns | 📊 Level: Intermediate
**Topic:** Implement Implicit Interfaces using implements and multiple interface contracts.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7" s="53">
        <v>0</v>
      </c>
      <c r="Q27" s="102" t="str">
        <f t="shared" si="6"/>
        <v>[ROLE] Tech Lead | [TASK] Assign incomplete Dart Object-Oriented &amp; Advanced Patterns script challenges | [TOPIC] Implement Implicit Interfaces using implements and multiple interface contracts.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#19 | Stage 3 🧩 Complete | Dart Object-Oriented &amp; Advanced Patterns | 📊 Level: Intermediate | 🌐 Coding5s.com
**Concept:** Implicit Interfaces (implements, multiple interface contracts)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Implicit Interfaces using implements and multiple interface contracts..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7"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Implicit Interfaces using implements and multiple interface contracts.. Topic details: Implicit Interfaces (implements, multiple interface contracts)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#19 | Complete | Dart Object-Oriented &amp; Advanced Patterns | 📊 Level: Intermediate
**Topic:** Implement Implicit Interfaces using implements and multiple interface contracts.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7" s="53">
        <v>0</v>
      </c>
      <c r="T27" s="102" t="str">
        <f t="shared" si="8"/>
        <v>[ROLE] Tech Lead | [TASK] Provide intentionally messy but functional code for learning debugging and improvement | [TOPIC] Implement Implicit Interfaces using implements and multiple interface contracts.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#19 | Stage 4 🧹 Refactor | Dart Object-Oriented &amp; Advanced Patterns | 📊 Level: Intermediate | 🌐 Coding5s.com
**Concept:** Implicit Interfaces (implements, multiple interface contracts)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Implement Implicit Interfaces using implements and multiple interface contracts.. Topic details: Implicit Interfaces (implements, multiple interface contracts)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#19 | Refactor | Dart Object-Oriented &amp; Advanced Patterns | 📊 Level: Intermediate
**Topic:** Implement Implicit Interfaces using implements and multiple interface contracts.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7" s="53">
        <v>0</v>
      </c>
      <c r="W27" s="87" t="str">
        <f t="shared" si="10"/>
        <v>[ROLE] Tech Product Manager assigning a Dart Object-Oriented &amp; Advanced Patterns Jira Ticket | [TASK] Provide a guided implementation exercise with full solution for learning purposes | [TOPIC] Implement Implicit Interfaces using implements and multiple interface contracts.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#19 | Stage 5 | Dart Object-Oriented &amp; Advanced Patterns | 📊 Level: Intermediate | 🌐 Coding5s.com
**Concept:** Implicit Interfaces (implements, multiple interface contracts)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Implicit Interfaces using implements and multiple interface contracts.. Goal: Implicit Interfaces (implements, multiple interface contracts)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#19 | Extend | Dart Object-Oriented &amp; Advanced Patterns | 📊 Level: Intermediate
**Topic:** Implement Implicit Interfaces using implements and multiple interface contracts.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7" s="53">
        <v>0</v>
      </c>
      <c r="Z27" s="56" t="str">
        <f t="shared" si="12"/>
        <v/>
      </c>
      <c r="AA27" s="56" t="str">
        <f t="shared" si="13"/>
        <v/>
      </c>
      <c r="AB27" s="56" t="str">
        <f t="shared" si="14"/>
        <v/>
      </c>
      <c r="AC27" s="56" t="str">
        <f t="shared" si="15"/>
        <v/>
      </c>
      <c r="AD27" s="56" t="str">
        <f t="shared" si="16"/>
        <v/>
      </c>
      <c r="AE27" s="40" t="s">
        <v>143</v>
      </c>
      <c r="AF27" s="40" t="s">
        <v>144</v>
      </c>
      <c r="AG27" s="40" t="s">
        <v>145</v>
      </c>
      <c r="AH27" s="56" t="str">
        <f t="shared" si="0"/>
        <v/>
      </c>
      <c r="AI27" s="54"/>
      <c r="AJ27" s="54"/>
      <c r="AK27" s="54">
        <v>19</v>
      </c>
      <c r="AL27" s="54" t="s">
        <v>103</v>
      </c>
      <c r="AM27" s="54" t="s">
        <v>104</v>
      </c>
    </row>
    <row r="28" spans="1:39">
      <c r="A28" s="45" t="str" cm="1">
        <f t="array" ref="A28">IF(H28="PROJECT", CHAR(10) &amp; "- " &amp; _xlfn.TEXTJOIN(CHAR(10) &amp; "- ", TRUE, _xlfn._xlws.FILTER($I$9:$I$1000, ($B$9:$B$1000=B28) * ($H$9:$H$1000="Topic"))), "")</f>
        <v/>
      </c>
      <c r="B28" s="45">
        <f t="shared" si="1"/>
        <v>3</v>
      </c>
      <c r="C28" s="95">
        <v>15</v>
      </c>
      <c r="D28" s="57">
        <v>4</v>
      </c>
      <c r="E28" s="58" t="s">
        <v>46</v>
      </c>
      <c r="F28" s="59">
        <v>20</v>
      </c>
      <c r="G28" s="60" t="s">
        <v>158</v>
      </c>
      <c r="H28" s="60" t="s">
        <v>48</v>
      </c>
      <c r="I28" s="61" t="s">
        <v>768</v>
      </c>
      <c r="J28" s="62" t="s">
        <v>769</v>
      </c>
      <c r="K28" s="129" t="str">
        <f t="shared" si="2"/>
        <v xml:space="preserve">[ROLE] Friendly tutor specializing in Dart Object-Oriented &amp; Advanced Patterns | [TOPIC] Apply Mixins using mixin and with.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#20 | Stage 1 📖 Practice | Dart Object-Oriented &amp; Advanced Patterns | 📊 Level: Intermediate | 🌐 Coding5s.com
**Concept:** Mixin Application (mixin, with)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8"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Mixins using mixin and with.. Topic details: Mixin Application (mixin, with)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#20 | Practice | Dart Object-Oriented &amp; Advanced Patterns | 📊 Level: Intermediate
**Topic:** Apply Mixins using mixin and with.
---
 | [FOOTER RULE - STRICT] End your response with: '--- ⚡ *Coding5s Mentor System — Eliminating Epistemic Debt*' | </v>
      </c>
      <c r="M28" s="52">
        <v>0</v>
      </c>
      <c r="N28" s="102" t="str">
        <f t="shared" si="4"/>
        <v>[ROLE] Careless Dart Object-Oriented &amp; Advanced Patterns Developer | [TASK] Generate debugging challenges in Dart Object-Oriented &amp; Advanced Patterns | | [TOPIC] Apply Mixins using mixin and with.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#20 | Stage 2 🐛 Debug | Dart Object-Oriented &amp; Advanced Patterns | 📊 Level: Intermediate | 🌐 Coding5s.com
Concept: Mixin Application (mixin, with)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8"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Mixins using mixin and with.. Topic details: Mixin Application (mixin, with)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#20 | Debug | Dart Object-Oriented &amp; Advanced Patterns | 📊 Level: Intermediate
**Topic:** Apply Mixins using mixin and with.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8" s="52">
        <v>0</v>
      </c>
      <c r="Q28" s="102" t="str">
        <f t="shared" si="6"/>
        <v>[ROLE] Tech Lead | [TASK] Assign incomplete Dart Object-Oriented &amp; Advanced Patterns script challenges | [TOPIC] Apply Mixins using mixin and with.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#20 | Stage 3 🧩 Complete | Dart Object-Oriented &amp; Advanced Patterns | 📊 Level: Intermediate | 🌐 Coding5s.com
**Concept:** Mixin Application (mixin, with)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Mixins using mixin and with..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8"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Mixins using mixin and with.. Topic details: Mixin Application (mixin, with)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#20 | Complete | Dart Object-Oriented &amp; Advanced Patterns | 📊 Level: Intermediate
**Topic:** Apply Mixins using mixin and with.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8" s="52">
        <v>0</v>
      </c>
      <c r="T28" s="102" t="str">
        <f t="shared" si="8"/>
        <v>[ROLE] Tech Lead | [TASK] Provide intentionally messy but functional code for learning debugging and improvement | [TOPIC] Apply Mixins using mixin and with.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#20 | Stage 4 🧹 Refactor | Dart Object-Oriented &amp; Advanced Patterns | 📊 Level: Intermediate | 🌐 Coding5s.com
**Concept:** Mixin Application (mixin, with)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Apply Mixins using mixin and with.. Topic details: Mixin Application (mixin, with)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#20 | Refactor | Dart Object-Oriented &amp; Advanced Patterns | 📊 Level: Intermediate
**Topic:** Apply Mixins using mixin and with.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8" s="52">
        <v>0</v>
      </c>
      <c r="W28" s="87" t="str">
        <f t="shared" si="10"/>
        <v>[ROLE] Tech Product Manager assigning a Dart Object-Oriented &amp; Advanced Patterns Jira Ticket | [TASK] Provide a guided implementation exercise with full solution for learning purposes | [TOPIC] Apply Mixins using mixin and with.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#20 | Stage 5 | Dart Object-Oriented &amp; Advanced Patterns | 📊 Level: Intermediate | 🌐 Coding5s.com
**Concept:** Mixin Application (mixin, with)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Mixins using mixin and with.. Goal: Mixin Application (mixin, with)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#20 | Extend | Dart Object-Oriented &amp; Advanced Patterns | 📊 Level: Intermediate
**Topic:** Apply Mixins using mixin and with.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8" s="52">
        <v>0</v>
      </c>
      <c r="Z28" s="56" t="str">
        <f t="shared" si="12"/>
        <v/>
      </c>
      <c r="AA28" s="56" t="str">
        <f t="shared" si="13"/>
        <v/>
      </c>
      <c r="AB28" s="56" t="str">
        <f t="shared" si="14"/>
        <v/>
      </c>
      <c r="AC28" s="56" t="str">
        <f t="shared" si="15"/>
        <v/>
      </c>
      <c r="AD28" s="56" t="str">
        <f t="shared" si="16"/>
        <v/>
      </c>
      <c r="AE28" s="40" t="s">
        <v>146</v>
      </c>
      <c r="AF28" s="40" t="s">
        <v>147</v>
      </c>
      <c r="AG28" s="40" t="s">
        <v>148</v>
      </c>
      <c r="AH28" s="56" t="str">
        <f t="shared" si="0"/>
        <v/>
      </c>
      <c r="AI28" s="54"/>
      <c r="AJ28" s="54"/>
      <c r="AK28" s="54">
        <v>20</v>
      </c>
      <c r="AL28" s="54" t="s">
        <v>108</v>
      </c>
      <c r="AM28" s="54" t="s">
        <v>109</v>
      </c>
    </row>
    <row r="29" spans="1:39">
      <c r="A29" s="45" t="str" cm="1">
        <f t="array" ref="A29">IF(H29="PROJECT", CHAR(10) &amp; "- " &amp; _xlfn.TEXTJOIN(CHAR(10) &amp; "- ", TRUE, _xlfn._xlws.FILTER($I$9:$I$1000, ($B$9:$B$1000=B29) * ($H$9:$H$1000="Topic"))), "")</f>
        <v/>
      </c>
      <c r="B29" s="45">
        <f t="shared" si="1"/>
        <v>3</v>
      </c>
      <c r="C29" s="95">
        <v>15</v>
      </c>
      <c r="D29" s="46">
        <v>4</v>
      </c>
      <c r="E29" s="58" t="s">
        <v>46</v>
      </c>
      <c r="F29" s="48">
        <v>21</v>
      </c>
      <c r="G29" s="49" t="s">
        <v>158</v>
      </c>
      <c r="H29" s="49" t="s">
        <v>48</v>
      </c>
      <c r="I29" s="50" t="s">
        <v>770</v>
      </c>
      <c r="J29" s="51" t="s">
        <v>771</v>
      </c>
      <c r="K29" s="129" t="str">
        <f t="shared" si="2"/>
        <v xml:space="preserve">[ROLE] Friendly tutor specializing in Dart Object-Oriented &amp; Advanced Patterns | [TOPIC] Constrain Mixins using the on keyword.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#21 | Stage 1 📖 Practice | Dart Object-Oriented &amp; Advanced Patterns | 📊 Level: Intermediate | 🌐 Coding5s.com
**Concept:** Mixin Constraints (on keyword)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9"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Constrain Mixins using the on keyword.. Topic details: Mixin Constraints (on keyword)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#21 | Practice | Dart Object-Oriented &amp; Advanced Patterns | 📊 Level: Intermediate
**Topic:** Constrain Mixins using the on keyword.
---
 | [FOOTER RULE - STRICT] End your response with: '--- ⚡ *Coding5s Mentor System — Eliminating Epistemic Debt*' | </v>
      </c>
      <c r="M29" s="53">
        <v>0</v>
      </c>
      <c r="N29" s="102" t="str">
        <f t="shared" si="4"/>
        <v>[ROLE] Careless Dart Object-Oriented &amp; Advanced Patterns Developer | [TASK] Generate debugging challenges in Dart Object-Oriented &amp; Advanced Patterns | | [TOPIC] Constrain Mixins using the on keyword.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#21 | Stage 2 🐛 Debug | Dart Object-Oriented &amp; Advanced Patterns | 📊 Level: Intermediate | 🌐 Coding5s.com
Concept: Mixin Constraints (on keyword)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9"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Constrain Mixins using the on keyword.. Topic details: Mixin Constraints (on keyword)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#21 | Debug | Dart Object-Oriented &amp; Advanced Patterns | 📊 Level: Intermediate
**Topic:** Constrain Mixins using the on keyword.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9" s="53">
        <v>0</v>
      </c>
      <c r="Q29" s="102" t="str">
        <f t="shared" si="6"/>
        <v>[ROLE] Tech Lead | [TASK] Assign incomplete Dart Object-Oriented &amp; Advanced Patterns script challenges | [TOPIC] Constrain Mixins using the on keyword.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#21 | Stage 3 🧩 Complete | Dart Object-Oriented &amp; Advanced Patterns | 📊 Level: Intermediate | 🌐 Coding5s.com
**Concept:** Mixin Constraints (on keyword)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Constrain Mixins using the on keyword..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9"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Constrain Mixins using the on keyword.. Topic details: Mixin Constraints (on keyword)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#21 | Complete | Dart Object-Oriented &amp; Advanced Patterns | 📊 Level: Intermediate
**Topic:** Constrain Mixins using the on keyword.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9" s="53">
        <v>0</v>
      </c>
      <c r="T29" s="102" t="str">
        <f t="shared" si="8"/>
        <v>[ROLE] Tech Lead | [TASK] Provide intentionally messy but functional code for learning debugging and improvement | [TOPIC] Constrain Mixins using the on keyword.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#21 | Stage 4 🧹 Refactor | Dart Object-Oriented &amp; Advanced Patterns | 📊 Level: Intermediate | 🌐 Coding5s.com
**Concept:** Mixin Constraints (on keyword)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Constrain Mixins using the on keyword.. Topic details: Mixin Constraints (on keyword)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#21 | Refactor | Dart Object-Oriented &amp; Advanced Patterns | 📊 Level: Intermediate
**Topic:** Constrain Mixins using the on keyword.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9" s="53">
        <v>0</v>
      </c>
      <c r="W29" s="87" t="str">
        <f t="shared" si="10"/>
        <v>[ROLE] Tech Product Manager assigning a Dart Object-Oriented &amp; Advanced Patterns Jira Ticket | [TASK] Provide a guided implementation exercise with full solution for learning purposes | [TOPIC] Constrain Mixins using the on keyword.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#21 | Stage 5 | Dart Object-Oriented &amp; Advanced Patterns | 📊 Level: Intermediate | 🌐 Coding5s.com
**Concept:** Mixin Constraints (on keyword)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Constrain Mixins using the on keyword.. Goal: Mixin Constraints (on keyword)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#21 | Extend | Dart Object-Oriented &amp; Advanced Patterns | 📊 Level: Intermediate
**Topic:** Constrain Mixins using the on keyword.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9" s="53">
        <v>0</v>
      </c>
      <c r="Z29" s="56" t="str">
        <f t="shared" si="12"/>
        <v/>
      </c>
      <c r="AA29" s="56" t="str">
        <f t="shared" si="13"/>
        <v/>
      </c>
      <c r="AB29" s="56" t="str">
        <f t="shared" si="14"/>
        <v/>
      </c>
      <c r="AC29" s="56" t="str">
        <f t="shared" si="15"/>
        <v/>
      </c>
      <c r="AD29" s="56" t="str">
        <f t="shared" si="16"/>
        <v/>
      </c>
      <c r="AE29" s="40" t="s">
        <v>149</v>
      </c>
      <c r="AF29" s="40" t="s">
        <v>150</v>
      </c>
      <c r="AG29" s="40" t="s">
        <v>151</v>
      </c>
      <c r="AH29" s="56" t="str">
        <f t="shared" si="0"/>
        <v/>
      </c>
      <c r="AI29" s="54"/>
      <c r="AJ29" s="54"/>
      <c r="AK29" s="54">
        <v>21</v>
      </c>
      <c r="AL29" s="54" t="s">
        <v>113</v>
      </c>
      <c r="AM29" s="54" t="s">
        <v>114</v>
      </c>
    </row>
    <row r="30" spans="1:39">
      <c r="A30" s="45" t="str" cm="1">
        <f t="array" ref="A30">IF(H30="PROJECT", CHAR(10) &amp; "- " &amp; _xlfn.TEXTJOIN(CHAR(10) &amp; "- ", TRUE, _xlfn._xlws.FILTER($I$9:$I$1000, ($B$9:$B$1000=B30) * ($H$9:$H$1000="Topic"))), "")</f>
        <v/>
      </c>
      <c r="B30" s="45">
        <f t="shared" si="1"/>
        <v>3</v>
      </c>
      <c r="C30" s="95">
        <v>15</v>
      </c>
      <c r="D30" s="57">
        <v>4</v>
      </c>
      <c r="E30" s="58" t="s">
        <v>46</v>
      </c>
      <c r="F30" s="59">
        <v>22</v>
      </c>
      <c r="G30" s="60" t="s">
        <v>158</v>
      </c>
      <c r="H30" s="60" t="s">
        <v>48</v>
      </c>
      <c r="I30" s="61" t="s">
        <v>772</v>
      </c>
      <c r="J30" s="62" t="s">
        <v>773</v>
      </c>
      <c r="K30" s="129" t="str">
        <f t="shared" si="2"/>
        <v xml:space="preserve">[ROLE] Friendly tutor specializing in Dart Object-Oriented &amp; Advanced Patterns | [TOPIC] Declare Mixin Classes using mixin class.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#22 | Stage 1 📖 Practice | Dart Object-Oriented &amp; Advanced Patterns | 📊 Level: Intermediate | 🌐 Coding5s.com
**Concept:** Mixin Classes (mixin class)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0"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Declare Mixin Classes using mixin class.. Topic details: Mixin Classes (mixin class)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#22 | Practice | Dart Object-Oriented &amp; Advanced Patterns | 📊 Level: Intermediate
**Topic:** Declare Mixin Classes using mixin class.
---
 | [FOOTER RULE - STRICT] End your response with: '--- ⚡ *Coding5s Mentor System — Eliminating Epistemic Debt*' | </v>
      </c>
      <c r="M30" s="52">
        <v>0</v>
      </c>
      <c r="N30" s="102" t="str">
        <f t="shared" si="4"/>
        <v>[ROLE] Careless Dart Object-Oriented &amp; Advanced Patterns Developer | [TASK] Generate debugging challenges in Dart Object-Oriented &amp; Advanced Patterns | | [TOPIC] Declare Mixin Classes using mixin class.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#22 | Stage 2 🐛 Debug | Dart Object-Oriented &amp; Advanced Patterns | 📊 Level: Intermediate | 🌐 Coding5s.com
Concept: Mixin Classes (mixin class)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0"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Declare Mixin Classes using mixin class.. Topic details: Mixin Classes (mixin class)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#22 | Debug | Dart Object-Oriented &amp; Advanced Patterns | 📊 Level: Intermediate
**Topic:** Declare Mixin Classes using mixin class.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0" s="52">
        <v>0</v>
      </c>
      <c r="Q30" s="102" t="str">
        <f t="shared" si="6"/>
        <v>[ROLE] Tech Lead | [TASK] Assign incomplete Dart Object-Oriented &amp; Advanced Patterns script challenges | [TOPIC] Declare Mixin Classes using mixin class.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#22 | Stage 3 🧩 Complete | Dart Object-Oriented &amp; Advanced Patterns | 📊 Level: Intermediate | 🌐 Coding5s.com
**Concept:** Mixin Classes (mixin class)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Declare Mixin Classes using mixin class..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0"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Declare Mixin Classes using mixin class.. Topic details: Mixin Classes (mixin class)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#22 | Complete | Dart Object-Oriented &amp; Advanced Patterns | 📊 Level: Intermediate
**Topic:** Declare Mixin Classes using mixin class.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0" s="52">
        <v>0</v>
      </c>
      <c r="T30" s="102" t="str">
        <f t="shared" si="8"/>
        <v>[ROLE] Tech Lead | [TASK] Provide intentionally messy but functional code for learning debugging and improvement | [TOPIC] Declare Mixin Classes using mixin class.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#22 | Stage 4 🧹 Refactor | Dart Object-Oriented &amp; Advanced Patterns | 📊 Level: Intermediate | 🌐 Coding5s.com
**Concept:** Mixin Classes (mixin class)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Declare Mixin Classes using mixin class.. Topic details: Mixin Classes (mixin class)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#22 | Refactor | Dart Object-Oriented &amp; Advanced Patterns | 📊 Level: Intermediate
**Topic:** Declare Mixin Classes using mixin class.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0" s="52">
        <v>0</v>
      </c>
      <c r="W30" s="87" t="str">
        <f t="shared" si="10"/>
        <v>[ROLE] Tech Product Manager assigning a Dart Object-Oriented &amp; Advanced Patterns Jira Ticket | [TASK] Provide a guided implementation exercise with full solution for learning purposes | [TOPIC] Declare Mixin Classes using mixin class.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#22 | Stage 5 | Dart Object-Oriented &amp; Advanced Patterns | 📊 Level: Intermediate | 🌐 Coding5s.com
**Concept:** Mixin Classes (mixin class)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Declare Mixin Classes using mixin class.. Goal: Mixin Classes (mixin class)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#22 | Extend | Dart Object-Oriented &amp; Advanced Patterns | 📊 Level: Intermediate
**Topic:** Declare Mixin Classes using mixin class.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0" s="52">
        <v>0</v>
      </c>
      <c r="Z30" s="56" t="str">
        <f t="shared" si="12"/>
        <v/>
      </c>
      <c r="AA30" s="56" t="str">
        <f t="shared" si="13"/>
        <v/>
      </c>
      <c r="AB30" s="56" t="str">
        <f t="shared" si="14"/>
        <v/>
      </c>
      <c r="AC30" s="56" t="str">
        <f t="shared" si="15"/>
        <v/>
      </c>
      <c r="AD30" s="56" t="str">
        <f t="shared" si="16"/>
        <v/>
      </c>
      <c r="AE30" s="40" t="s">
        <v>152</v>
      </c>
      <c r="AF30" s="40" t="s">
        <v>153</v>
      </c>
      <c r="AG30" s="40" t="s">
        <v>154</v>
      </c>
      <c r="AH30" s="56" t="str">
        <f t="shared" si="0"/>
        <v/>
      </c>
      <c r="AI30" s="54"/>
      <c r="AJ30" s="54"/>
      <c r="AK30" s="54">
        <v>22</v>
      </c>
      <c r="AL30" s="54" t="s">
        <v>118</v>
      </c>
      <c r="AM30" s="54" t="s">
        <v>119</v>
      </c>
    </row>
    <row r="31" spans="1:39">
      <c r="A31" s="45" t="str" cm="1">
        <f t="array" ref="A31">IF(H31="PROJECT", CHAR(10) &amp; "- " &amp; _xlfn.TEXTJOIN(CHAR(10) &amp; "- ", TRUE, _xlfn._xlws.FILTER($I$9:$I$1000, ($B$9:$B$1000=B31) * ($H$9:$H$1000="Topic"))), "")</f>
        <v/>
      </c>
      <c r="B31" s="45">
        <f t="shared" si="1"/>
        <v>3</v>
      </c>
      <c r="C31" s="95">
        <v>12</v>
      </c>
      <c r="D31" s="46">
        <v>3</v>
      </c>
      <c r="E31" s="58" t="s">
        <v>46</v>
      </c>
      <c r="F31" s="48">
        <v>23</v>
      </c>
      <c r="G31" s="49" t="s">
        <v>158</v>
      </c>
      <c r="H31" s="49" t="s">
        <v>48</v>
      </c>
      <c r="I31" s="50" t="s">
        <v>774</v>
      </c>
      <c r="J31" s="51" t="s">
        <v>775</v>
      </c>
      <c r="K31" s="129" t="str">
        <f t="shared" si="2"/>
        <v xml:space="preserve">[ROLE] Friendly tutor specializing in Dart Object-Oriented &amp; Advanced Patterns | [TOPIC] Declare Enhanced Enums using enum and const fields. | [LEVEL] Intermediate | [COUNT] 3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#23 | Stage 1 📖 Practice | Dart Object-Oriented &amp; Advanced Patterns | 📊 Level: Intermediate | 🌐 Coding5s.com
**Concept:** Enhanced Enum Declaration (enum, const fields)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1"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Declare Enhanced Enums using enum and const fields.. Topic details: Enhanced Enum Declaration (enum, const fields)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#23 | Practice | Dart Object-Oriented &amp; Advanced Patterns | 📊 Level: Intermediate
**Topic:** Declare Enhanced Enums using enum and const fields.
---
 | [FOOTER RULE - STRICT] End your response with: '--- ⚡ *Coding5s Mentor System — Eliminating Epistemic Debt*' | </v>
      </c>
      <c r="M31" s="53">
        <v>0</v>
      </c>
      <c r="N31" s="102" t="str">
        <f t="shared" si="4"/>
        <v>[ROLE] Careless Dart Object-Oriented &amp; Advanced Patterns Developer | [TASK] Generate debugging challenges in Dart Object-Oriented &amp; Advanced Patterns | | [TOPIC] Declare Enhanced Enums using enum and const fields. | | [LEVEL] Intermediate | | [COUNT] 3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#23 | Stage 2 🐛 Debug | Dart Object-Oriented &amp; Advanced Patterns | 📊 Level: Intermediate | 🌐 Coding5s.com
Concept: Enhanced Enum Declaration (enum, const fields)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1"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Declare Enhanced Enums using enum and const fields.. Topic details: Enhanced Enum Declaration (enum, const fields)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#23 | Debug | Dart Object-Oriented &amp; Advanced Patterns | 📊 Level: Intermediate
**Topic:** Declare Enhanced Enums using enum and const fields.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1" s="53">
        <v>0</v>
      </c>
      <c r="Q31" s="102" t="str">
        <f t="shared" si="6"/>
        <v>[ROLE] Tech Lead | [TASK] Assign incomplete Dart Object-Oriented &amp; Advanced Patterns script challenges | [TOPIC] Declare Enhanced Enums using enum and const fields. | [LEVEL] Intermediate | [COUNT] 3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#23 | Stage 3 🧩 Complete | Dart Object-Oriented &amp; Advanced Patterns | 📊 Level: Intermediate | 🌐 Coding5s.com
**Concept:** Enhanced Enum Declaration (enum, const fields)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Declare Enhanced Enums using enum and const fields..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1"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Declare Enhanced Enums using enum and const fields.. Topic details: Enhanced Enum Declaration (enum, const fields)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#23 | Complete | Dart Object-Oriented &amp; Advanced Patterns | 📊 Level: Intermediate
**Topic:** Declare Enhanced Enums using enum and const fields.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1" s="53">
        <v>0</v>
      </c>
      <c r="T31" s="102" t="str">
        <f t="shared" si="8"/>
        <v>[ROLE] Tech Lead | [TASK] Provide intentionally messy but functional code for learning debugging and improvement | [TOPIC] Declare Enhanced Enums using enum and const fields. | [LEVEL] Intermediate | [COUNT] 3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#23 | Stage 4 🧹 Refactor | Dart Object-Oriented &amp; Advanced Patterns | 📊 Level: Intermediate | 🌐 Coding5s.com
**Concept:** Enhanced Enum Declaration (enum, const fields)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Declare Enhanced Enums using enum and const fields.. Topic details: Enhanced Enum Declaration (enum, const fields)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#23 | Refactor | Dart Object-Oriented &amp; Advanced Patterns | 📊 Level: Intermediate
**Topic:** Declare Enhanced Enums using enum and const fields.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1" s="53">
        <v>0</v>
      </c>
      <c r="W31" s="87" t="str">
        <f t="shared" si="10"/>
        <v>[ROLE] Tech Product Manager assigning a Dart Object-Oriented &amp; Advanced Patterns Jira Ticket | [TASK] Provide a guided implementation exercise with full solution for learning purposes | [TOPIC] Declare Enhanced Enums using enum and const fields.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#23 | Stage 5 | Dart Object-Oriented &amp; Advanced Patterns | 📊 Level: Intermediate | 🌐 Coding5s.com
**Concept:** Enhanced Enum Declaration (enum, const fields)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Declare Enhanced Enums using enum and const fields.. Goal: Enhanced Enum Declaration (enum, const fields)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#23 | Extend | Dart Object-Oriented &amp; Advanced Patterns | 📊 Level: Intermediate
**Topic:** Declare Enhanced Enums using enum and const fields.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1" s="53">
        <v>0</v>
      </c>
      <c r="Z31" s="56" t="str">
        <f t="shared" si="12"/>
        <v/>
      </c>
      <c r="AA31" s="56" t="str">
        <f t="shared" si="13"/>
        <v/>
      </c>
      <c r="AB31" s="56" t="str">
        <f t="shared" si="14"/>
        <v/>
      </c>
      <c r="AC31" s="56" t="str">
        <f t="shared" si="15"/>
        <v/>
      </c>
      <c r="AD31" s="56" t="str">
        <f t="shared" si="16"/>
        <v/>
      </c>
      <c r="AE31" s="40" t="s">
        <v>155</v>
      </c>
      <c r="AF31" s="40" t="s">
        <v>156</v>
      </c>
      <c r="AG31" s="40" t="s">
        <v>157</v>
      </c>
      <c r="AH31" s="56" t="str">
        <f t="shared" si="0"/>
        <v/>
      </c>
      <c r="AI31" s="54"/>
      <c r="AJ31" s="54"/>
      <c r="AK31" s="54">
        <v>23</v>
      </c>
      <c r="AL31" s="54" t="s">
        <v>123</v>
      </c>
      <c r="AM31" s="54" t="s">
        <v>124</v>
      </c>
    </row>
    <row r="32" spans="1:39">
      <c r="A32" s="45" t="str" cm="1">
        <f t="array" ref="A32">IF(H32="PROJECT", CHAR(10) &amp; "- " &amp; _xlfn.TEXTJOIN(CHAR(10) &amp; "- ", TRUE, _xlfn._xlws.FILTER($I$9:$I$1000, ($B$9:$B$1000=B32) * ($H$9:$H$1000="Topic"))), "")</f>
        <v/>
      </c>
      <c r="B32" s="45">
        <f t="shared" si="1"/>
        <v>3</v>
      </c>
      <c r="C32" s="95">
        <v>15</v>
      </c>
      <c r="D32" s="57">
        <v>4</v>
      </c>
      <c r="E32" s="58" t="s">
        <v>46</v>
      </c>
      <c r="F32" s="59">
        <v>24</v>
      </c>
      <c r="G32" s="60" t="s">
        <v>158</v>
      </c>
      <c r="H32" s="60" t="s">
        <v>48</v>
      </c>
      <c r="I32" s="61" t="s">
        <v>776</v>
      </c>
      <c r="J32" s="62" t="s">
        <v>777</v>
      </c>
      <c r="K32" s="129" t="str">
        <f t="shared" si="2"/>
        <v xml:space="preserve">[ROLE] Friendly tutor specializing in Dart Object-Oriented &amp; Advanced Patterns | [TOPIC] Enhance Enums with Methods and Interfaces using enum.values, enum.name, and implements.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#24 | Stage 1 📖 Practice | Dart Object-Oriented &amp; Advanced Patterns | 📊 Level: Intermediate | 🌐 Coding5s.com
**Concept:** Enum Methods &amp; Interfaces (enum.values, enum.name, implements)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2"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Enhance Enums with Methods and Interfaces using enum.values, enum.name, and implements.. Topic details: Enum Methods &amp; Interfaces (enum.values, enum.name, implements)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#24 | Practice | Dart Object-Oriented &amp; Advanced Patterns | 📊 Level: Intermediate
**Topic:** Enhance Enums with Methods and Interfaces using enum.values, enum.name, and implements.
---
 | [FOOTER RULE - STRICT] End your response with: '--- ⚡ *Coding5s Mentor System — Eliminating Epistemic Debt*' | </v>
      </c>
      <c r="M32" s="52">
        <v>0</v>
      </c>
      <c r="N32" s="102" t="str">
        <f t="shared" si="4"/>
        <v>[ROLE] Careless Dart Object-Oriented &amp; Advanced Patterns Developer | [TASK] Generate debugging challenges in Dart Object-Oriented &amp; Advanced Patterns | | [TOPIC] Enhance Enums with Methods and Interfaces using enum.values, enum.name, and implements.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#24 | Stage 2 🐛 Debug | Dart Object-Oriented &amp; Advanced Patterns | 📊 Level: Intermediate | 🌐 Coding5s.com
Concept: Enum Methods &amp; Interfaces (enum.values, enum.name, implements)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2"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Enhance Enums with Methods and Interfaces using enum.values, enum.name, and implements.. Topic details: Enum Methods &amp; Interfaces (enum.values, enum.name, implements)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#24 | Debug | Dart Object-Oriented &amp; Advanced Patterns | 📊 Level: Intermediate
**Topic:** Enhance Enums with Methods and Interfaces using enum.values, enum.name, and implements.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2" s="52">
        <v>0</v>
      </c>
      <c r="Q32" s="102" t="str">
        <f t="shared" si="6"/>
        <v>[ROLE] Tech Lead | [TASK] Assign incomplete Dart Object-Oriented &amp; Advanced Patterns script challenges | [TOPIC] Enhance Enums with Methods and Interfaces using enum.values, enum.name, and implements.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#24 | Stage 3 🧩 Complete | Dart Object-Oriented &amp; Advanced Patterns | 📊 Level: Intermediate | 🌐 Coding5s.com
**Concept:** Enum Methods &amp; Interfaces (enum.values, enum.name, implements)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Enhance Enums with Methods and Interfaces using enum.values, enum.name, and implements..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2"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Enhance Enums with Methods and Interfaces using enum.values, enum.name, and implements.. Topic details: Enum Methods &amp; Interfaces (enum.values, enum.name, implements)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#24 | Complete | Dart Object-Oriented &amp; Advanced Patterns | 📊 Level: Intermediate
**Topic:** Enhance Enums with Methods and Interfaces using enum.values, enum.name, and implements.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2" s="52">
        <v>0</v>
      </c>
      <c r="T32" s="102" t="str">
        <f t="shared" si="8"/>
        <v>[ROLE] Tech Lead | [TASK] Provide intentionally messy but functional code for learning debugging and improvement | [TOPIC] Enhance Enums with Methods and Interfaces using enum.values, enum.name, and implements.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#24 | Stage 4 🧹 Refactor | Dart Object-Oriented &amp; Advanced Patterns | 📊 Level: Intermediate | 🌐 Coding5s.com
**Concept:** Enum Methods &amp; Interfaces (enum.values, enum.name, implements)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Enhance Enums with Methods and Interfaces using enum.values, enum.name, and implements.. Topic details: Enum Methods &amp; Interfaces (enum.values, enum.name, implements)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#24 | Refactor | Dart Object-Oriented &amp; Advanced Patterns | 📊 Level: Intermediate
**Topic:** Enhance Enums with Methods and Interfaces using enum.values, enum.name, and implements.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2" s="52">
        <v>0</v>
      </c>
      <c r="W32" s="87" t="str">
        <f t="shared" si="10"/>
        <v>[ROLE] Tech Product Manager assigning a Dart Object-Oriented &amp; Advanced Patterns Jira Ticket | [TASK] Provide a guided implementation exercise with full solution for learning purposes | [TOPIC] Enhance Enums with Methods and Interfaces using enum.values, enum.name, and implements.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#24 | Stage 5 | Dart Object-Oriented &amp; Advanced Patterns | 📊 Level: Intermediate | 🌐 Coding5s.com
**Concept:** Enum Methods &amp; Interfaces (enum.values, enum.name, implements)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Enhance Enums with Methods and Interfaces using enum.values, enum.name, and implements.. Goal: Enum Methods &amp; Interfaces (enum.values, enum.name, implements)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#24 | Extend | Dart Object-Oriented &amp; Advanced Patterns | 📊 Level: Intermediate
**Topic:** Enhance Enums with Methods and Interfaces using enum.values, enum.name, and implements.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2" s="52">
        <v>0</v>
      </c>
      <c r="Z32" s="56" t="str">
        <f t="shared" si="12"/>
        <v/>
      </c>
      <c r="AA32" s="56" t="str">
        <f t="shared" si="13"/>
        <v/>
      </c>
      <c r="AB32" s="56" t="str">
        <f t="shared" si="14"/>
        <v/>
      </c>
      <c r="AC32" s="56" t="str">
        <f t="shared" si="15"/>
        <v/>
      </c>
      <c r="AD32" s="56" t="str">
        <f t="shared" si="16"/>
        <v/>
      </c>
      <c r="AE32" s="40"/>
      <c r="AF32" s="40"/>
      <c r="AG32" s="40"/>
      <c r="AH32" s="56" t="str">
        <f t="shared" si="0"/>
        <v/>
      </c>
      <c r="AI32" s="54"/>
      <c r="AJ32" s="54"/>
      <c r="AK32" s="54">
        <v>24</v>
      </c>
      <c r="AL32" s="54" t="s">
        <v>128</v>
      </c>
      <c r="AM32" s="54" t="s">
        <v>129</v>
      </c>
    </row>
    <row r="33" spans="1:39">
      <c r="A33" s="45" t="str" cm="1">
        <f t="array" ref="A33">IF(H33="PROJECT", CHAR(10) &amp; "- " &amp; _xlfn.TEXTJOIN(CHAR(10) &amp; "- ", TRUE, _xlfn._xlws.FILTER($I$9:$I$1000, ($B$9:$B$1000=B33) * ($H$9:$H$1000="Topic"))), "")</f>
        <v/>
      </c>
      <c r="B33" s="45">
        <f t="shared" si="1"/>
        <v>3</v>
      </c>
      <c r="C33" s="95">
        <v>18</v>
      </c>
      <c r="D33" s="46">
        <v>4</v>
      </c>
      <c r="E33" s="58" t="s">
        <v>46</v>
      </c>
      <c r="F33" s="48">
        <v>25</v>
      </c>
      <c r="G33" s="49" t="s">
        <v>158</v>
      </c>
      <c r="H33" s="49" t="s">
        <v>48</v>
      </c>
      <c r="I33" s="50" t="s">
        <v>778</v>
      </c>
      <c r="J33" s="51" t="s">
        <v>779</v>
      </c>
      <c r="K33" s="129" t="str">
        <f t="shared" si="2"/>
        <v xml:space="preserve">[ROLE] Friendly tutor specializing in Dart Object-Oriented &amp; Advanced Patterns | [TOPIC] Implement Factory Constructors using factory and returning cached instances.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#25 | Stage 1 📖 Practice | Dart Object-Oriented &amp; Advanced Patterns | 📊 Level: Intermediate | 🌐 Coding5s.com
**Concept:** Factory Constructors (factory, returning cached instances)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3"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Factory Constructors using factory and returning cached instances.. Topic details: Factory Constructors (factory, returning cached instances)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#25 | Practice | Dart Object-Oriented &amp; Advanced Patterns | 📊 Level: Intermediate
**Topic:** Implement Factory Constructors using factory and returning cached instances.
---
 | [FOOTER RULE - STRICT] End your response with: '--- ⚡ *Coding5s Mentor System — Eliminating Epistemic Debt*' | </v>
      </c>
      <c r="M33" s="53">
        <v>0</v>
      </c>
      <c r="N33" s="102" t="str">
        <f t="shared" si="4"/>
        <v>[ROLE] Careless Dart Object-Oriented &amp; Advanced Patterns Developer | [TASK] Generate debugging challenges in Dart Object-Oriented &amp; Advanced Patterns | | [TOPIC] Implement Factory Constructors using factory and returning cached instances.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#25 | Stage 2 🐛 Debug | Dart Object-Oriented &amp; Advanced Patterns | 📊 Level: Intermediate | 🌐 Coding5s.com
Concept: Factory Constructors (factory, returning cached instances)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3"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Factory Constructors using factory and returning cached instances.. Topic details: Factory Constructors (factory, returning cached instances)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#25 | Debug | Dart Object-Oriented &amp; Advanced Patterns | 📊 Level: Intermediate
**Topic:** Implement Factory Constructors using factory and returning cached instances.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3" s="53">
        <v>0</v>
      </c>
      <c r="Q33" s="102" t="str">
        <f t="shared" si="6"/>
        <v>[ROLE] Tech Lead | [TASK] Assign incomplete Dart Object-Oriented &amp; Advanced Patterns script challenges | [TOPIC] Implement Factory Constructors using factory and returning cached instances.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#25 | Stage 3 🧩 Complete | Dart Object-Oriented &amp; Advanced Patterns | 📊 Level: Intermediate | 🌐 Coding5s.com
**Concept:** Factory Constructors (factory, returning cached instances)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Factory Constructors using factory and returning cached instances..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3"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Factory Constructors using factory and returning cached instances.. Topic details: Factory Constructors (factory, returning cached instances)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#25 | Complete | Dart Object-Oriented &amp; Advanced Patterns | 📊 Level: Intermediate
**Topic:** Implement Factory Constructors using factory and returning cached instances.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3" s="53">
        <v>0</v>
      </c>
      <c r="T33" s="102" t="str">
        <f t="shared" si="8"/>
        <v>[ROLE] Tech Lead | [TASK] Provide intentionally messy but functional code for learning debugging and improvement | [TOPIC] Implement Factory Constructors using factory and returning cached instances.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#25 | Stage 4 🧹 Refactor | Dart Object-Oriented &amp; Advanced Patterns | 📊 Level: Intermediate | 🌐 Coding5s.com
**Concept:** Factory Constructors (factory, returning cached instances)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Implement Factory Constructors using factory and returning cached instances.. Topic details: Factory Constructors (factory, returning cached instances)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#25 | Refactor | Dart Object-Oriented &amp; Advanced Patterns | 📊 Level: Intermediate
**Topic:** Implement Factory Constructors using factory and returning cached instances.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3" s="53">
        <v>0</v>
      </c>
      <c r="W33" s="87" t="str">
        <f t="shared" si="10"/>
        <v>[ROLE] Tech Product Manager assigning a Dart Object-Oriented &amp; Advanced Patterns Jira Ticket | [TASK] Provide a guided implementation exercise with full solution for learning purposes | [TOPIC] Implement Factory Constructors using factory and returning cached instances.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#25 | Stage 5 | Dart Object-Oriented &amp; Advanced Patterns | 📊 Level: Intermediate | 🌐 Coding5s.com
**Concept:** Factory Constructors (factory, returning cached instances)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Factory Constructors using factory and returning cached instances.. Goal: Factory Constructors (factory, returning cached instances)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#25 | Extend | Dart Object-Oriented &amp; Advanced Patterns | 📊 Level: Intermediate
**Topic:** Implement Factory Constructors using factory and returning cached instances.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3" s="53">
        <v>0</v>
      </c>
      <c r="Z33" s="56" t="str">
        <f t="shared" si="12"/>
        <v/>
      </c>
      <c r="AA33" s="56" t="str">
        <f t="shared" si="13"/>
        <v/>
      </c>
      <c r="AB33" s="56" t="str">
        <f t="shared" si="14"/>
        <v/>
      </c>
      <c r="AC33" s="56" t="str">
        <f t="shared" si="15"/>
        <v/>
      </c>
      <c r="AD33" s="56" t="str">
        <f t="shared" si="16"/>
        <v/>
      </c>
      <c r="AE33" s="40"/>
      <c r="AF33" s="40"/>
      <c r="AG33" s="40"/>
      <c r="AH33" s="56" t="str">
        <f t="shared" si="0"/>
        <v/>
      </c>
      <c r="AI33" s="54"/>
      <c r="AJ33" s="54"/>
      <c r="AK33" s="54">
        <v>25</v>
      </c>
      <c r="AL33" s="54" t="s">
        <v>133</v>
      </c>
      <c r="AM33" s="54" t="s">
        <v>134</v>
      </c>
    </row>
    <row r="34" spans="1:39">
      <c r="A34" s="45" t="str" cm="1">
        <f t="array" ref="A34">IF(H34="PROJECT", CHAR(10) &amp; "- " &amp; _xlfn.TEXTJOIN(CHAR(10) &amp; "- ", TRUE, _xlfn._xlws.FILTER($I$9:$I$1000, ($B$9:$B$1000=B34) * ($H$9:$H$1000="Topic"))), "")</f>
        <v/>
      </c>
      <c r="B34" s="45">
        <f t="shared" si="1"/>
        <v>3</v>
      </c>
      <c r="C34" s="95">
        <v>18</v>
      </c>
      <c r="D34" s="57">
        <v>4</v>
      </c>
      <c r="E34" s="58" t="s">
        <v>46</v>
      </c>
      <c r="F34" s="59">
        <v>26</v>
      </c>
      <c r="G34" s="60" t="s">
        <v>158</v>
      </c>
      <c r="H34" s="60" t="s">
        <v>48</v>
      </c>
      <c r="I34" s="61" t="s">
        <v>780</v>
      </c>
      <c r="J34" s="62" t="s">
        <v>781</v>
      </c>
      <c r="K34" s="129" t="str">
        <f t="shared" si="2"/>
        <v xml:space="preserve">[ROLE] Friendly tutor specializing in Dart Object-Oriented &amp; Advanced Patterns | [TOPIC] Create Private Internal Constructors using Class._internal() for singletons.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#26 | Stage 1 📖 Practice | Dart Object-Oriented &amp; Advanced Patterns | 📊 Level: Intermediate | 🌐 Coding5s.com
**Concept:** Private Internal Constructors (Class._internal(), singletons)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4"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Private Internal Constructors using Class._internal() for singletons.. Topic details: Private Internal Constructors (Class._internal(), singletons)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#26 | Practice | Dart Object-Oriented &amp; Advanced Patterns | 📊 Level: Intermediate
**Topic:** Create Private Internal Constructors using Class._internal() for singletons.
---
 | [FOOTER RULE - STRICT] End your response with: '--- ⚡ *Coding5s Mentor System — Eliminating Epistemic Debt*' | </v>
      </c>
      <c r="M34" s="52">
        <v>0</v>
      </c>
      <c r="N34" s="102" t="str">
        <f t="shared" si="4"/>
        <v>[ROLE] Careless Dart Object-Oriented &amp; Advanced Patterns Developer | [TASK] Generate debugging challenges in Dart Object-Oriented &amp; Advanced Patterns | | [TOPIC] Create Private Internal Constructors using Class._internal() for singletons.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#26 | Stage 2 🐛 Debug | Dart Object-Oriented &amp; Advanced Patterns | 📊 Level: Intermediate | 🌐 Coding5s.com
Concept: Private Internal Constructors (Class._internal(), singletons)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4"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Private Internal Constructors using Class._internal() for singletons.. Topic details: Private Internal Constructors (Class._internal(), singletons)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#26 | Debug | Dart Object-Oriented &amp; Advanced Patterns | 📊 Level: Intermediate
**Topic:** Create Private Internal Constructors using Class._internal() for singletons.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4" s="52">
        <v>0</v>
      </c>
      <c r="Q34" s="102" t="str">
        <f t="shared" si="6"/>
        <v>[ROLE] Tech Lead | [TASK] Assign incomplete Dart Object-Oriented &amp; Advanced Patterns script challenges | [TOPIC] Create Private Internal Constructors using Class._internal() for singletons.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#26 | Stage 3 🧩 Complete | Dart Object-Oriented &amp; Advanced Patterns | 📊 Level: Intermediate | 🌐 Coding5s.com
**Concept:** Private Internal Constructors (Class._internal(), singletons)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Private Internal Constructors using Class._internal() for singletons..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4"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Private Internal Constructors using Class._internal() for singletons.. Topic details: Private Internal Constructors (Class._internal(), singletons)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#26 | Complete | Dart Object-Oriented &amp; Advanced Patterns | 📊 Level: Intermediate
**Topic:** Create Private Internal Constructors using Class._internal() for singletons.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4" s="52">
        <v>0</v>
      </c>
      <c r="T34" s="102" t="str">
        <f t="shared" si="8"/>
        <v>[ROLE] Tech Lead | [TASK] Provide intentionally messy but functional code for learning debugging and improvement | [TOPIC] Create Private Internal Constructors using Class._internal() for singletons.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#26 | Stage 4 🧹 Refactor | Dart Object-Oriented &amp; Advanced Patterns | 📊 Level: Intermediate | 🌐 Coding5s.com
**Concept:** Private Internal Constructors (Class._internal(), singletons)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Create Private Internal Constructors using Class._internal() for singletons.. Topic details: Private Internal Constructors (Class._internal(), singletons)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#26 | Refactor | Dart Object-Oriented &amp; Advanced Patterns | 📊 Level: Intermediate
**Topic:** Create Private Internal Constructors using Class._internal() for singletons.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4" s="52">
        <v>0</v>
      </c>
      <c r="W34" s="87" t="str">
        <f t="shared" si="10"/>
        <v>[ROLE] Tech Product Manager assigning a Dart Object-Oriented &amp; Advanced Patterns Jira Ticket | [TASK] Provide a guided implementation exercise with full solution for learning purposes | [TOPIC] Create Private Internal Constructors using Class._internal() for singletons.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#26 | Stage 5 | Dart Object-Oriented &amp; Advanced Patterns | 📊 Level: Intermediate | 🌐 Coding5s.com
**Concept:** Private Internal Constructors (Class._internal(), singletons)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Private Internal Constructors using Class._internal() for singletons.. Goal: Private Internal Constructors (Class._internal(), singletons)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#26 | Extend | Dart Object-Oriented &amp; Advanced Patterns | 📊 Level: Intermediate
**Topic:** Create Private Internal Constructors using Class._internal() for singletons.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4" s="52">
        <v>0</v>
      </c>
      <c r="Z34" s="56" t="str">
        <f t="shared" si="12"/>
        <v/>
      </c>
      <c r="AA34" s="56" t="str">
        <f t="shared" si="13"/>
        <v/>
      </c>
      <c r="AB34" s="56" t="str">
        <f t="shared" si="14"/>
        <v/>
      </c>
      <c r="AC34" s="56" t="str">
        <f t="shared" si="15"/>
        <v/>
      </c>
      <c r="AD34" s="56" t="str">
        <f t="shared" si="16"/>
        <v/>
      </c>
      <c r="AE34" s="40"/>
      <c r="AF34" s="40"/>
      <c r="AG34" s="40"/>
      <c r="AH34" s="56" t="str">
        <f t="shared" si="0"/>
        <v/>
      </c>
      <c r="AI34" s="54"/>
      <c r="AJ34" s="54"/>
      <c r="AK34" s="54">
        <v>26</v>
      </c>
      <c r="AL34" s="54" t="s">
        <v>138</v>
      </c>
      <c r="AM34" s="54" t="s">
        <v>139</v>
      </c>
    </row>
    <row r="35" spans="1:39">
      <c r="A35" s="45" t="str" cm="1">
        <f t="array" ref="A35">IF(H35="PROJECT", CHAR(10) &amp; "- " &amp; _xlfn.TEXTJOIN(CHAR(10) &amp; "- ", TRUE, _xlfn._xlws.FILTER($I$9:$I$1000, ($B$9:$B$1000=B35) * ($H$9:$H$1000="Topic"))), "")</f>
        <v xml:space="preserve">
- Implement Implicit Interfaces using implements and multiple interface contracts.
- Apply Mixins using mixin and with.
- Constrain Mixins using the on keyword.
- Declare Mixin Classes using mixin class.
- Declare Enhanced Enums using enum and const fields.
- Enhance Enums with Methods and Interfaces using enum.values, enum.name, and implements.
- Implement Factory Constructors using factory and returning cached instances.
- Create Private Internal Constructors using Class._internal() for singletons.</v>
      </c>
      <c r="B35" s="45">
        <f t="shared" si="1"/>
        <v>3</v>
      </c>
      <c r="C35" s="95">
        <v>30</v>
      </c>
      <c r="D35" s="46">
        <v>0</v>
      </c>
      <c r="E35" s="58" t="s">
        <v>46</v>
      </c>
      <c r="F35" s="48">
        <v>27</v>
      </c>
      <c r="G35" s="49" t="s">
        <v>158</v>
      </c>
      <c r="H35" s="49" t="s">
        <v>77</v>
      </c>
      <c r="I35" s="50" t="s">
        <v>782</v>
      </c>
      <c r="J35" s="51" t="s">
        <v>783</v>
      </c>
      <c r="K35" s="129" t="str">
        <f t="shared" si="2"/>
        <v>[TASK] Teach through a practical Dart Object-Oriented &amp; Advanced Patterns -  project following the micro-learning methodology, acting as a supportive tutor, creating a project about  Construct a flexible composition system consolidating Implicit Interfaces, Mixin Application, Mixin Constraints, Mixin Classes, Enhanced Enum Declaration, Enum Methods and Interfaces, Factory Constructors, and Private Internal Constructors. | [TOPICS USED] 
- Implement Implicit Interfaces using implements and multiple interface contracts.
- Apply Mixins using mixin and with.
- Constrain Mixins using the on keyword.
- Declare Mixin Classes using mixin class.
- Declare Enhanced Enums using enum and const fields.
- Enhance Enums with Methods and Interfaces using enum.values, enum.name, and implements.
- Implement Factory Constructors using factory and returning cached instances.
- Create Private Internal Constructors using Class._internal() for singletons.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classes, constructors, OOP patterns,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class purposes, parameters, return types, and exceptions. 3. CRITICAL: NO comment or docstring line may exceed 80 characters (Effective Dart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#27 | Stage 1 | Dart Object-Oriented &amp; Advanced Patterns | 📊 Level: Intermediate | 🌐 Coding5s.com
**Project:** Composition System with Interfaces Mixins Enums and Factories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5"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Construct a flexible composition system consolidating Implicit Interfaces, Mixin Application, Mixin Constraints, Mixin Classes, Enhanced Enum Declaration, Enum Methods and Interfaces, Factory Constructors, and Private Internal Constructors.. Topics applied in this project: 
- Implement Implicit Interfaces using implements and multiple interface contracts.
- Apply Mixins using mixin and with.
- Constrain Mixins using the on keyword.
- Declare Mixin Classes using mixin class.
- Declare Enhanced Enums using enum and const fields.
- Enhance Enums with Methods and Interfaces using enum.values, enum.name, and implements.
- Implement Factory Constructors using factory and returning cached instances.
- Create Private Internal Constructors using Class._internal() for singletons.. Project objective: Composition System with Interfaces Mixins Enums and Factories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#27 | Practice | Dart Object-Oriented &amp; Advanced Patterns | 📊 Level: Intermediate
**Project:** Construct a flexible composition system consolidating Implicit Interfaces, Mixin Application, Mixin Constraints, Mixin Classes, Enhanced Enum Declaration, Enum Methods and Interfaces, Factory Constructors, and Private Internal Constructors.
---
 | [FOOTER RULE - STRICT] End your response with: '--- ⚡ *Coding5s Mentor System — Eliminating Epistemic Debt*' | </v>
      </c>
      <c r="M35" s="53">
        <v>0</v>
      </c>
      <c r="N35" s="102" t="str">
        <f t="shared" si="4"/>
        <v>[ROLE] Careless Dart Object-Oriented &amp; Advanced Patterns Developer | [TASK] Generate debugging project in Dart Object-Oriented &amp; Advanced Patterns | [PROJECT] Construct a flexible composition system consolidating Implicit Interfaces, Mixin Application, Mixin Constraints, Mixin Classes, Enhanced Enum Declaration, Enum Methods and Interfaces, Factory Constructors, and Private Internal Constructors. | [TOPICS USED] 
- Implement Implicit Interfaces using implements and multiple interface contracts.
- Apply Mixins using mixin and with.
- Constrain Mixins using the on keyword.
- Declare Mixin Classes using mixin class.
- Declare Enhanced Enums using enum and const fields.
- Enhance Enums with Methods and Interfaces using enum.values, enum.name, and implements.
- Implement Factory Constructors using factory and returning cached instances.
- Create Private Internal Constructors using Class._internal() for singletons. | [LEVEL] Intermediate | [OUTPUT] Only header, dataset summary or statement (if any), email intro, objective, expected output, broken code, and footer | [HEADER RULE - STRICT] You MUST start your entire response EXACTLY with this markdown block (do not print anything before it):
### 🚀 Project #27 | Stage 2 | Dart Object-Oriented &amp; Advanced Patterns | 📊 Level: Intermediate | 🌐 Coding5s.com
Project: Composition System with Interfaces Mixins Enums and Factories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Dart OOP script. The project MUST contain EXACTLY 2-5 bugs mixing Syntax errors, Null-safety errors, OOP/Encapsulation logic errors, and Runtime Exceptions. 1. Syntax &amp; Type Errors (e.g., missing semicolons/brackets, type mismatches, constructor syntax errors, unhandled null access violating strict null safety), 2. Logic Errors (e.g., incorrect calculations, faulty comparison operators, improper encapsulation/getters, wrong return values), AND 3. Runtime Exceptions (e.g., StateError, RangeError, FormatException, NoSuchMethodError due to bad casting).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Object-Oriented &amp; Advanced Patterns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5"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Construct a flexible composition system consolidating Implicit Interfaces, Mixin Application, Mixin Constraints, Mixin Classes, Enhanced Enum Declaration, Enum Methods and Interfaces, Factory Constructors, and Private Internal Constructors.. Topics involved: 
- Implement Implicit Interfaces using implements and multiple interface contracts.
- Apply Mixins using mixin and with.
- Constrain Mixins using the on keyword.
- Declare Mixin Classes using mixin class.
- Declare Enhanced Enums using enum and const fields.
- Enhance Enums with Methods and Interfaces using enum.values, enum.name, and implements.
- Implement Factory Constructors using factory and returning cached instances.
- Create Private Internal Constructors using Class._internal() for singletons.. Project objective: Composition System with Interfaces Mixins Enums and Factories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#27 | Debug | Dart Object-Oriented &amp; Advanced Patterns | 📊 Level: Intermediate
**Project:** Construct a flexible composition system consolidating Implicit Interfaces, Mixin Application, Mixin Constraints, Mixin Classes, Enhanced Enum Declaration, Enum Methods and Interfaces, Factory Constructors, and Private Internal Constructors.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5" s="53">
        <v>0</v>
      </c>
      <c r="Q35" s="102" t="str">
        <f t="shared" si="6"/>
        <v>[ROLE] Tech Lead | [TASK] Assign incomplete project script | [PROJECT] Construct a flexible composition system consolidating Implicit Interfaces, Mixin Application, Mixin Constraints, Mixin Classes, Enhanced Enum Declaration, Enum Methods and Interfaces, Factory Constructors, and Private Internal Constructors. | [TOPICS USED] 
- Implement Implicit Interfaces using implements and multiple interface contracts.
- Apply Mixins using mixin and with.
- Constrain Mixins using the on keyword.
- Declare Mixin Classes using mixin class.
- Declare Enhanced Enums using enum and const fields.
- Enhance Enums with Methods and Interfaces using enum.values, enum.name, and implements.
- Implement Factory Constructors using factory and returning cached instances.
- Create Private Internal Constructors using Class._internal() for singletons. | [LEVEL] Intermediate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#27 | Stage 3 | Dart Object-Oriented &amp; Advanced Patterns | 📊 Level: Intermediate | 🌐 Coding5s.com
**Project:** Composition System with Interfaces Mixins Enums and Factories
---
 | [EXTERNAL_PACKAGE_PROTOCOL] Require standard dart pub tooling and pubspec.yaml file for external dependencies when applicable. | [CHALLENGE_CONSTRAINTS_POLICY] MUST be between 25-40 lines of EXECUTABLE base Dart code (STRICT: Do NOT count comments or // TODO blocks). 30–60 Class-based object architecture. Require at least 1 class with internal state management.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Object-Oriented &amp; Advanced Patterns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5"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Construct a flexible composition system consolidating Implicit Interfaces, Mixin Application, Mixin Constraints, Mixin Classes, Enhanced Enum Declaration, Enum Methods and Interfaces, Factory Constructors, and Private Internal Constructors.. Topics involved: 
- Implement Implicit Interfaces using implements and multiple interface contracts.
- Apply Mixins using mixin and with.
- Constrain Mixins using the on keyword.
- Declare Mixin Classes using mixin class.
- Declare Enhanced Enums using enum and const fields.
- Enhance Enums with Methods and Interfaces using enum.values, enum.name, and implements.
- Implement Factory Constructors using factory and returning cached instances.
- Create Private Internal Constructors using Class._internal() for singletons.. Project objective: Composition System with Interfaces Mixins Enums and Factories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#27 | Complete | Dart Object-Oriented &amp; Advanced Patterns | 📊 Level: Intermediate
**Project:** Construct a flexible composition system consolidating Implicit Interfaces, Mixin Application, Mixin Constraints, Mixin Classes, Enhanced Enum Declaration, Enum Methods and Interfaces, Factory Constructors, and Private Internal Constructors.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5" s="53">
        <v>0</v>
      </c>
      <c r="T35" s="102" t="str">
        <f t="shared" si="8"/>
        <v>[ROLE] Tech Lead | [TASK] Provide a messy but functional project for refactoring | [PROJECT] Construct a flexible composition system consolidating Implicit Interfaces, Mixin Application, Mixin Constraints, Mixin Classes, Enhanced Enum Declaration, Enum Methods and Interfaces, Factory Constructors, and Private Internal Constructors. | [TOPICS USED] 
- Implement Implicit Interfaces using implements and multiple interface contracts.
- Apply Mixins using mixin and with.
- Constrain Mixins using the on keyword.
- Declare Mixin Classes using mixin class.
- Declare Enhanced Enums using enum and const fields.
- Enhance Enums with Methods and Interfaces using enum.values, enum.name, and implements.
- Implement Factory Constructors using factory and returning cached instances.
- Create Private Internal Constructors using Class._internal() for singletons. | [LEVEL] Intermediate | [PERSONA RULE] Act as a Tech Lead. A junior wrote this working but messy code. Tone: professional but exhausted | [HEADER RULE - STRICT] You MUST start your entire response EXACTLY with this markdown block (do not print anything before it):
### 🚀 Project #27 | Stage 4 | Dart Object-Oriented &amp; Advanced Patterns | 📊 Level: Intermediate | 🌐 Coding5s.com
**Project:** Composition System with Interfaces Mixins Enums and Factories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Object-Oriented &amp; Advanced Patterns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PROJECT: Construct a flexible composition system consolidating Implicit Interfaces, Mixin Application, Mixin Constraints, Mixin Classes, Enhanced Enum Declaration, Enum Methods and Interfaces, Factory Constructors, and Private Internal Constructors.. Topics involved: 
- Implement Implicit Interfaces using implements and multiple interface contracts.
- Apply Mixins using mixin and with.
- Constrain Mixins using the on keyword.
- Declare Mixin Classes using mixin class.
- Declare Enhanced Enums using enum and const fields.
- Enhance Enums with Methods and Interfaces using enum.values, enum.name, and implements.
- Implement Factory Constructors using factory and returning cached instances.
- Create Private Internal Constructors using Class._internal() for singletons.. Project objective: Composition System with Interfaces Mixins Enums and Factories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#27 | Refactor | Dart Object-Oriented &amp; Advanced Patterns | 📊 Level: Intermediate
**Project:** Construct a flexible composition system consolidating Implicit Interfaces, Mixin Application, Mixin Constraints, Mixin Classes, Enhanced Enum Declaration, Enum Methods and Interfaces, Factory Constructors, and Private Internal Constructors.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5" s="53">
        <v>0</v>
      </c>
      <c r="W35" s="87" t="str">
        <f t="shared" si="10"/>
        <v>[ROLE] Tech Product Manager assigning a Dart Object-Oriented &amp; Advanced Patterns Jira Ticket | [TASK] Provide a guided project implementation with full solution | [PROJECT] Construct a flexible composition system consolidating Implicit Interfaces, Mixin Application, Mixin Constraints, Mixin Classes, Enhanced Enum Declaration, Enum Methods and Interfaces, Factory Constructors, and Private Internal Constructors. | [TOPICS USED] 
- Implement Implicit Interfaces using implements and multiple interface contracts.
- Apply Mixins using mixin and with.
- Constrain Mixins using the on keyword.
- Declare Mixin Classes using mixin class.
- Declare Enhanced Enums using enum and const fields.
- Enhance Enums with Methods and Interfaces using enum.values, enum.name, and implements.
- Implement Factory Constructors using factory and returning cached instances.
- Create Private Internal Constructors using Class._internal() for singletons. | [LEVEL] Intermediate | [PERSONA RULE] Act as a professional Tech Product Manager defining a project ticket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[HEADER RULE - STRICT] You MUST start your entire response EXACTLY with this markdown block (do not print anything before it):
### 🚀 Project #27 | Stage 5 | Dart Object-Oriented &amp; Advanced Patterns | 📊 Level: Intermediate | 🌐 Coding5s.com
**Project:** Composition System with Interfaces Mixins Enums and Factories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Object-Oriented &amp; Advanced Patterns Dev']
Subject: Assignment Details
Hello [Insert my user name if known, otherwise use 'Dart Object-Oriented &amp; Advanced Patterns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Construct a flexible composition system consolidating Implicit Interfaces, Mixin Application, Mixin Constraints, Mixin Classes, Enhanced Enum Declaration, Enum Methods and Interfaces, Factory Constructors, and Private Internal Constructors.. Topics integrated: 
- Implement Implicit Interfaces using implements and multiple interface contracts.
- Apply Mixins using mixin and with.
- Constrain Mixins using the on keyword.
- Declare Mixin Classes using mixin class.
- Declare Enhanced Enums using enum and const fields.
- Enhance Enums with Methods and Interfaces using enum.values, enum.name, and implements.
- Implement Factory Constructors using factory and returning cached instances.
- Create Private Internal Constructors using Class._internal() for singletons.. Business Goal: Composition System with Interfaces Mixins Enums and Factories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#27 | Extend | Dart Object-Oriented &amp; Advanced Patterns | 📊 Level: Intermediate
**Project:** Construct a flexible composition system consolidating Implicit Interfaces, Mixin Application, Mixin Constraints, Mixin Classes, Enhanced Enum Declaration, Enum Methods and Interfaces, Factory Constructors, and Private Internal Constructors.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5" s="53">
        <v>0</v>
      </c>
      <c r="Z35" s="56" t="str">
        <f t="shared" si="12"/>
        <v>[TASK] Teach through a practical Dart Object-Oriented &amp; Advanced Patterns -  project following the micro-learning methodology, acting as a supportive tutor, creating a project about  Construct a flexible composition system consolidating Implicit Interfaces, Mixin Application, Mixin Constraints, Mixin Classes, Enhanced Enum Declaration, Enum Methods and Interfaces, Factory Constructors, and Private Internal Constructors. | [TOPICS USED] 
- Implement Implicit Interfaces using implements and multiple interface contracts.
- Apply Mixins using mixin and with.
- Constrain Mixins using the on keyword.
- Declare Mixin Classes using mixin class.
- Declare Enhanced Enums using enum and const fields.
- Enhance Enums with Methods and Interfaces using enum.values, enum.name, and implements.
- Implement Factory Constructors using factory and returning cached instances.
- Create Private Internal Constructors using Class._internal() for singletons.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classes, constructors, OOP patterns,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class purposes, parameters, return types, and exceptions. 3. CRITICAL: NO comment or docstring line may exceed 80 characters (Effective Dart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#27 | Stage 1 | Dart Object-Oriented &amp; Advanced Patterns | 📊 Level: Intermediate | 🌐 Coding5s.com
**Project:** Composition System with Interfaces Mixins Enums and Factories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5" s="56" t="str">
        <f t="shared" si="13"/>
        <v>[ROLE] Careless Dart Object-Oriented &amp; Advanced Patterns Developer | [TASK] Generate debugging project in Dart Object-Oriented &amp; Advanced Patterns | [PROJECT] Construct a flexible composition system consolidating Implicit Interfaces, Mixin Application, Mixin Constraints, Mixin Classes, Enhanced Enum Declaration, Enum Methods and Interfaces, Factory Constructors, and Private Internal Constructors. | [TOPICS USED] 
- Implement Implicit Interfaces using implements and multiple interface contracts.
- Apply Mixins using mixin and with.
- Constrain Mixins using the on keyword.
- Declare Mixin Classes using mixin class.
- Declare Enhanced Enums using enum and const fields.
- Enhance Enums with Methods and Interfaces using enum.values, enum.name, and implements.
- Implement Factory Constructors using factory and returning cached instances.
- Create Private Internal Constructors using Class._internal() for singletons. | [LEVEL] Intermediate | [OUTPUT] Only header, dataset summary or statement (if any), email intro, objective, expected output, broken code, and footer | [HEADER RULE - STRICT] You MUST start your entire response EXACTLY with this markdown block (do not print anything before it):
### 🚀 Project #27 | Stage 2 | Dart Object-Oriented &amp; Advanced Patterns | 📊 Level: Intermediate | 🌐 Coding5s.com
Project: Composition System with Interfaces Mixins Enums and Factories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Dart OOP script. The project MUST contain EXACTLY 2-5 bugs mixing Syntax errors, Null-safety errors, OOP/Encapsulation logic errors, and Runtime Exceptions. 1. Syntax &amp; Type Errors (e.g., missing semicolons/brackets, type mismatches, constructor syntax errors, unhandled null access violating strict null safety), 2. Logic Errors (e.g., incorrect calculations, faulty comparison operators, improper encapsulation/getters, wrong return values), AND 3. Runtime Exceptions (e.g., StateError, RangeError, FormatException, NoSuchMethodError due to bad casting).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Object-Oriented &amp; Advanced Patterns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5" s="56" t="str">
        <f t="shared" si="14"/>
        <v>[ROLE] Tech Lead | [TASK] Assign incomplete project script | [PROJECT] Construct a flexible composition system consolidating Implicit Interfaces, Mixin Application, Mixin Constraints, Mixin Classes, Enhanced Enum Declaration, Enum Methods and Interfaces, Factory Constructors, and Private Internal Constructors. | [TOPICS USED] 
- Implement Implicit Interfaces using implements and multiple interface contracts.
- Apply Mixins using mixin and with.
- Constrain Mixins using the on keyword.
- Declare Mixin Classes using mixin class.
- Declare Enhanced Enums using enum and const fields.
- Enhance Enums with Methods and Interfaces using enum.values, enum.name, and implements.
- Implement Factory Constructors using factory and returning cached instances.
- Create Private Internal Constructors using Class._internal() for singletons. | [LEVEL] Intermediate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#27 | Stage 3 | Dart Object-Oriented &amp; Advanced Patterns | 📊 Level: Intermediate | 🌐 Coding5s.com
**Project:** Composition System with Interfaces Mixins Enums and Factories
---
 | [EXTERNAL_PACKAGE_PROTOCOL] Require standard dart pub tooling and pubspec.yaml file for external dependencies when applicable. | [CHALLENGE_CONSTRAINTS_POLICY] MUST be between 25-40 lines of EXECUTABLE base Dart code (STRICT: Do NOT count comments or // TODO blocks). 30–60 Class-based object architecture. Require at least 1 class with internal state management.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Object-Oriented &amp; Advanced Patterns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5" s="56" t="str">
        <f t="shared" si="15"/>
        <v>[ROLE] Tech Lead | [TASK] Provide a messy but functional project for refactoring | [PROJECT] Construct a flexible composition system consolidating Implicit Interfaces, Mixin Application, Mixin Constraints, Mixin Classes, Enhanced Enum Declaration, Enum Methods and Interfaces, Factory Constructors, and Private Internal Constructors. | [TOPICS USED] 
- Implement Implicit Interfaces using implements and multiple interface contracts.
- Apply Mixins using mixin and with.
- Constrain Mixins using the on keyword.
- Declare Mixin Classes using mixin class.
- Declare Enhanced Enums using enum and const fields.
- Enhance Enums with Methods and Interfaces using enum.values, enum.name, and implements.
- Implement Factory Constructors using factory and returning cached instances.
- Create Private Internal Constructors using Class._internal() for singletons. | [LEVEL] Intermediate | [PERSONA RULE] Act as a Tech Lead. A junior wrote this working but messy code. Tone: professional but exhausted | [HEADER RULE - STRICT] You MUST start your entire response EXACTLY with this markdown block (do not print anything before it):
### 🚀 Project #27 | Stage 4 | Dart Object-Oriented &amp; Advanced Patterns | 📊 Level: Intermediate | 🌐 Coding5s.com
**Project:** Composition System with Interfaces Mixins Enums and Factories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Object-Oriented &amp; Advanced Patterns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5" s="56" t="str">
        <f t="shared" si="16"/>
        <v>[ROLE] Tech Product Manager assigning a Dart Object-Oriented &amp; Advanced Patterns Jira Ticket | [TASK] Provide a guided project implementation with full solution | [PROJECT] Construct a flexible composition system consolidating Implicit Interfaces, Mixin Application, Mixin Constraints, Mixin Classes, Enhanced Enum Declaration, Enum Methods and Interfaces, Factory Constructors, and Private Internal Constructors. | [TOPICS USED] 
- Implement Implicit Interfaces using implements and multiple interface contracts.
- Apply Mixins using mixin and with.
- Constrain Mixins using the on keyword.
- Declare Mixin Classes using mixin class.
- Declare Enhanced Enums using enum and const fields.
- Enhance Enums with Methods and Interfaces using enum.values, enum.name, and implements.
- Implement Factory Constructors using factory and returning cached instances.
- Create Private Internal Constructors using Class._internal() for singletons. | [LEVEL] Intermediate | [PERSONA RULE] Act as a professional Tech Product Manager defining a project ticket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[HEADER RULE - STRICT] You MUST start your entire response EXACTLY with this markdown block (do not print anything before it):
### 🚀 Project #27 | Stage 5 | Dart Object-Oriented &amp; Advanced Patterns | 📊 Level: Intermediate | 🌐 Coding5s.com
**Project:** Composition System with Interfaces Mixins Enums and Factories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Object-Oriented &amp; Advanced Patterns Dev']
Subject: Assignment Details
Hello [Insert my user name if known, otherwise use 'Dart Object-Oriented &amp; Advanced Patterns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5" s="40"/>
      <c r="AF35" s="40"/>
      <c r="AG35" s="40"/>
      <c r="AH35" s="56" t="str">
        <f t="shared" si="0"/>
        <v/>
      </c>
      <c r="AI35" s="54"/>
      <c r="AJ35" s="54"/>
      <c r="AK35" s="54">
        <v>27</v>
      </c>
      <c r="AL35" s="54" t="s">
        <v>143</v>
      </c>
      <c r="AM35" s="54" t="s">
        <v>144</v>
      </c>
    </row>
    <row r="36" spans="1:39">
      <c r="A36" s="45" t="str" cm="1">
        <f t="array" ref="A36">IF(H36="PROJECT", CHAR(10) &amp; "- " &amp; _xlfn.TEXTJOIN(CHAR(10) &amp; "- ", TRUE, _xlfn._xlws.FILTER($I$9:$I$1000, ($B$9:$B$1000=B36) * ($H$9:$H$1000="Topic"))), "")</f>
        <v/>
      </c>
      <c r="B36" s="45">
        <f t="shared" si="1"/>
        <v>4</v>
      </c>
      <c r="C36" s="95">
        <v>15</v>
      </c>
      <c r="D36" s="57">
        <v>4</v>
      </c>
      <c r="E36" s="58" t="s">
        <v>46</v>
      </c>
      <c r="F36" s="59">
        <v>28</v>
      </c>
      <c r="G36" s="60" t="s">
        <v>158</v>
      </c>
      <c r="H36" s="60" t="s">
        <v>48</v>
      </c>
      <c r="I36" s="61" t="s">
        <v>784</v>
      </c>
      <c r="J36" s="62" t="s">
        <v>785</v>
      </c>
      <c r="K36" s="129" t="str">
        <f t="shared" si="2"/>
        <v xml:space="preserve">[ROLE] Friendly tutor specializing in Dart Object-Oriented &amp; Advanced Patterns | [TOPIC] Define Extension Methods using extension on, show, and hide.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#28 | Stage 1 📖 Practice | Dart Object-Oriented &amp; Advanced Patterns | 📊 Level: Intermediate | 🌐 Coding5s.com
**Concept:** Extension Methods (extension on, show, hide)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6"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Extension Methods using extension on, show, and hide.. Topic details: Extension Methods (extension on, show, hide)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#28 | Practice | Dart Object-Oriented &amp; Advanced Patterns | 📊 Level: Intermediate
**Topic:** Define Extension Methods using extension on, show, and hide.
---
 | [FOOTER RULE - STRICT] End your response with: '--- ⚡ *Coding5s Mentor System — Eliminating Epistemic Debt*' | </v>
      </c>
      <c r="M36" s="52">
        <v>0</v>
      </c>
      <c r="N36" s="102" t="str">
        <f t="shared" si="4"/>
        <v>[ROLE] Careless Dart Object-Oriented &amp; Advanced Patterns Developer | [TASK] Generate debugging challenges in Dart Object-Oriented &amp; Advanced Patterns | | [TOPIC] Define Extension Methods using extension on, show, and hide.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#28 | Stage 2 🐛 Debug | Dart Object-Oriented &amp; Advanced Patterns | 📊 Level: Intermediate | 🌐 Coding5s.com
Concept: Extension Methods (extension on, show, hide)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6"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Extension Methods using extension on, show, and hide.. Topic details: Extension Methods (extension on, show, hide)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#28 | Debug | Dart Object-Oriented &amp; Advanced Patterns | 📊 Level: Intermediate
**Topic:** Define Extension Methods using extension on, show, and hide.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6" s="52">
        <v>0</v>
      </c>
      <c r="Q36" s="102" t="str">
        <f t="shared" si="6"/>
        <v>[ROLE] Tech Lead | [TASK] Assign incomplete Dart Object-Oriented &amp; Advanced Patterns script challenges | [TOPIC] Define Extension Methods using extension on, show, and hide.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#28 | Stage 3 🧩 Complete | Dart Object-Oriented &amp; Advanced Patterns | 📊 Level: Intermediate | 🌐 Coding5s.com
**Concept:** Extension Methods (extension on, show, hide)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Extension Methods using extension on, show, and hide..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6"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Extension Methods using extension on, show, and hide.. Topic details: Extension Methods (extension on, show, hide)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#28 | Complete | Dart Object-Oriented &amp; Advanced Patterns | 📊 Level: Intermediate
**Topic:** Define Extension Methods using extension on, show, and hide.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6" s="52">
        <v>0</v>
      </c>
      <c r="T36" s="102" t="str">
        <f t="shared" si="8"/>
        <v>[ROLE] Tech Lead | [TASK] Provide intentionally messy but functional code for learning debugging and improvement | [TOPIC] Define Extension Methods using extension on, show, and hide.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#28 | Stage 4 🧹 Refactor | Dart Object-Oriented &amp; Advanced Patterns | 📊 Level: Intermediate | 🌐 Coding5s.com
**Concept:** Extension Methods (extension on, show, hide)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Define Extension Methods using extension on, show, and hide.. Topic details: Extension Methods (extension on, show, hide)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#28 | Refactor | Dart Object-Oriented &amp; Advanced Patterns | 📊 Level: Intermediate
**Topic:** Define Extension Methods using extension on, show, and hide.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6" s="52">
        <v>0</v>
      </c>
      <c r="W36" s="87" t="str">
        <f t="shared" si="10"/>
        <v>[ROLE] Tech Product Manager assigning a Dart Object-Oriented &amp; Advanced Patterns Jira Ticket | [TASK] Provide a guided implementation exercise with full solution for learning purposes | [TOPIC] Define Extension Methods using extension on, show, and hide.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#28 | Stage 5 | Dart Object-Oriented &amp; Advanced Patterns | 📊 Level: Intermediate | 🌐 Coding5s.com
**Concept:** Extension Methods (extension on, show, hide)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Extension Methods using extension on, show, and hide.. Goal: Extension Methods (extension on, show, hide)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#28 | Extend | Dart Object-Oriented &amp; Advanced Patterns | 📊 Level: Intermediate
**Topic:** Define Extension Methods using extension on, show, and hide.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6" s="52">
        <v>0</v>
      </c>
      <c r="Z36" s="56" t="str">
        <f t="shared" si="12"/>
        <v/>
      </c>
      <c r="AA36" s="56" t="str">
        <f t="shared" si="13"/>
        <v/>
      </c>
      <c r="AB36" s="56" t="str">
        <f t="shared" si="14"/>
        <v/>
      </c>
      <c r="AC36" s="56" t="str">
        <f t="shared" si="15"/>
        <v/>
      </c>
      <c r="AD36" s="56" t="str">
        <f t="shared" si="16"/>
        <v/>
      </c>
      <c r="AE36" s="40"/>
      <c r="AF36" s="40"/>
      <c r="AG36" s="40"/>
      <c r="AH36" s="56" t="str">
        <f t="shared" si="0"/>
        <v/>
      </c>
      <c r="AI36" s="54"/>
      <c r="AJ36" s="54"/>
      <c r="AK36" s="54">
        <v>28</v>
      </c>
      <c r="AL36" s="54" t="s">
        <v>146</v>
      </c>
      <c r="AM36" s="54" t="s">
        <v>147</v>
      </c>
    </row>
    <row r="37" spans="1:39">
      <c r="A37" s="45" t="str" cm="1">
        <f t="array" ref="A37">IF(H37="PROJECT", CHAR(10) &amp; "- " &amp; _xlfn.TEXTJOIN(CHAR(10) &amp; "- ", TRUE, _xlfn._xlws.FILTER($I$9:$I$1000, ($B$9:$B$1000=B37) * ($H$9:$H$1000="Topic"))), "")</f>
        <v/>
      </c>
      <c r="B37" s="45">
        <f t="shared" si="1"/>
        <v>4</v>
      </c>
      <c r="C37" s="95">
        <v>18</v>
      </c>
      <c r="D37" s="46">
        <v>4</v>
      </c>
      <c r="E37" s="58" t="s">
        <v>46</v>
      </c>
      <c r="F37" s="48">
        <v>29</v>
      </c>
      <c r="G37" s="49" t="s">
        <v>158</v>
      </c>
      <c r="H37" s="49" t="s">
        <v>48</v>
      </c>
      <c r="I37" s="50" t="s">
        <v>786</v>
      </c>
      <c r="J37" s="51" t="s">
        <v>787</v>
      </c>
      <c r="K37" s="129" t="str">
        <f t="shared" si="2"/>
        <v xml:space="preserve">[ROLE] Friendly tutor specializing in Dart Object-Oriented &amp; Advanced Patterns | [TOPIC] Create Extension Types using extension type and zero-cost wrappers.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#29 | Stage 1 📖 Practice | Dart Object-Oriented &amp; Advanced Patterns | 📊 Level: Intermediate | 🌐 Coding5s.com
**Concept:** Extension Types (extension type, zero-cost wrappers)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7"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Extension Types using extension type and zero-cost wrappers.. Topic details: Extension Types (extension type, zero-cost wrappers)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#29 | Practice | Dart Object-Oriented &amp; Advanced Patterns | 📊 Level: Intermediate
**Topic:** Create Extension Types using extension type and zero-cost wrappers.
---
 | [FOOTER RULE - STRICT] End your response with: '--- ⚡ *Coding5s Mentor System — Eliminating Epistemic Debt*' | </v>
      </c>
      <c r="M37" s="53">
        <v>0</v>
      </c>
      <c r="N37" s="102" t="str">
        <f t="shared" si="4"/>
        <v>[ROLE] Careless Dart Object-Oriented &amp; Advanced Patterns Developer | [TASK] Generate debugging challenges in Dart Object-Oriented &amp; Advanced Patterns | | [TOPIC] Create Extension Types using extension type and zero-cost wrappers.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#29 | Stage 2 🐛 Debug | Dart Object-Oriented &amp; Advanced Patterns | 📊 Level: Intermediate | 🌐 Coding5s.com
Concept: Extension Types (extension type, zero-cost wrappers)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7"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Extension Types using extension type and zero-cost wrappers.. Topic details: Extension Types (extension type, zero-cost wrappers)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#29 | Debug | Dart Object-Oriented &amp; Advanced Patterns | 📊 Level: Intermediate
**Topic:** Create Extension Types using extension type and zero-cost wrappers.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7" s="53">
        <v>0</v>
      </c>
      <c r="Q37" s="102" t="str">
        <f t="shared" si="6"/>
        <v>[ROLE] Tech Lead | [TASK] Assign incomplete Dart Object-Oriented &amp; Advanced Patterns script challenges | [TOPIC] Create Extension Types using extension type and zero-cost wrappers.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#29 | Stage 3 🧩 Complete | Dart Object-Oriented &amp; Advanced Patterns | 📊 Level: Intermediate | 🌐 Coding5s.com
**Concept:** Extension Types (extension type, zero-cost wrappers)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Extension Types using extension type and zero-cost wrappers..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7"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Extension Types using extension type and zero-cost wrappers.. Topic details: Extension Types (extension type, zero-cost wrappers)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#29 | Complete | Dart Object-Oriented &amp; Advanced Patterns | 📊 Level: Intermediate
**Topic:** Create Extension Types using extension type and zero-cost wrappers.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7" s="53">
        <v>0</v>
      </c>
      <c r="T37" s="102" t="str">
        <f t="shared" si="8"/>
        <v>[ROLE] Tech Lead | [TASK] Provide intentionally messy but functional code for learning debugging and improvement | [TOPIC] Create Extension Types using extension type and zero-cost wrappers.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#29 | Stage 4 🧹 Refactor | Dart Object-Oriented &amp; Advanced Patterns | 📊 Level: Intermediate | 🌐 Coding5s.com
**Concept:** Extension Types (extension type, zero-cost wrappers)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Create Extension Types using extension type and zero-cost wrappers.. Topic details: Extension Types (extension type, zero-cost wrappers)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#29 | Refactor | Dart Object-Oriented &amp; Advanced Patterns | 📊 Level: Intermediate
**Topic:** Create Extension Types using extension type and zero-cost wrappers.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7" s="53">
        <v>0</v>
      </c>
      <c r="W37" s="87" t="str">
        <f t="shared" si="10"/>
        <v>[ROLE] Tech Product Manager assigning a Dart Object-Oriented &amp; Advanced Patterns Jira Ticket | [TASK] Provide a guided implementation exercise with full solution for learning purposes | [TOPIC] Create Extension Types using extension type and zero-cost wrappers.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#29 | Stage 5 | Dart Object-Oriented &amp; Advanced Patterns | 📊 Level: Intermediate | 🌐 Coding5s.com
**Concept:** Extension Types (extension type, zero-cost wrappers)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Extension Types using extension type and zero-cost wrappers.. Goal: Extension Types (extension type, zero-cost wrappers)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#29 | Extend | Dart Object-Oriented &amp; Advanced Patterns | 📊 Level: Intermediate
**Topic:** Create Extension Types using extension type and zero-cost wrappers.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7" s="53">
        <v>0</v>
      </c>
      <c r="Z37" s="56" t="str">
        <f t="shared" si="12"/>
        <v/>
      </c>
      <c r="AA37" s="56" t="str">
        <f t="shared" si="13"/>
        <v/>
      </c>
      <c r="AB37" s="56" t="str">
        <f t="shared" si="14"/>
        <v/>
      </c>
      <c r="AC37" s="56" t="str">
        <f t="shared" si="15"/>
        <v/>
      </c>
      <c r="AD37" s="56" t="str">
        <f t="shared" si="16"/>
        <v/>
      </c>
      <c r="AE37" s="40"/>
      <c r="AF37" s="40"/>
      <c r="AG37" s="40"/>
      <c r="AH37" s="56" t="str">
        <f t="shared" si="0"/>
        <v/>
      </c>
      <c r="AI37" s="54"/>
      <c r="AJ37" s="54"/>
      <c r="AK37" s="54">
        <v>29</v>
      </c>
      <c r="AL37" s="54" t="s">
        <v>149</v>
      </c>
      <c r="AM37" s="54" t="s">
        <v>150</v>
      </c>
    </row>
    <row r="38" spans="1:39">
      <c r="A38" s="45" t="str" cm="1">
        <f t="array" ref="A38">IF(H38="PROJECT", CHAR(10) &amp; "- " &amp; _xlfn.TEXTJOIN(CHAR(10) &amp; "- ", TRUE, _xlfn._xlws.FILTER($I$9:$I$1000, ($B$9:$B$1000=B38) * ($H$9:$H$1000="Topic"))), "")</f>
        <v/>
      </c>
      <c r="B38" s="45">
        <f t="shared" si="1"/>
        <v>4</v>
      </c>
      <c r="C38" s="95">
        <v>15</v>
      </c>
      <c r="D38" s="57">
        <v>4</v>
      </c>
      <c r="E38" s="58" t="s">
        <v>46</v>
      </c>
      <c r="F38" s="59">
        <v>30</v>
      </c>
      <c r="G38" s="60" t="s">
        <v>158</v>
      </c>
      <c r="H38" s="60" t="s">
        <v>48</v>
      </c>
      <c r="I38" s="61" t="s">
        <v>788</v>
      </c>
      <c r="J38" s="62" t="s">
        <v>789</v>
      </c>
      <c r="K38" s="129" t="str">
        <f t="shared" si="2"/>
        <v xml:space="preserve">[ROLE] Friendly tutor specializing in Dart Object-Oriented &amp; Advanced Patterns | [TOPIC] Apply Inheritance Modifiers using final class, base class, and interface class.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#30 | Stage 1 📖 Practice | Dart Object-Oriented &amp; Advanced Patterns | 📊 Level: Intermediate | 🌐 Coding5s.com
**Concept:** Inheritance Modifiers (final class, base class, interface class)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8"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Inheritance Modifiers using final class, base class, and interface class.. Topic details: Inheritance Modifiers (final class, base class, interface class)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#30 | Practice | Dart Object-Oriented &amp; Advanced Patterns | 📊 Level: Intermediate
**Topic:** Apply Inheritance Modifiers using final class, base class, and interface class.
---
 | [FOOTER RULE - STRICT] End your response with: '--- ⚡ *Coding5s Mentor System — Eliminating Epistemic Debt*' | </v>
      </c>
      <c r="M38" s="52">
        <v>0</v>
      </c>
      <c r="N38" s="102" t="str">
        <f t="shared" si="4"/>
        <v>[ROLE] Careless Dart Object-Oriented &amp; Advanced Patterns Developer | [TASK] Generate debugging challenges in Dart Object-Oriented &amp; Advanced Patterns | | [TOPIC] Apply Inheritance Modifiers using final class, base class, and interface class.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#30 | Stage 2 🐛 Debug | Dart Object-Oriented &amp; Advanced Patterns | 📊 Level: Intermediate | 🌐 Coding5s.com
Concept: Inheritance Modifiers (final class, base class, interface class)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8"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Inheritance Modifiers using final class, base class, and interface class.. Topic details: Inheritance Modifiers (final class, base class, interface class)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#30 | Debug | Dart Object-Oriented &amp; Advanced Patterns | 📊 Level: Intermediate
**Topic:** Apply Inheritance Modifiers using final class, base class, and interface class.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8" s="52">
        <v>0</v>
      </c>
      <c r="Q38" s="102" t="str">
        <f t="shared" si="6"/>
        <v>[ROLE] Tech Lead | [TASK] Assign incomplete Dart Object-Oriented &amp; Advanced Patterns script challenges | [TOPIC] Apply Inheritance Modifiers using final class, base class, and interface class.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#30 | Stage 3 🧩 Complete | Dart Object-Oriented &amp; Advanced Patterns | 📊 Level: Intermediate | 🌐 Coding5s.com
**Concept:** Inheritance Modifiers (final class, base class, interface class)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Inheritance Modifiers using final class, base class, and interface class..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8"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Inheritance Modifiers using final class, base class, and interface class.. Topic details: Inheritance Modifiers (final class, base class, interface class)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#30 | Complete | Dart Object-Oriented &amp; Advanced Patterns | 📊 Level: Intermediate
**Topic:** Apply Inheritance Modifiers using final class, base class, and interface class.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8" s="52">
        <v>0</v>
      </c>
      <c r="T38" s="102" t="str">
        <f t="shared" si="8"/>
        <v>[ROLE] Tech Lead | [TASK] Provide intentionally messy but functional code for learning debugging and improvement | [TOPIC] Apply Inheritance Modifiers using final class, base class, and interface class.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#30 | Stage 4 🧹 Refactor | Dart Object-Oriented &amp; Advanced Patterns | 📊 Level: Intermediate | 🌐 Coding5s.com
**Concept:** Inheritance Modifiers (final class, base class, interface class)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Apply Inheritance Modifiers using final class, base class, and interface class.. Topic details: Inheritance Modifiers (final class, base class, interface class)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#30 | Refactor | Dart Object-Oriented &amp; Advanced Patterns | 📊 Level: Intermediate
**Topic:** Apply Inheritance Modifiers using final class, base class, and interface class.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8" s="52">
        <v>0</v>
      </c>
      <c r="W38" s="87" t="str">
        <f t="shared" si="10"/>
        <v>[ROLE] Tech Product Manager assigning a Dart Object-Oriented &amp; Advanced Patterns Jira Ticket | [TASK] Provide a guided implementation exercise with full solution for learning purposes | [TOPIC] Apply Inheritance Modifiers using final class, base class, and interface class.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#30 | Stage 5 | Dart Object-Oriented &amp; Advanced Patterns | 📊 Level: Intermediate | 🌐 Coding5s.com
**Concept:** Inheritance Modifiers (final class, base class, interface class)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Inheritance Modifiers using final class, base class, and interface class.. Goal: Inheritance Modifiers (final class, base class, interface class)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#30 | Extend | Dart Object-Oriented &amp; Advanced Patterns | 📊 Level: Intermediate
**Topic:** Apply Inheritance Modifiers using final class, base class, and interface class.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8" s="52">
        <v>0</v>
      </c>
      <c r="Z38" s="56" t="str">
        <f t="shared" si="12"/>
        <v/>
      </c>
      <c r="AA38" s="56" t="str">
        <f t="shared" si="13"/>
        <v/>
      </c>
      <c r="AB38" s="56" t="str">
        <f t="shared" si="14"/>
        <v/>
      </c>
      <c r="AC38" s="56" t="str">
        <f t="shared" si="15"/>
        <v/>
      </c>
      <c r="AD38" s="56" t="str">
        <f t="shared" si="16"/>
        <v/>
      </c>
      <c r="AE38" s="40"/>
      <c r="AF38" s="40"/>
      <c r="AG38" s="40"/>
      <c r="AH38" s="56" t="str">
        <f t="shared" si="0"/>
        <v/>
      </c>
      <c r="AI38" s="54"/>
      <c r="AJ38" s="54"/>
      <c r="AK38" s="54">
        <v>30</v>
      </c>
      <c r="AL38" s="54" t="s">
        <v>152</v>
      </c>
      <c r="AM38" s="54" t="s">
        <v>153</v>
      </c>
    </row>
    <row r="39" spans="1:39">
      <c r="A39" s="45" t="str" cm="1">
        <f t="array" ref="A39">IF(H39="PROJECT", CHAR(10) &amp; "- " &amp; _xlfn.TEXTJOIN(CHAR(10) &amp; "- ", TRUE, _xlfn._xlws.FILTER($I$9:$I$1000, ($B$9:$B$1000=B39) * ($H$9:$H$1000="Topic"))), "")</f>
        <v/>
      </c>
      <c r="B39" s="45">
        <f t="shared" si="1"/>
        <v>4</v>
      </c>
      <c r="C39" s="95">
        <v>20</v>
      </c>
      <c r="D39" s="46">
        <v>5</v>
      </c>
      <c r="E39" s="58" t="s">
        <v>46</v>
      </c>
      <c r="F39" s="48">
        <v>31</v>
      </c>
      <c r="G39" s="49" t="s">
        <v>159</v>
      </c>
      <c r="H39" s="49" t="s">
        <v>48</v>
      </c>
      <c r="I39" s="50" t="s">
        <v>790</v>
      </c>
      <c r="J39" s="51" t="s">
        <v>791</v>
      </c>
      <c r="K39" s="129" t="str">
        <f t="shared" si="2"/>
        <v xml:space="preserve">[ROLE] Friendly tutor specializing in Dart Object-Oriented &amp; Advanced Patterns | [TOPIC] Implement Sealed Hierarchies using sealed class and switch exhaustiveness. | [LEVEL] Advanced | [COUNT] 5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OOP &amp; patterns: abstract classes, mixins, factory/named constructors, interfaces ('implements'), extensions, and overriding ('@override').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#31 | Stage 1 📖 Practice | Dart Object-Oriented &amp; Advanced Patterns | 📊 Level: Advanced | 🌐 Coding5s.com
**Concept:** Sealed Hierarchies (sealed class, switch exhaustiveness)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9"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Sealed Hierarchies using sealed class and switch exhaustiveness.. Topic details: Sealed Hierarchies (sealed class, switch exhaustiveness) | [LIBRARY BEING LEARNED]  | [LANGUAGE CONSISTENCY RULE] ALL output text MUST be written strictly in (English). | [LANGUAGE SEED CONTEXT] Language Seed Not Necessary | [LANGUAGE] English | [MENTOR_SCOPE_EXPECTATIONS] Expect advanced OOP architecture using abstract classes, mixins, factory constructors, interfaces, overriding, and composition.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#31 | Practice | Dart Object-Oriented &amp; Advanced Patterns | 📊 Level: Advanced
**Topic:** Implement Sealed Hierarchies using sealed class and switch exhaustiveness.
---
 | [FOOTER RULE - STRICT] End your response with: '--- ⚡ *Coding5s Mentor System — Eliminating Epistemic Debt*' | </v>
      </c>
      <c r="M39" s="53">
        <v>0</v>
      </c>
      <c r="N39" s="102" t="str">
        <f t="shared" si="4"/>
        <v>[ROLE] Careless Dart Object-Oriented &amp; Advanced Patterns Developer | [TASK] Generate debugging challenges in Dart Object-Oriented &amp; Advanced Patterns | | [TOPIC] Implement Sealed Hierarchies using sealed class and switch exhaustiveness. | | [LEVEL] Advanced | | [COUNT] 5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#31 | Stage 2 🐛 Debug | Dart Object-Oriented &amp; Advanced Patterns | 📊 Level: Advanced | 🌐 Coding5s.com
Concept: Sealed Hierarchies (sealed class, switch exhaustiveness)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- 15–35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9"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Sealed Hierarchies using sealed class and switch exhaustiveness.. Topic details: Sealed Hierarchies (sealed class, switch exhaustiveness)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#31 | Debug | Dart Object-Oriented &amp; Advanced Patterns | 📊 Level: Advanced
**Topic:** Implement Sealed Hierarchies using sealed class and switch exhaustiveness.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9" s="53">
        <v>0</v>
      </c>
      <c r="Q39" s="102" t="str">
        <f t="shared" si="6"/>
        <v>[ROLE] Tech Lead | [TASK] Assign incomplete Dart Object-Oriented &amp; Advanced Patterns script challenges | [TOPIC] Implement Sealed Hierarchies using sealed class and switch exhaustiveness. | [LEVEL] Advanced | [COUNT] 5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#31 | Stage 3 🧩 Complete | Dart Object-Oriented &amp; Advanced Patterns | 📊 Level: Advanced | 🌐 Coding5s.com
**Concept:** Sealed Hierarchies (sealed class, switch exhaustiveness)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- 15–35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Sealed Hierarchies using sealed class and switch exhaustiveness..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9"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Sealed Hierarchies using sealed class and switch exhaustiveness.. Topic details: Sealed Hierarchies (sealed class, switch exhaustiveness)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#31 | Complete | Dart Object-Oriented &amp; Advanced Patterns | 📊 Level: Advanced
**Topic:** Implement Sealed Hierarchies using sealed class and switch exhaustiveness.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9" s="53">
        <v>0</v>
      </c>
      <c r="T39" s="102" t="str">
        <f t="shared" si="8"/>
        <v>[ROLE] Tech Lead | [TASK] Provide intentionally messy but functional code for learning debugging and improvement | [TOPIC] Implement Sealed Hierarchies using sealed class and switch exhaustiveness. | [LEVEL] Advanced | [COUNT] 5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#31 | Stage 4 🧹 Refactor | Dart Object-Oriented &amp; Advanced Patterns | 📊 Level: Advanced | 🌐 Coding5s.com
**Concept:** Sealed Hierarchies (sealed class, switch exhaustiveness)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Implement Sealed Hierarchies using sealed class and switch exhaustiveness.. Topic details: Sealed Hierarchies (sealed class, switch exhaustiveness)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#31 | Refactor | Dart Object-Oriented &amp; Advanced Patterns | 📊 Level: Advanced
**Topic:** Implement Sealed Hierarchies using sealed class and switch exhaustiveness.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9" s="53">
        <v>0</v>
      </c>
      <c r="W39" s="87" t="str">
        <f t="shared" si="10"/>
        <v>[ROLE] Tech Product Manager assigning a Dart Object-Oriented &amp; Advanced Patterns Jira Ticket | [TASK] Provide a guided implementation exercise with full solution for learning purposes | [TOPIC] Implement Sealed Hierarchies using sealed class and switch exhaustiveness. | [LEVEL] Advanced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#31 | Stage 5 | Dart Object-Oriented &amp; Advanced Patterns | 📊 Level: Advanced | 🌐 Coding5s.com
**Concept:** Sealed Hierarchies (sealed class, switch exhaustiveness)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Sealed Hierarchies using sealed class and switch exhaustiveness.. Goal: Sealed Hierarchies (sealed class, switch exhaustiveness)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#31 | Extend | Dart Object-Oriented &amp; Advanced Patterns | 📊 Level: Advanced
**Topic:** Implement Sealed Hierarchies using sealed class and switch exhaustiveness.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9" s="53">
        <v>0</v>
      </c>
      <c r="Z39" s="56" t="str">
        <f t="shared" si="12"/>
        <v/>
      </c>
      <c r="AA39" s="56" t="str">
        <f t="shared" si="13"/>
        <v/>
      </c>
      <c r="AB39" s="56" t="str">
        <f t="shared" si="14"/>
        <v/>
      </c>
      <c r="AC39" s="56" t="str">
        <f t="shared" si="15"/>
        <v/>
      </c>
      <c r="AD39" s="56" t="str">
        <f t="shared" si="16"/>
        <v/>
      </c>
      <c r="AE39" s="40"/>
      <c r="AF39" s="40"/>
      <c r="AG39" s="40"/>
      <c r="AH39" s="56" t="str">
        <f t="shared" si="0"/>
        <v/>
      </c>
      <c r="AI39" s="54"/>
      <c r="AJ39" s="54"/>
      <c r="AK39" s="54">
        <v>31</v>
      </c>
      <c r="AL39" s="54" t="s">
        <v>49</v>
      </c>
      <c r="AM39" s="54" t="s">
        <v>50</v>
      </c>
    </row>
    <row r="40" spans="1:39">
      <c r="A40" s="45" t="str" cm="1">
        <f t="array" ref="A40">IF(H40="PROJECT", CHAR(10) &amp; "- " &amp; _xlfn.TEXTJOIN(CHAR(10) &amp; "- ", TRUE, _xlfn._xlws.FILTER($I$9:$I$1000, ($B$9:$B$1000=B40) * ($H$9:$H$1000="Topic"))), "")</f>
        <v/>
      </c>
      <c r="B40" s="45">
        <f t="shared" si="1"/>
        <v>4</v>
      </c>
      <c r="C40" s="95">
        <v>18</v>
      </c>
      <c r="D40" s="57">
        <v>4</v>
      </c>
      <c r="E40" s="58" t="s">
        <v>46</v>
      </c>
      <c r="F40" s="59">
        <v>32</v>
      </c>
      <c r="G40" s="60" t="s">
        <v>158</v>
      </c>
      <c r="H40" s="60" t="s">
        <v>48</v>
      </c>
      <c r="I40" s="61" t="s">
        <v>792</v>
      </c>
      <c r="J40" s="62" t="s">
        <v>793</v>
      </c>
      <c r="K40" s="129" t="str">
        <f t="shared" si="2"/>
        <v xml:space="preserve">[ROLE] Friendly tutor specializing in Dart Object-Oriented &amp; Advanced Patterns | [TOPIC] Create Generic Classes using class Box&lt;T&gt; and class Pair&lt;K, V&gt;.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#32 | Stage 1 📖 Practice | Dart Object-Oriented &amp; Advanced Patterns | 📊 Level: Intermediate | 🌐 Coding5s.com
**Concept:** Generic Classes (class Box&lt;T&gt;, class Pair&lt;K, V&gt;)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0"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Generic Classes using class Box&lt;T&gt; and class Pair&lt;K, V&gt;.. Topic details: Generic Classes (class Box&lt;T&gt;, class Pair&lt;K, V&gt;)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#32 | Practice | Dart Object-Oriented &amp; Advanced Patterns | 📊 Level: Intermediate
**Topic:** Create Generic Classes using class Box&lt;T&gt; and class Pair&lt;K, V&gt;.
---
 | [FOOTER RULE - STRICT] End your response with: '--- ⚡ *Coding5s Mentor System — Eliminating Epistemic Debt*' | </v>
      </c>
      <c r="M40" s="52">
        <v>0</v>
      </c>
      <c r="N40" s="102" t="str">
        <f t="shared" si="4"/>
        <v>[ROLE] Careless Dart Object-Oriented &amp; Advanced Patterns Developer | [TASK] Generate debugging challenges in Dart Object-Oriented &amp; Advanced Patterns | | [TOPIC] Create Generic Classes using class Box&lt;T&gt; and class Pair&lt;K, V&gt;.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#32 | Stage 2 🐛 Debug | Dart Object-Oriented &amp; Advanced Patterns | 📊 Level: Intermediate | 🌐 Coding5s.com
Concept: Generic Classes (class Box&lt;T&gt;, class Pair&lt;K, V&gt;)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0"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Generic Classes using class Box&lt;T&gt; and class Pair&lt;K, V&gt;.. Topic details: Generic Classes (class Box&lt;T&gt;, class Pair&lt;K, V&gt;)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#32 | Debug | Dart Object-Oriented &amp; Advanced Patterns | 📊 Level: Intermediate
**Topic:** Create Generic Classes using class Box&lt;T&gt; and class Pair&lt;K, V&gt;.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0" s="52">
        <v>0</v>
      </c>
      <c r="Q40" s="102" t="str">
        <f t="shared" si="6"/>
        <v>[ROLE] Tech Lead | [TASK] Assign incomplete Dart Object-Oriented &amp; Advanced Patterns script challenges | [TOPIC] Create Generic Classes using class Box&lt;T&gt; and class Pair&lt;K, V&gt;.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#32 | Stage 3 🧩 Complete | Dart Object-Oriented &amp; Advanced Patterns | 📊 Level: Intermediate | 🌐 Coding5s.com
**Concept:** Generic Classes (class Box&lt;T&gt;, class Pair&lt;K, V&gt;)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Generic Classes using class Box&lt;T&gt; and class Pair&lt;K, V&gt;..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0"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Generic Classes using class Box&lt;T&gt; and class Pair&lt;K, V&gt;.. Topic details: Generic Classes (class Box&lt;T&gt;, class Pair&lt;K, V&gt;)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#32 | Complete | Dart Object-Oriented &amp; Advanced Patterns | 📊 Level: Intermediate
**Topic:** Create Generic Classes using class Box&lt;T&gt; and class Pair&lt;K, V&gt;.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0" s="52">
        <v>0</v>
      </c>
      <c r="T40" s="102" t="str">
        <f t="shared" si="8"/>
        <v>[ROLE] Tech Lead | [TASK] Provide intentionally messy but functional code for learning debugging and improvement | [TOPIC] Create Generic Classes using class Box&lt;T&gt; and class Pair&lt;K, V&gt;.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#32 | Stage 4 🧹 Refactor | Dart Object-Oriented &amp; Advanced Patterns | 📊 Level: Intermediate | 🌐 Coding5s.com
**Concept:** Generic Classes (class Box&lt;T&gt;, class Pair&lt;K, V&gt;)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Create Generic Classes using class Box&lt;T&gt; and class Pair&lt;K, V&gt;.. Topic details: Generic Classes (class Box&lt;T&gt;, class Pair&lt;K, V&gt;)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#32 | Refactor | Dart Object-Oriented &amp; Advanced Patterns | 📊 Level: Intermediate
**Topic:** Create Generic Classes using class Box&lt;T&gt; and class Pair&lt;K, V&gt;.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0" s="52">
        <v>0</v>
      </c>
      <c r="W40" s="87" t="str">
        <f t="shared" si="10"/>
        <v>[ROLE] Tech Product Manager assigning a Dart Object-Oriented &amp; Advanced Patterns Jira Ticket | [TASK] Provide a guided implementation exercise with full solution for learning purposes | [TOPIC] Create Generic Classes using class Box&lt;T&gt; and class Pair&lt;K, V&gt;.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#32 | Stage 5 | Dart Object-Oriented &amp; Advanced Patterns | 📊 Level: Intermediate | 🌐 Coding5s.com
**Concept:** Generic Classes (class Box&lt;T&gt;, class Pair&lt;K, V&gt;)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Generic Classes using class Box&lt;T&gt; and class Pair&lt;K, V&gt;.. Goal: Generic Classes (class Box&lt;T&gt;, class Pair&lt;K, V&gt;)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#32 | Extend | Dart Object-Oriented &amp; Advanced Patterns | 📊 Level: Intermediate
**Topic:** Create Generic Classes using class Box&lt;T&gt; and class Pair&lt;K, V&gt;.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0" s="52">
        <v>0</v>
      </c>
      <c r="Z40" s="56" t="str">
        <f t="shared" si="12"/>
        <v/>
      </c>
      <c r="AA40" s="56" t="str">
        <f t="shared" si="13"/>
        <v/>
      </c>
      <c r="AB40" s="56" t="str">
        <f t="shared" si="14"/>
        <v/>
      </c>
      <c r="AC40" s="56" t="str">
        <f t="shared" si="15"/>
        <v/>
      </c>
      <c r="AD40" s="56" t="str">
        <f t="shared" si="16"/>
        <v/>
      </c>
      <c r="AE40" s="40"/>
      <c r="AF40" s="40"/>
      <c r="AG40" s="40"/>
      <c r="AH40" s="56" t="str">
        <f t="shared" si="0"/>
        <v/>
      </c>
      <c r="AI40" s="54"/>
      <c r="AJ40" s="54"/>
      <c r="AK40" s="54">
        <v>32</v>
      </c>
      <c r="AL40" s="54" t="s">
        <v>55</v>
      </c>
      <c r="AM40" s="54" t="s">
        <v>56</v>
      </c>
    </row>
    <row r="41" spans="1:39">
      <c r="A41" s="45" t="str" cm="1">
        <f t="array" ref="A41">IF(H41="PROJECT", CHAR(10) &amp; "- " &amp; _xlfn.TEXTJOIN(CHAR(10) &amp; "- ", TRUE, _xlfn._xlws.FILTER($I$9:$I$1000, ($B$9:$B$1000=B41) * ($H$9:$H$1000="Topic"))), "")</f>
        <v/>
      </c>
      <c r="B41" s="45">
        <f t="shared" si="1"/>
        <v>4</v>
      </c>
      <c r="C41" s="95">
        <v>18</v>
      </c>
      <c r="D41" s="46">
        <v>4</v>
      </c>
      <c r="E41" s="58" t="s">
        <v>46</v>
      </c>
      <c r="F41" s="48">
        <v>33</v>
      </c>
      <c r="G41" s="49" t="s">
        <v>158</v>
      </c>
      <c r="H41" s="49" t="s">
        <v>48</v>
      </c>
      <c r="I41" s="50" t="s">
        <v>794</v>
      </c>
      <c r="J41" s="51" t="s">
        <v>795</v>
      </c>
      <c r="K41" s="129" t="str">
        <f t="shared" si="2"/>
        <v xml:space="preserve">[ROLE] Friendly tutor specializing in Dart Object-Oriented &amp; Advanced Patterns | [TOPIC] Apply Bounded Type Constraints using &lt;T BaseType extends&gt; and &lt;T Object extends&gt;.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#33 | Stage 1 📖 Practice | Dart Object-Oriented &amp; Advanced Patterns | 📊 Level: Intermediate | 🌐 Coding5s.com
**Concept:** Bounded Type Constraints (&lt;T BaseType extends&gt;, &lt;T Object extends&gt;)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1"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Bounded Type Constraints using &lt;T BaseType extends&gt; and &lt;T Object extends&gt;.. Topic details: Bounded Type Constraints (&lt;T BaseType extends&gt;, &lt;T Object extends&gt;)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#33 | Practice | Dart Object-Oriented &amp; Advanced Patterns | 📊 Level: Intermediate
**Topic:** Apply Bounded Type Constraints using &lt;T BaseType extends&gt; and &lt;T Object extends&gt;.
---
 | [FOOTER RULE - STRICT] End your response with: '--- ⚡ *Coding5s Mentor System — Eliminating Epistemic Debt*' | </v>
      </c>
      <c r="M41" s="53">
        <v>0</v>
      </c>
      <c r="N41" s="102" t="str">
        <f t="shared" si="4"/>
        <v>[ROLE] Careless Dart Object-Oriented &amp; Advanced Patterns Developer | [TASK] Generate debugging challenges in Dart Object-Oriented &amp; Advanced Patterns | | [TOPIC] Apply Bounded Type Constraints using &lt;T BaseType extends&gt; and &lt;T Object extends&gt;.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#33 | Stage 2 🐛 Debug | Dart Object-Oriented &amp; Advanced Patterns | 📊 Level: Intermediate | 🌐 Coding5s.com
Concept: Bounded Type Constraints (&lt;T BaseType extends&gt;, &lt;T Object extends&gt;)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1"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Bounded Type Constraints using &lt;T BaseType extends&gt; and &lt;T Object extends&gt;.. Topic details: Bounded Type Constraints (&lt;T BaseType extends&gt;, &lt;T Object extends&gt;)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#33 | Debug | Dart Object-Oriented &amp; Advanced Patterns | 📊 Level: Intermediate
**Topic:** Apply Bounded Type Constraints using &lt;T BaseType extends&gt; and &lt;T Object extends&gt;.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1" s="53">
        <v>0</v>
      </c>
      <c r="Q41" s="102" t="str">
        <f t="shared" si="6"/>
        <v>[ROLE] Tech Lead | [TASK] Assign incomplete Dart Object-Oriented &amp; Advanced Patterns script challenges | [TOPIC] Apply Bounded Type Constraints using &lt;T BaseType extends&gt; and &lt;T Object extends&gt;.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#33 | Stage 3 🧩 Complete | Dart Object-Oriented &amp; Advanced Patterns | 📊 Level: Intermediate | 🌐 Coding5s.com
**Concept:** Bounded Type Constraints (&lt;T BaseType extends&gt;, &lt;T Object extends&gt;)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Bounded Type Constraints using &lt;T BaseType extends&gt; and &lt;T Object extends&gt;..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1"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Bounded Type Constraints using &lt;T BaseType extends&gt; and &lt;T Object extends&gt;.. Topic details: Bounded Type Constraints (&lt;T BaseType extends&gt;, &lt;T Object extends&gt;)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#33 | Complete | Dart Object-Oriented &amp; Advanced Patterns | 📊 Level: Intermediate
**Topic:** Apply Bounded Type Constraints using &lt;T BaseType extends&gt; and &lt;T Object extends&gt;.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1" s="53">
        <v>0</v>
      </c>
      <c r="T41" s="102" t="str">
        <f t="shared" si="8"/>
        <v>[ROLE] Tech Lead | [TASK] Provide intentionally messy but functional code for learning debugging and improvement | [TOPIC] Apply Bounded Type Constraints using &lt;T BaseType extends&gt; and &lt;T Object extends&gt;.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#33 | Stage 4 🧹 Refactor | Dart Object-Oriented &amp; Advanced Patterns | 📊 Level: Intermediate | 🌐 Coding5s.com
**Concept:** Bounded Type Constraints (&lt;T BaseType extends&gt;, &lt;T Object extends&gt;)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Apply Bounded Type Constraints using &lt;T BaseType extends&gt; and &lt;T Object extends&gt;.. Topic details: Bounded Type Constraints (&lt;T BaseType extends&gt;, &lt;T Object extends&gt;)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#33 | Refactor | Dart Object-Oriented &amp; Advanced Patterns | 📊 Level: Intermediate
**Topic:** Apply Bounded Type Constraints using &lt;T BaseType extends&gt; and &lt;T Object extends&gt;.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1" s="53">
        <v>0</v>
      </c>
      <c r="W41" s="87" t="str">
        <f t="shared" si="10"/>
        <v>[ROLE] Tech Product Manager assigning a Dart Object-Oriented &amp; Advanced Patterns Jira Ticket | [TASK] Provide a guided implementation exercise with full solution for learning purposes | [TOPIC] Apply Bounded Type Constraints using &lt;T BaseType extends&gt; and &lt;T Object extends&gt;.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#33 | Stage 5 | Dart Object-Oriented &amp; Advanced Patterns | 📊 Level: Intermediate | 🌐 Coding5s.com
**Concept:** Bounded Type Constraints (&lt;T BaseType extends&gt;, &lt;T Object extends&gt;)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Bounded Type Constraints using &lt;T BaseType extends&gt; and &lt;T Object extends&gt;.. Goal: Bounded Type Constraints (&lt;T BaseType extends&gt;, &lt;T Object extends&gt;)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#33 | Extend | Dart Object-Oriented &amp; Advanced Patterns | 📊 Level: Intermediate
**Topic:** Apply Bounded Type Constraints using &lt;T BaseType extends&gt; and &lt;T Object extends&gt;.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1" s="53">
        <v>0</v>
      </c>
      <c r="Z41" s="56" t="str">
        <f t="shared" si="12"/>
        <v/>
      </c>
      <c r="AA41" s="56" t="str">
        <f t="shared" si="13"/>
        <v/>
      </c>
      <c r="AB41" s="56" t="str">
        <f t="shared" si="14"/>
        <v/>
      </c>
      <c r="AC41" s="56" t="str">
        <f t="shared" si="15"/>
        <v/>
      </c>
      <c r="AD41" s="56" t="str">
        <f t="shared" si="16"/>
        <v/>
      </c>
      <c r="AE41" s="40"/>
      <c r="AF41" s="40"/>
      <c r="AG41" s="40"/>
      <c r="AH41" s="56" t="str">
        <f t="shared" ref="AH41:AH72" si="17">IF(AE41=$B$6,AG41,"")</f>
        <v/>
      </c>
      <c r="AI41" s="54"/>
      <c r="AJ41" s="54"/>
      <c r="AK41" s="54">
        <v>33</v>
      </c>
      <c r="AL41" s="54" t="s">
        <v>60</v>
      </c>
      <c r="AM41" s="54" t="s">
        <v>61</v>
      </c>
    </row>
    <row r="42" spans="1:39">
      <c r="A42" s="45" t="str" cm="1">
        <f t="array" ref="A42">IF(H42="PROJECT", CHAR(10) &amp; "- " &amp; _xlfn.TEXTJOIN(CHAR(10) &amp; "- ", TRUE, _xlfn._xlws.FILTER($I$9:$I$1000, ($B$9:$B$1000=B42) * ($H$9:$H$1000="Topic"))), "")</f>
        <v/>
      </c>
      <c r="B42" s="45">
        <f t="shared" si="1"/>
        <v>4</v>
      </c>
      <c r="C42" s="95">
        <v>15</v>
      </c>
      <c r="D42" s="57">
        <v>4</v>
      </c>
      <c r="E42" s="58" t="s">
        <v>46</v>
      </c>
      <c r="F42" s="59">
        <v>34</v>
      </c>
      <c r="G42" s="60" t="s">
        <v>158</v>
      </c>
      <c r="H42" s="60" t="s">
        <v>48</v>
      </c>
      <c r="I42" s="61" t="s">
        <v>796</v>
      </c>
      <c r="J42" s="62" t="s">
        <v>797</v>
      </c>
      <c r="K42" s="129" t="str">
        <f t="shared" si="2"/>
        <v xml:space="preserve">[ROLE] Friendly tutor specializing in Dart Object-Oriented &amp; Advanced Patterns | [TOPIC] Implement Custom Exceptions using implements Exception and toString().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#34 | Stage 1 📖 Practice | Dart Object-Oriented &amp; Advanced Patterns | 📊 Level: Intermediate | 🌐 Coding5s.com
**Concept:** Exception Implementation (implements Exception, toString())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2"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Custom Exceptions using implements Exception and toString().. Topic details: Exception Implementation (implements Exception, toString())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#34 | Practice | Dart Object-Oriented &amp; Advanced Patterns | 📊 Level: Intermediate
**Topic:** Implement Custom Exceptions using implements Exception and toString().
---
 | [FOOTER RULE - STRICT] End your response with: '--- ⚡ *Coding5s Mentor System — Eliminating Epistemic Debt*' | </v>
      </c>
      <c r="M42" s="52">
        <v>0</v>
      </c>
      <c r="N42" s="102" t="str">
        <f t="shared" si="4"/>
        <v>[ROLE] Careless Dart Object-Oriented &amp; Advanced Patterns Developer | [TASK] Generate debugging challenges in Dart Object-Oriented &amp; Advanced Patterns | | [TOPIC] Implement Custom Exceptions using implements Exception and toString().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#34 | Stage 2 🐛 Debug | Dart Object-Oriented &amp; Advanced Patterns | 📊 Level: Intermediate | 🌐 Coding5s.com
Concept: Exception Implementation (implements Exception, toString())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2"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Custom Exceptions using implements Exception and toString().. Topic details: Exception Implementation (implements Exception, toString())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#34 | Debug | Dart Object-Oriented &amp; Advanced Patterns | 📊 Level: Intermediate
**Topic:** Implement Custom Exceptions using implements Exception and toString().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2" s="52">
        <v>0</v>
      </c>
      <c r="Q42" s="102" t="str">
        <f t="shared" si="6"/>
        <v>[ROLE] Tech Lead | [TASK] Assign incomplete Dart Object-Oriented &amp; Advanced Patterns script challenges | [TOPIC] Implement Custom Exceptions using implements Exception and toString().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#34 | Stage 3 🧩 Complete | Dart Object-Oriented &amp; Advanced Patterns | 📊 Level: Intermediate | 🌐 Coding5s.com
**Concept:** Exception Implementation (implements Exception, toString())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Custom Exceptions using implements Exception and toString()..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2"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Custom Exceptions using implements Exception and toString().. Topic details: Exception Implementation (implements Exception, toString())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#34 | Complete | Dart Object-Oriented &amp; Advanced Patterns | 📊 Level: Intermediate
**Topic:** Implement Custom Exceptions using implements Exception and toString().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2" s="52">
        <v>0</v>
      </c>
      <c r="T42" s="102" t="str">
        <f t="shared" si="8"/>
        <v>[ROLE] Tech Lead | [TASK] Provide intentionally messy but functional code for learning debugging and improvement | [TOPIC] Implement Custom Exceptions using implements Exception and toString().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#34 | Stage 4 🧹 Refactor | Dart Object-Oriented &amp; Advanced Patterns | 📊 Level: Intermediate | 🌐 Coding5s.com
**Concept:** Exception Implementation (implements Exception, toString())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Implement Custom Exceptions using implements Exception and toString().. Topic details: Exception Implementation (implements Exception, toString())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#34 | Refactor | Dart Object-Oriented &amp; Advanced Patterns | 📊 Level: Intermediate
**Topic:** Implement Custom Exceptions using implements Exception and toString().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2" s="52">
        <v>0</v>
      </c>
      <c r="W42" s="87" t="str">
        <f t="shared" si="10"/>
        <v>[ROLE] Tech Product Manager assigning a Dart Object-Oriented &amp; Advanced Patterns Jira Ticket | [TASK] Provide a guided implementation exercise with full solution for learning purposes | [TOPIC] Implement Custom Exceptions using implements Exception and toString().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#34 | Stage 5 | Dart Object-Oriented &amp; Advanced Patterns | 📊 Level: Intermediate | 🌐 Coding5s.com
**Concept:** Exception Implementation (implements Exception, toString())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Custom Exceptions using implements Exception and toString().. Goal: Exception Implementation (implements Exception, toString())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#34 | Extend | Dart Object-Oriented &amp; Advanced Patterns | 📊 Level: Intermediate
**Topic:** Implement Custom Exceptions using implements Exception and toString().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2" s="52">
        <v>0</v>
      </c>
      <c r="Z42" s="56" t="str">
        <f t="shared" si="12"/>
        <v/>
      </c>
      <c r="AA42" s="56" t="str">
        <f t="shared" si="13"/>
        <v/>
      </c>
      <c r="AB42" s="56" t="str">
        <f t="shared" si="14"/>
        <v/>
      </c>
      <c r="AC42" s="56" t="str">
        <f t="shared" si="15"/>
        <v/>
      </c>
      <c r="AD42" s="56" t="str">
        <f t="shared" si="16"/>
        <v/>
      </c>
      <c r="AE42" s="40"/>
      <c r="AF42" s="40"/>
      <c r="AG42" s="40"/>
      <c r="AH42" s="56" t="str">
        <f t="shared" si="17"/>
        <v/>
      </c>
      <c r="AI42" s="54"/>
      <c r="AJ42" s="54"/>
      <c r="AK42" s="54">
        <v>34</v>
      </c>
      <c r="AL42" s="54" t="s">
        <v>66</v>
      </c>
      <c r="AM42" s="54" t="s">
        <v>67</v>
      </c>
    </row>
    <row r="43" spans="1:39">
      <c r="A43" s="45" t="str" cm="1">
        <f t="array" ref="A43">IF(H43="PROJECT", CHAR(10) &amp; "- " &amp; _xlfn.TEXTJOIN(CHAR(10) &amp; "- ", TRUE, _xlfn._xlws.FILTER($I$9:$I$1000, ($B$9:$B$1000=B43) * ($H$9:$H$1000="Topic"))), "")</f>
        <v/>
      </c>
      <c r="B43" s="45">
        <f t="shared" si="1"/>
        <v>4</v>
      </c>
      <c r="C43" s="95">
        <v>18</v>
      </c>
      <c r="D43" s="46">
        <v>4</v>
      </c>
      <c r="E43" s="58" t="s">
        <v>46</v>
      </c>
      <c r="F43" s="48">
        <v>35</v>
      </c>
      <c r="G43" s="49" t="s">
        <v>158</v>
      </c>
      <c r="H43" s="49" t="s">
        <v>48</v>
      </c>
      <c r="I43" s="50" t="s">
        <v>798</v>
      </c>
      <c r="J43" s="51" t="s">
        <v>799</v>
      </c>
      <c r="K43" s="129" t="str">
        <f t="shared" si="2"/>
        <v xml:space="preserve">[ROLE] Friendly tutor specializing in Dart Object-Oriented &amp; Advanced Patterns | [TOPIC] Extend Errors using extends Error and capturing state.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#35 | Stage 1 📖 Practice | Dart Object-Oriented &amp; Advanced Patterns | 📊 Level: Intermediate | 🌐 Coding5s.com
**Concept:** Error Extension (extends Error, capturing state)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3"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Extend Errors using extends Error and capturing state.. Topic details: Error Extension (extends Error, capturing state)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#35 | Practice | Dart Object-Oriented &amp; Advanced Patterns | 📊 Level: Intermediate
**Topic:** Extend Errors using extends Error and capturing state.
---
 | [FOOTER RULE - STRICT] End your response with: '--- ⚡ *Coding5s Mentor System — Eliminating Epistemic Debt*' | </v>
      </c>
      <c r="M43" s="53">
        <v>0</v>
      </c>
      <c r="N43" s="102" t="str">
        <f t="shared" si="4"/>
        <v>[ROLE] Careless Dart Object-Oriented &amp; Advanced Patterns Developer | [TASK] Generate debugging challenges in Dart Object-Oriented &amp; Advanced Patterns | | [TOPIC] Extend Errors using extends Error and capturing state.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#35 | Stage 2 🐛 Debug | Dart Object-Oriented &amp; Advanced Patterns | 📊 Level: Intermediate | 🌐 Coding5s.com
Concept: Error Extension (extends Error, capturing state)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3"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Extend Errors using extends Error and capturing state.. Topic details: Error Extension (extends Error, capturing state)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#35 | Debug | Dart Object-Oriented &amp; Advanced Patterns | 📊 Level: Intermediate
**Topic:** Extend Errors using extends Error and capturing state.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3" s="53">
        <v>0</v>
      </c>
      <c r="Q43" s="102" t="str">
        <f t="shared" si="6"/>
        <v>[ROLE] Tech Lead | [TASK] Assign incomplete Dart Object-Oriented &amp; Advanced Patterns script challenges | [TOPIC] Extend Errors using extends Error and capturing state.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#35 | Stage 3 🧩 Complete | Dart Object-Oriented &amp; Advanced Patterns | 📊 Level: Intermediate | 🌐 Coding5s.com
**Concept:** Error Extension (extends Error, capturing state)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Extend Errors using extends Error and capturing state..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3"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Extend Errors using extends Error and capturing state.. Topic details: Error Extension (extends Error, capturing state)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#35 | Complete | Dart Object-Oriented &amp; Advanced Patterns | 📊 Level: Intermediate
**Topic:** Extend Errors using extends Error and capturing state.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3" s="53">
        <v>0</v>
      </c>
      <c r="T43" s="102" t="str">
        <f t="shared" si="8"/>
        <v>[ROLE] Tech Lead | [TASK] Provide intentionally messy but functional code for learning debugging and improvement | [TOPIC] Extend Errors using extends Error and capturing state.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#35 | Stage 4 🧹 Refactor | Dart Object-Oriented &amp; Advanced Patterns | 📊 Level: Intermediate | 🌐 Coding5s.com
**Concept:** Error Extension (extends Error, capturing state)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Extend Errors using extends Error and capturing state.. Topic details: Error Extension (extends Error, capturing state)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#35 | Refactor | Dart Object-Oriented &amp; Advanced Patterns | 📊 Level: Intermediate
**Topic:** Extend Errors using extends Error and capturing state.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3" s="53">
        <v>0</v>
      </c>
      <c r="W43" s="87" t="str">
        <f t="shared" si="10"/>
        <v>[ROLE] Tech Product Manager assigning a Dart Object-Oriented &amp; Advanced Patterns Jira Ticket | [TASK] Provide a guided implementation exercise with full solution for learning purposes | [TOPIC] Extend Errors using extends Error and capturing state.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#35 | Stage 5 | Dart Object-Oriented &amp; Advanced Patterns | 📊 Level: Intermediate | 🌐 Coding5s.com
**Concept:** Error Extension (extends Error, capturing state)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Extend Errors using extends Error and capturing state.. Goal: Error Extension (extends Error, capturing state)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#35 | Extend | Dart Object-Oriented &amp; Advanced Patterns | 📊 Level: Intermediate
**Topic:** Extend Errors using extends Error and capturing state.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3" s="53">
        <v>0</v>
      </c>
      <c r="Z43" s="56" t="str">
        <f t="shared" si="12"/>
        <v/>
      </c>
      <c r="AA43" s="56" t="str">
        <f t="shared" si="13"/>
        <v/>
      </c>
      <c r="AB43" s="56" t="str">
        <f t="shared" si="14"/>
        <v/>
      </c>
      <c r="AC43" s="56" t="str">
        <f t="shared" si="15"/>
        <v/>
      </c>
      <c r="AD43" s="56" t="str">
        <f t="shared" si="16"/>
        <v/>
      </c>
      <c r="AE43" s="40"/>
      <c r="AF43" s="40"/>
      <c r="AG43" s="40"/>
      <c r="AH43" s="56" t="str">
        <f t="shared" si="17"/>
        <v/>
      </c>
      <c r="AI43" s="54"/>
      <c r="AJ43" s="54"/>
      <c r="AK43" s="54">
        <v>35</v>
      </c>
      <c r="AL43" s="54" t="s">
        <v>72</v>
      </c>
      <c r="AM43" s="54" t="s">
        <v>73</v>
      </c>
    </row>
    <row r="44" spans="1:39">
      <c r="A44" s="45" t="str" cm="1">
        <f t="array" ref="A44">IF(H44="PROJECT", CHAR(10) &amp; "- " &amp; _xlfn.TEXTJOIN(CHAR(10) &amp; "- ", TRUE, _xlfn._xlws.FILTER($I$9:$I$1000, ($B$9:$B$1000=B44) * ($H$9:$H$1000="Topic"))), "")</f>
        <v/>
      </c>
      <c r="B44" s="45">
        <f t="shared" si="1"/>
        <v>4</v>
      </c>
      <c r="C44" s="95">
        <v>15</v>
      </c>
      <c r="D44" s="46">
        <v>4</v>
      </c>
      <c r="E44" s="58" t="s">
        <v>46</v>
      </c>
      <c r="F44" s="48">
        <v>37</v>
      </c>
      <c r="G44" s="49" t="s">
        <v>158</v>
      </c>
      <c r="H44" s="49" t="s">
        <v>48</v>
      </c>
      <c r="I44" s="50" t="s">
        <v>802</v>
      </c>
      <c r="J44" s="51" t="s">
        <v>803</v>
      </c>
      <c r="K44" s="129" t="str">
        <f t="shared" si="2"/>
        <v xml:space="preserve">[ROLE] Friendly tutor specializing in Dart Object-Oriented &amp; Advanced Patterns | [TOPIC] Organize Test Suites using group(), setUp(), and tearDown().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#37 | Stage 1 📖 Practice | Dart Object-Oriented &amp; Advanced Patterns | 📊 Level: Intermediate | 🌐 Coding5s.com
**Concept:** Test Suite Organization (group(), setUp(), tearDown())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4"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Organize Test Suites using group(), setUp(), and tearDown().. Topic details: Test Suite Organization (group(), setUp(), tearDown())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#37 | Practice | Dart Object-Oriented &amp; Advanced Patterns | 📊 Level: Intermediate
**Topic:** Organize Test Suites using group(), setUp(), and tearDown().
---
 | [FOOTER RULE - STRICT] End your response with: '--- ⚡ *Coding5s Mentor System — Eliminating Epistemic Debt*' | </v>
      </c>
      <c r="M44" s="52">
        <v>0</v>
      </c>
      <c r="N44" s="102" t="str">
        <f t="shared" si="4"/>
        <v>[ROLE] Careless Dart Object-Oriented &amp; Advanced Patterns Developer | [TASK] Generate debugging challenges in Dart Object-Oriented &amp; Advanced Patterns | | [TOPIC] Organize Test Suites using group(), setUp(), and tearDown().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#37 | Stage 2 🐛 Debug | Dart Object-Oriented &amp; Advanced Patterns | 📊 Level: Intermediate | 🌐 Coding5s.com
Concept: Test Suite Organization (group(), setUp(), tearDown())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4"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Organize Test Suites using group(), setUp(), and tearDown().. Topic details: Test Suite Organization (group(), setUp(), tearDown())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#37 | Debug | Dart Object-Oriented &amp; Advanced Patterns | 📊 Level: Intermediate
**Topic:** Organize Test Suites using group(), setUp(), and tearDown().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4" s="52">
        <v>0</v>
      </c>
      <c r="Q44" s="102" t="str">
        <f t="shared" si="6"/>
        <v>[ROLE] Tech Lead | [TASK] Assign incomplete Dart Object-Oriented &amp; Advanced Patterns script challenges | [TOPIC] Organize Test Suites using group(), setUp(), and tearDown().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#37 | Stage 3 🧩 Complete | Dart Object-Oriented &amp; Advanced Patterns | 📊 Level: Intermediate | 🌐 Coding5s.com
**Concept:** Test Suite Organization (group(), setUp(), tearDown())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Organize Test Suites using group(), setUp(), and tearDown()..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4"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Organize Test Suites using group(), setUp(), and tearDown().. Topic details: Test Suite Organization (group(), setUp(), tearDown())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#37 | Complete | Dart Object-Oriented &amp; Advanced Patterns | 📊 Level: Intermediate
**Topic:** Organize Test Suites using group(), setUp(), and tearDown().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4" s="52">
        <v>0</v>
      </c>
      <c r="T44" s="102" t="str">
        <f t="shared" si="8"/>
        <v>[ROLE] Tech Lead | [TASK] Provide intentionally messy but functional code for learning debugging and improvement | [TOPIC] Organize Test Suites using group(), setUp(), and tearDown().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#37 | Stage 4 🧹 Refactor | Dart Object-Oriented &amp; Advanced Patterns | 📊 Level: Intermediate | 🌐 Coding5s.com
**Concept:** Test Suite Organization (group(), setUp(), tearDown())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Organize Test Suites using group(), setUp(), and tearDown().. Topic details: Test Suite Organization (group(), setUp(), tearDown())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#37 | Refactor | Dart Object-Oriented &amp; Advanced Patterns | 📊 Level: Intermediate
**Topic:** Organize Test Suites using group(), setUp(), and tearDown().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4" s="52">
        <v>0</v>
      </c>
      <c r="W44" s="87" t="str">
        <f t="shared" si="10"/>
        <v>[ROLE] Tech Product Manager assigning a Dart Object-Oriented &amp; Advanced Patterns Jira Ticket | [TASK] Provide a guided implementation exercise with full solution for learning purposes | [TOPIC] Organize Test Suites using group(), setUp(), and tearDown().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#37 | Stage 5 | Dart Object-Oriented &amp; Advanced Patterns | 📊 Level: Intermediate | 🌐 Coding5s.com
**Concept:** Test Suite Organization (group(), setUp(), tearDown())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Organize Test Suites using group(), setUp(), and tearDown().. Goal: Test Suite Organization (group(), setUp(), tearDown())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#37 | Extend | Dart Object-Oriented &amp; Advanced Patterns | 📊 Level: Intermediate
**Topic:** Organize Test Suites using group(), setUp(), and tearDown().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4" s="52">
        <v>0</v>
      </c>
      <c r="Z44" s="56" t="str">
        <f t="shared" si="12"/>
        <v/>
      </c>
      <c r="AA44" s="56" t="str">
        <f t="shared" si="13"/>
        <v/>
      </c>
      <c r="AB44" s="56" t="str">
        <f t="shared" si="14"/>
        <v/>
      </c>
      <c r="AC44" s="56" t="str">
        <f t="shared" si="15"/>
        <v/>
      </c>
      <c r="AD44" s="56" t="str">
        <f t="shared" si="16"/>
        <v/>
      </c>
      <c r="AE44" s="40"/>
      <c r="AF44" s="40"/>
      <c r="AG44" s="40"/>
      <c r="AH44" s="56" t="str">
        <f t="shared" si="17"/>
        <v/>
      </c>
      <c r="AI44" s="54"/>
      <c r="AJ44" s="54"/>
      <c r="AK44" s="54">
        <v>36</v>
      </c>
      <c r="AL44" s="54" t="s">
        <v>78</v>
      </c>
      <c r="AM44" s="54" t="s">
        <v>79</v>
      </c>
    </row>
    <row r="45" spans="1:39">
      <c r="A45" s="45" t="str" cm="1">
        <f t="array" ref="A45">IF(H45="PROJECT", CHAR(10) &amp; "- " &amp; _xlfn.TEXTJOIN(CHAR(10) &amp; "- ", TRUE, _xlfn._xlws.FILTER($I$9:$I$1000, ($B$9:$B$1000=B45) * ($H$9:$H$1000="Topic"))), "")</f>
        <v/>
      </c>
      <c r="B45" s="45">
        <f t="shared" si="1"/>
        <v>4</v>
      </c>
      <c r="C45" s="95">
        <v>15</v>
      </c>
      <c r="D45" s="57">
        <v>4</v>
      </c>
      <c r="E45" s="58" t="s">
        <v>46</v>
      </c>
      <c r="F45" s="59">
        <v>38</v>
      </c>
      <c r="G45" s="60" t="s">
        <v>158</v>
      </c>
      <c r="H45" s="60" t="s">
        <v>48</v>
      </c>
      <c r="I45" s="61" t="s">
        <v>804</v>
      </c>
      <c r="J45" s="62" t="s">
        <v>805</v>
      </c>
      <c r="K45" s="129" t="str">
        <f t="shared" si="2"/>
        <v xml:space="preserve">[ROLE] Friendly tutor specializing in Dart Object-Oriented &amp; Advanced Patterns | [TOPIC] Assert Behaviors using test(), expect(), and throwsA(). | [LEVEL] Intermediate | [COUNT] 4 examples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class definitions ('class'), constructors, instance methods, and getters/setters in EVERY example. | [CODE_CONSTRAINTS_RULE]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[I_O_PARADIGM] Use Basic primitive types (int, double, String, bool) or simple List/Map structures within classes. and gracefully handle print() statements with string interpolation to display outputs clearly. when applicable. | [INLINE_PACKAGE_MANAGER] If using external packages, use Dart native classes, constructors, OOP patterns,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#38 | Stage 1 📖 Practice | Dart Object-Oriented &amp; Advanced Patterns | 📊 Level: Intermediate | 🌐 Coding5s.com
**Concept:** Behavior Assertions (test(), expect(), throwsA())
---
 | [INTRO RULE] Include a short tutor-style sentence in English before the analogy, followed by this EXACT instruction block translated to English: '🚨 **Your objective in this lesson:** To truly master the new Dart Object-Oriented &amp; Advanced Patterns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5"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Assert Behaviors using test(), expect(), and throwsA().. Topic details: Behavior Assertions (test(), expect(), throwsA()) | [LIBRARY BEING LEARNED]  | [LANGUAGE CONSISTENCY RULE] ALL output text MUST be written strictly in (English). | [LANGUAGE SEED CONTEXT] Language Seed Not Necessary | [LANGUAGE] English | [MENTOR_SCOPE_EXPECTATIONS] Expect clean class definitions, proper encapsulation (using '_'), named constructors, and correct 'this' usage. Enforce solid OOP principles.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#38 | Practice | Dart Object-Oriented &amp; Advanced Patterns | 📊 Level: Intermediate
**Topic:** Assert Behaviors using test(), expect(), and throwsA().
---
 | [FOOTER RULE - STRICT] End your response with: '--- ⚡ *Coding5s Mentor System — Eliminating Epistemic Debt*' | </v>
      </c>
      <c r="M45" s="53">
        <v>0</v>
      </c>
      <c r="N45" s="102" t="str">
        <f t="shared" si="4"/>
        <v>[ROLE] Careless Dart Object-Oriented &amp; Advanced Patterns Developer | [TASK] Generate debugging challenges in Dart Object-Oriented &amp; Advanced Patterns | | [TOPIC] Assert Behaviors using test(), expect(), and throwsA(). | | [LEVEL] Intermediate |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#38 | Stage 2 🐛 Debug | Dart Object-Oriented &amp; Advanced Patterns | 📊 Level: Intermediate | 🌐 Coding5s.com
Concept: Behavior Assertions (test(), expect(), throwsA())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object validation inside main(). | [DEPENDENCY_MANAGEMENT_RULE] Standard Dart runtime context. If external packages are needed, specify them strictly in pubspec.yaml support files. | [CODE CONSTRAINTS] Each challenge MUST include: internal data OR collection usage, at least 1 print statement, at least 1 loop (when applicable), EXACTLY 1 class definition, 1 constructor, and EXACTLY 1 class instantiation within main(). - 10–25 lines of EXECUTABLE broken Dart code per challenge (STRICT: Do NOT count blank lines). All logic MUST be encapsulated inside class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Object-Oriented &amp; Advanced Patterns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5"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Assert Behaviors using test(), expect(), and throwsA().. Topic details: Behavior Assertions (test(), expect(), throwsA())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#38 | Debug | Dart Object-Oriented &amp; Advanced Patterns | 📊 Level: Intermediate
**Topic:** Assert Behaviors using test(), expect(), and throwsA().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5" s="53">
        <v>0</v>
      </c>
      <c r="Q45" s="102" t="str">
        <f t="shared" si="6"/>
        <v>[ROLE] Tech Lead | [TASK] Assign incomplete Dart Object-Oriented &amp; Advanced Patterns script challenges | [TOPIC] Assert Behaviors using test(), expect(), and throwsA(). | [LEVEL] Intermediate | [COUNT] 4 challenges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[HEADER RULE - STRICT] You MUST start your entire response EXACTLY with this markdown block (do not print anything before it):
### 🔹 Topic #38 | Stage 3 🧩 Complete | Dart Object-Oriented &amp; Advanced Patterns | 📊 Level: Intermediate | 🌐 Coding5s.com
**Concept:** Behavior Assertions (test(), expect(), throwsA())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property assignment, method call, or direct comparison). NO complex buffer redirections or string parsing. - 10–25 5-15 lines of EXECUTABLE base code with a main() entry point. Code outside // TODO MUST be 100% valid and readable. All code MUST be encapsulated within a class structure.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Object-Oriented &amp; Advanced Patterns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Assert Behaviors using test(), expect(), and throwsA()..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5"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Assert Behaviors using test(), expect(), and throwsA().. Topic details: Behavior Assertions (test(), expect(), throwsA())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#38 | Complete | Dart Object-Oriented &amp; Advanced Patterns | 📊 Level: Intermediate
**Topic:** Assert Behaviors using test(), expect(), and throwsA().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5" s="53">
        <v>0</v>
      </c>
      <c r="T45" s="102" t="str">
        <f t="shared" si="8"/>
        <v>[ROLE] Tech Lead | [TASK] Provide intentionally messy but functional code for learning debugging and improvement | [TOPIC] Assert Behaviors using test(), expect(), and throwsA(). | [LEVEL] Intermediate | [COUNT] 4 challenges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#38 | Stage 4 🧹 Refactor | Dart Object-Oriented &amp; Advanced Patterns | 📊 Level: Intermediate | 🌐 Coding5s.com
**Concept:** Behavior Assertions (test(), expect(), throwsA())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Object-Oriented &amp; Advanced Patterns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TOPIC: Assert Behaviors using test(), expect(), and throwsA().. Topic details: Behavior Assertions (test(), expect(), throwsA())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#38 | Refactor | Dart Object-Oriented &amp; Advanced Patterns | 📊 Level: Intermediate
**Topic:** Assert Behaviors using test(), expect(), and throwsA().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5" s="53">
        <v>0</v>
      </c>
      <c r="W45" s="87" t="str">
        <f t="shared" si="10"/>
        <v>[ROLE] Tech Product Manager assigning a Dart Object-Oriented &amp; Advanced Patterns Jira Ticket | [TASK] Provide a guided implementation exercise with full solution for learning purposes | [TOPIC] Assert Behaviors using test(), expect(), and throwsA(). | [LEVEL] Intermediate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#38 | Stage 5 | Dart Object-Oriented &amp; Advanced Patterns | 📊 Level: Intermediate | 🌐 Coding5s.com
**Concept:** Behavior Assertions (test(), expect(), throwsA())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Object-Oriented &amp; Advanced Patterns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Object-Oriented &amp; Advanced Patterns Dev']
Subject: Assignment Details
Hello [Insert my user name if known, otherwise use 'Dart Object-Oriented &amp; Advanced Patterns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Assert Behaviors using test(), expect(), and throwsA().. Goal: Behavior Assertions (test(), expect(), throwsA())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#38 | Extend | Dart Object-Oriented &amp; Advanced Patterns | 📊 Level: Intermediate
**Topic:** Assert Behaviors using test(), expect(), and throwsA().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5" s="53">
        <v>0</v>
      </c>
      <c r="Z45" s="56" t="str">
        <f t="shared" si="12"/>
        <v/>
      </c>
      <c r="AA45" s="56" t="str">
        <f t="shared" si="13"/>
        <v/>
      </c>
      <c r="AB45" s="56" t="str">
        <f t="shared" si="14"/>
        <v/>
      </c>
      <c r="AC45" s="56" t="str">
        <f t="shared" si="15"/>
        <v/>
      </c>
      <c r="AD45" s="56" t="str">
        <f t="shared" si="16"/>
        <v/>
      </c>
      <c r="AE45" s="40"/>
      <c r="AF45" s="40"/>
      <c r="AG45" s="40"/>
      <c r="AH45" s="56" t="str">
        <f t="shared" si="17"/>
        <v/>
      </c>
      <c r="AI45" s="54"/>
      <c r="AJ45" s="54"/>
      <c r="AK45" s="54">
        <v>37</v>
      </c>
      <c r="AL45" s="54" t="s">
        <v>83</v>
      </c>
      <c r="AM45" s="54" t="s">
        <v>84</v>
      </c>
    </row>
    <row r="46" spans="1:39">
      <c r="A46" s="45" t="str" cm="1">
        <f t="array" ref="A46">IF(H46="PROJECT", CHAR(10) &amp; "- " &amp; _xlfn.TEXTJOIN(CHAR(10) &amp; "- ", TRUE, _xlfn._xlws.FILTER($I$9:$I$1000, ($B$9:$B$1000=B46) * ($H$9:$H$1000="Topic"))), "")</f>
        <v xml:space="preserve">
- Define Extension Methods using extension on, show, and hide.
- Create Extension Types using extension type and zero-cost wrappers.
- Apply Inheritance Modifiers using final class, base class, and interface class.
- Implement Sealed Hierarchies using sealed class and switch exhaustiveness.
- Create Generic Classes using class Box&lt;T&gt; and class Pair&lt;K, V&gt;.
- Apply Bounded Type Constraints using &lt;T BaseType extends&gt; and &lt;T Object extends&gt;.
- Implement Custom Exceptions using implements Exception and toString().
- Extend Errors using extends Error and capturing state.
- Organize Test Suites using group(), setUp(), and tearDown().
- Assert Behaviors using test(), expect(), and throwsA().</v>
      </c>
      <c r="B46" s="45">
        <f t="shared" si="1"/>
        <v>4</v>
      </c>
      <c r="C46" s="95">
        <v>30</v>
      </c>
      <c r="D46" s="57">
        <v>0</v>
      </c>
      <c r="E46" s="58" t="s">
        <v>46</v>
      </c>
      <c r="F46" s="59">
        <v>36</v>
      </c>
      <c r="G46" s="60" t="s">
        <v>159</v>
      </c>
      <c r="H46" s="60" t="s">
        <v>77</v>
      </c>
      <c r="I46" s="61" t="s">
        <v>800</v>
      </c>
      <c r="J46" s="62" t="s">
        <v>801</v>
      </c>
      <c r="K46" s="129" t="str">
        <f t="shared" si="2"/>
        <v>[TASK] Teach through a practical Dart Object-Oriented &amp; Advanced Patterns -  project following the micro-learning methodology, acting as a supportive tutor, creating a project about  Develop an advanced type-safe hierarchy consolidating Extension Methods, Extension Types, Inheritance Modifiers, Sealed Hierarchies, Generic Classes, Bounded Type Constraints, Exception Implementation, and Error Extension. | [TOPICS USED] 
- Define Extension Methods using extension on, show, and hide.
- Create Extension Types using extension type and zero-cost wrappers.
- Apply Inheritance Modifiers using final class, base class, and interface class.
- Implement Sealed Hierarchies using sealed class and switch exhaustiveness.
- Create Generic Classes using class Box&lt;T&gt; and class Pair&lt;K, V&gt;.
- Apply Bounded Type Constraints using &lt;T BaseType extends&gt; and &lt;T Object extends&gt;.
- Implement Custom Exceptions using implements Exception and toString().
- Extend Errors using extends Error and capturing state.
- Organize Test Suites using group(), setUp(), and tearDown().
- Assert Behaviors using test(), expect(), and throwsA().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classes, constructors, OOP patterns,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class purposes, parameters, return types, and exceptions. 3. CRITICAL: NO comment or docstring line may exceed 80 characters (Effective Dart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#36 | Stage 1 | Dart Object-Oriented &amp; Advanced Patterns | 📊 Level: Advanced | 🌐 Coding5s.com
**Project:** Advanced Type System and Error Handling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6" s="103" t="str">
        <f t="shared" si="3"/>
        <v xml:space="preserve">[MENTOR_S1_SAFE_GUIDE] Act as 'The Safe Guide' (El Hermano Mayor) - a World-Class Elite Technical Mentor for Stage 1 Practice specializing in Dart Object-Oriented &amp; Advanced Patterns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an advanced type-safe hierarchy consolidating Extension Methods, Extension Types, Inheritance Modifiers, Sealed Hierarchies, Generic Classes, Bounded Type Constraints, Exception Implementation, and Error Extension.. Topics applied in this project: 
- Define Extension Methods using extension on, show, and hide.
- Create Extension Types using extension type and zero-cost wrappers.
- Apply Inheritance Modifiers using final class, base class, and interface class.
- Implement Sealed Hierarchies using sealed class and switch exhaustiveness.
- Create Generic Classes using class Box&lt;T&gt; and class Pair&lt;K, V&gt;.
- Apply Bounded Type Constraints using &lt;T BaseType extends&gt; and &lt;T Object extends&gt;.
- Implement Custom Exceptions using implements Exception and toString().
- Extend Errors using extends Error and capturing state.
- Organize Test Suites using group(), setUp(), and tearDown().
- Assert Behaviors using test(), expect(), and throwsA().. Project objective: Advanced Type System and Error Handling Project | [LIBRARY BEING LEARNED]  | [LANGUAGE CONSISTENCY RULE] ALL output text MUST be written strictly in (English). | [LANGUAGE SEED CONTEXT] Language Seed Not Necessary | [LANGUAGE] English | [MENTOR_SCOPE_EXPECTATIONS] Expect advanced OOP architecture using abstract classes, mixins, factory constructors, interfaces, overriding, and composition. | [CODE_QUALITY_POLICIES]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Object-Oriented &amp; Advanced Patterns code, and fully functional Dart Object-Oriented &amp; Advanced Patterns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#36 | Practice | Dart Object-Oriented &amp; Advanced Patterns | 📊 Level: Advanced
**Project:** Develop an advanced type-safe hierarchy consolidating Extension Methods, Extension Types, Inheritance Modifiers, Sealed Hierarchies, Generic Classes, Bounded Type Constraints, Exception Implementation, and Error Extension.
---
 | [FOOTER RULE - STRICT] End your response with: '--- ⚡ *Coding5s Mentor System — Eliminating Epistemic Debt*' | </v>
      </c>
      <c r="M46" s="52">
        <v>0</v>
      </c>
      <c r="N46" s="102" t="str">
        <f t="shared" si="4"/>
        <v>[ROLE] Careless Dart Object-Oriented &amp; Advanced Patterns Developer | [TASK] Generate debugging project in Dart Object-Oriented &amp; Advanced Patterns | [PROJECT] Develop an advanced type-safe hierarchy consolidating Extension Methods, Extension Types, Inheritance Modifiers, Sealed Hierarchies, Generic Classes, Bounded Type Constraints, Exception Implementation, and Error Extension. | [TOPICS USED] 
- Define Extension Methods using extension on, show, and hide.
- Create Extension Types using extension type and zero-cost wrappers.
- Apply Inheritance Modifiers using final class, base class, and interface class.
- Implement Sealed Hierarchies using sealed class and switch exhaustiveness.
- Create Generic Classes using class Box&lt;T&gt; and class Pair&lt;K, V&gt;.
- Apply Bounded Type Constraints using &lt;T BaseType extends&gt; and &lt;T Object extends&gt;.
- Implement Custom Exceptions using implements Exception and toString().
- Extend Errors using extends Error and capturing state.
- Organize Test Suites using group(), setUp(), and tearDown().
- Assert Behaviors using test(), expect(), and throwsA(). | [LEVEL] Advanced | [OUTPUT] Only header, dataset summary or statement (if any), email intro, objective, expected output, broken code, and footer | [HEADER RULE - STRICT] You MUST start your entire response EXACTLY with this markdown block (do not print anything before it):
### 🚀 Project #36 | Stage 2 | Dart Object-Oriented &amp; Advanced Patterns | 📊 Level: Advanced | 🌐 Coding5s.com
Project: Advanced Type System and Error Handling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Dart OOP script. The project MUST contain EXACTLY 2-5 bugs mixing Syntax errors, Null-safety errors, OOP/Encapsulation logic errors, and Runtime Exceptions. 1. Syntax &amp; Type Errors (e.g., missing semicolons/brackets, type mismatches, constructor syntax errors, unhandled null access violating strict null safety), 2. Logic Errors (e.g., incorrect calculations, faulty comparison operators, improper encapsulation/getters, wrong return values), AND 3. Runtime Exceptions (e.g., StateError, RangeError, FormatException, NoSuchMethodError due to bad casting).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Object-Oriented &amp; Advanced Patterns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6" s="103" t="str">
        <f t="shared" si="5"/>
        <v xml:space="preserve">[MENTOR_S2_DETECTIVE] Act as 'The Analytical Partner' (El Detective con Café) - a World-Class Elite Technical Mentor for Stage 2 Debugging specializing in Dart Object-Oriented &amp; Advanced Patterns.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an advanced type-safe hierarchy consolidating Extension Methods, Extension Types, Inheritance Modifiers, Sealed Hierarchies, Generic Classes, Bounded Type Constraints, Exception Implementation, and Error Extension.. Topics involved: 
- Define Extension Methods using extension on, show, and hide.
- Create Extension Types using extension type and zero-cost wrappers.
- Apply Inheritance Modifiers using final class, base class, and interface class.
- Implement Sealed Hierarchies using sealed class and switch exhaustiveness.
- Create Generic Classes using class Box&lt;T&gt; and class Pair&lt;K, V&gt;.
- Apply Bounded Type Constraints using &lt;T BaseType extends&gt; and &lt;T Object extends&gt;.
- Implement Custom Exceptions using implements Exception and toString().
- Extend Errors using extends Error and capturing state.
- Organize Test Suites using group(), setUp(), and tearDown().
- Assert Behaviors using test(), expect(), and throwsA().. Project objective: Advanced Type System and Error Handling Project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#36 | Debug | Dart Object-Oriented &amp; Advanced Patterns | 📊 Level: Advanced
**Project:** Develop an advanced type-safe hierarchy consolidating Extension Methods, Extension Types, Inheritance Modifiers, Sealed Hierarchies, Generic Classes, Bounded Type Constraints, Exception Implementation, and Error Extension.
---
 | [CORE_QUALITY_POLICY]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Object-Oriented &amp; Advanced Patterns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Object-Oriented &amp; Advanced Patterns).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Object-Oriented &amp; Advanced Patterns code, and fully functional Dart Object-Oriented &amp; Advanced Patterns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6" s="52">
        <v>0</v>
      </c>
      <c r="Q46" s="102" t="str">
        <f t="shared" si="6"/>
        <v>[ROLE] Tech Lead | [TASK] Assign incomplete project script | [PROJECT] Develop an advanced type-safe hierarchy consolidating Extension Methods, Extension Types, Inheritance Modifiers, Sealed Hierarchies, Generic Classes, Bounded Type Constraints, Exception Implementation, and Error Extension. | [TOPICS USED] 
- Define Extension Methods using extension on, show, and hide.
- Create Extension Types using extension type and zero-cost wrappers.
- Apply Inheritance Modifiers using final class, base class, and interface class.
- Implement Sealed Hierarchies using sealed class and switch exhaustiveness.
- Create Generic Classes using class Box&lt;T&gt; and class Pair&lt;K, V&gt;.
- Apply Bounded Type Constraints using &lt;T BaseType extends&gt; and &lt;T Object extends&gt;.
- Implement Custom Exceptions using implements Exception and toString().
- Extend Errors using extends Error and capturing state.
- Organize Test Suites using group(), setUp(), and tearDown().
- Assert Behaviors using test(), expect(), and throwsA(). | [LEVEL] Advanced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#36 | Stage 3 | Dart Object-Oriented &amp; Advanced Patterns | 📊 Level: Advanced | 🌐 Coding5s.com
**Project:** Advanced Type System and Error Handling Project
---
 | [EXTERNAL_PACKAGE_PROTOCOL] Require standard dart pub tooling and pubspec.yaml file for external dependencies when applicable. | [CHALLENGE_CONSTRAINTS_POLICY] MUST be between 25-40 lines of EXECUTABLE base Dart code (STRICT: Do NOT count comments or // TODO blocks). 40–100 Class-based object architecture. Require at least 1 class with internal state management.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Object-Oriented &amp; Advanced Patterns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6" s="103" t="str">
        <f t="shared" si="7"/>
        <v xml:space="preserve">[MENTOR_S3_BUILDER] Act as 'The Logical Scaffold' (El Maestro de Obra) - a World-Class Elite Technical Mentor for Stage 3 Code Completion specializing in Dart Object-Oriented &amp; Advanced Patterns.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an advanced type-safe hierarchy consolidating Extension Methods, Extension Types, Inheritance Modifiers, Sealed Hierarchies, Generic Classes, Bounded Type Constraints, Exception Implementation, and Error Extension.. Topics involved: 
- Define Extension Methods using extension on, show, and hide.
- Create Extension Types using extension type and zero-cost wrappers.
- Apply Inheritance Modifiers using final class, base class, and interface class.
- Implement Sealed Hierarchies using sealed class and switch exhaustiveness.
- Create Generic Classes using class Box&lt;T&gt; and class Pair&lt;K, V&gt;.
- Apply Bounded Type Constraints using &lt;T BaseType extends&gt; and &lt;T Object extends&gt;.
- Implement Custom Exceptions using implements Exception and toString().
- Extend Errors using extends Error and capturing state.
- Organize Test Suites using group(), setUp(), and tearDown().
- Assert Behaviors using test(), expect(), and throwsA().. Project objective: Advanced Type System and Error Handling Project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#36 | Complete | Dart Object-Oriented &amp; Advanced Patterns | 📊 Level: Advanced
**Project:** Develop an advanced type-safe hierarchy consolidating Extension Methods, Extension Types, Inheritance Modifiers, Sealed Hierarchies, Generic Classes, Bounded Type Constraints, Exception Implementation, and Error Extension.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6" s="52">
        <v>0</v>
      </c>
      <c r="T46" s="102" t="str">
        <f t="shared" si="8"/>
        <v>[ROLE] Tech Lead | [TASK] Provide a messy but functional project for refactoring | [PROJECT] Develop an advanced type-safe hierarchy consolidating Extension Methods, Extension Types, Inheritance Modifiers, Sealed Hierarchies, Generic Classes, Bounded Type Constraints, Exception Implementation, and Error Extension. | [TOPICS USED] 
- Define Extension Methods using extension on, show, and hide.
- Create Extension Types using extension type and zero-cost wrappers.
- Apply Inheritance Modifiers using final class, base class, and interface class.
- Implement Sealed Hierarchies using sealed class and switch exhaustiveness.
- Create Generic Classes using class Box&lt;T&gt; and class Pair&lt;K, V&gt;.
- Apply Bounded Type Constraints using &lt;T BaseType extends&gt; and &lt;T Object extends&gt;.
- Implement Custom Exceptions using implements Exception and toString().
- Extend Errors using extends Error and capturing state.
- Organize Test Suites using group(), setUp(), and tearDown().
- Assert Behaviors using test(), expect(), and throwsA(). | [LEVEL] Advanced | [PERSONA RULE] Act as a Tech Lead. A junior wrote this working but messy code. Tone: professional but exhausted | [HEADER RULE - STRICT] You MUST start your entire response EXACTLY with this markdown block (do not print anything before it):
### 🚀 Project #36 | Stage 4 | Dart Object-Oriented &amp; Advanced Patterns | 📊 Level: Advanced | 🌐 Coding5s.com
**Project:** Advanced Type System and Error Handling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Object-Oriented &amp; Advanced Patterns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Object-Oriented &amp; Advanced Patterns', 'limpia este desastre'). Match the cultural vibe of a senior who is tired of seeing bad code. | [CONTEXT] You are performing a Code Review for a PROJECT: Develop an advanced type-safe hierarchy consolidating Extension Methods, Extension Types, Inheritance Modifiers, Sealed Hierarchies, Generic Classes, Bounded Type Constraints, Exception Implementation, and Error Extension.. Topics involved: 
- Define Extension Methods using extension on, show, and hide.
- Create Extension Types using extension type and zero-cost wrappers.
- Apply Inheritance Modifiers using final class, base class, and interface class.
- Implement Sealed Hierarchies using sealed class and switch exhaustiveness.
- Create Generic Classes using class Box&lt;T&gt; and class Pair&lt;K, V&gt;.
- Apply Bounded Type Constraints using &lt;T BaseType extends&gt; and &lt;T Object extends&gt;.
- Implement Custom Exceptions using implements Exception and toString().
- Extend Errors using extends Error and capturing state.
- Organize Test Suites using group(), setUp(), and tearDown().
- Assert Behaviors using test(), expect(), and throwsA().. Project objective: Advanced Type System and Error Handling Project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#36 | Refactor | Dart Object-Oriented &amp; Advanced Patterns | 📊 Level: Advanced
**Project:** Develop an advanced type-safe hierarchy consolidating Extension Methods, Extension Types, Inheritance Modifiers, Sealed Hierarchies, Generic Classes, Bounded Type Constraints, Exception Implementation, and Error Extension.
---
 | [PYTHON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Object-Oriented &amp; Advanced Patterns built-in, standard library module, or good Dart Object-Oriented &amp; Advanced Patterns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Object-Oriented &amp; Advanced Patterns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6" s="52">
        <v>0</v>
      </c>
      <c r="W46" s="87" t="str">
        <f t="shared" si="10"/>
        <v>[ROLE] Tech Product Manager assigning a Dart Object-Oriented &amp; Advanced Patterns Jira Ticket | [TASK] Provide a guided project implementation with full solution | [PROJECT] Develop an advanced type-safe hierarchy consolidating Extension Methods, Extension Types, Inheritance Modifiers, Sealed Hierarchies, Generic Classes, Bounded Type Constraints, Exception Implementation, and Error Extension. | [TOPICS USED] 
- Define Extension Methods using extension on, show, and hide.
- Create Extension Types using extension type and zero-cost wrappers.
- Apply Inheritance Modifiers using final class, base class, and interface class.
- Implement Sealed Hierarchies using sealed class and switch exhaustiveness.
- Create Generic Classes using class Box&lt;T&gt; and class Pair&lt;K, V&gt;.
- Apply Bounded Type Constraints using &lt;T BaseType extends&gt; and &lt;T Object extends&gt;.
- Implement Custom Exceptions using implements Exception and toString().
- Extend Errors using extends Error and capturing state.
- Organize Test Suites using group(), setUp(), and tearDown().
- Assert Behaviors using test(), expect(), and throwsA(). | [LEVEL] Advanced | [PERSONA RULE] Act as a professional Tech Product Manager defining a project ticket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[HEADER RULE - STRICT] You MUST start your entire response EXACTLY with this markdown block (do not print anything before it):
### 🚀 Project #36 | Stage 5 | Dart Object-Oriented &amp; Advanced Patterns | 📊 Level: Advanced | 🌐 Coding5s.com
**Project:** Advanced Type System and Error Handling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Object-Oriented &amp; Advanced Patterns Dev']
Subject: Assignment Details
Hello [Insert my user name if known, otherwise use 'Dart Object-Oriented &amp; Advanced Patterns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an advanced type-safe hierarchy consolidating Extension Methods, Extension Types, Inheritance Modifiers, Sealed Hierarchies, Generic Classes, Bounded Type Constraints, Exception Implementation, and Error Extension.. Topics integrated: 
- Define Extension Methods using extension on, show, and hide.
- Create Extension Types using extension type and zero-cost wrappers.
- Apply Inheritance Modifiers using final class, base class, and interface class.
- Implement Sealed Hierarchies using sealed class and switch exhaustiveness.
- Create Generic Classes using class Box&lt;T&gt; and class Pair&lt;K, V&gt;.
- Apply Bounded Type Constraints using &lt;T BaseType extends&gt; and &lt;T Object extends&gt;.
- Implement Custom Exceptions using implements Exception and toString().
- Extend Errors using extends Error and capturing state.
- Organize Test Suites using group(), setUp(), and tearDown().
- Assert Behaviors using test(), expect(), and throwsA().. Business Goal: Advanced Type System and Error Handling Project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#36 | Extend | Dart Object-Oriented &amp; Advanced Patterns | 📊 Level: Advanced
**Project:** Develop an advanced type-safe hierarchy consolidating Extension Methods, Extension Types, Inheritance Modifiers, Sealed Hierarchies, Generic Classes, Bounded Type Constraints, Exception Implementation, and Error Extension.
---
 | [CODE_QUALITY_PROTOCOL]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6" s="52">
        <v>0</v>
      </c>
      <c r="Z46" s="56" t="str">
        <f t="shared" si="12"/>
        <v>[TASK] Teach through a practical Dart Object-Oriented &amp; Advanced Patterns -  project following the micro-learning methodology, acting as a supportive tutor, creating a project about  Develop an advanced type-safe hierarchy consolidating Extension Methods, Extension Types, Inheritance Modifiers, Sealed Hierarchies, Generic Classes, Bounded Type Constraints, Exception Implementation, and Error Extension. | [TOPICS USED] 
- Define Extension Methods using extension on, show, and hide.
- Create Extension Types using extension type and zero-cost wrappers.
- Apply Inheritance Modifiers using final class, base class, and interface class.
- Implement Sealed Hierarchies using sealed class and switch exhaustiveness.
- Create Generic Classes using class Box&lt;T&gt; and class Pair&lt;K, V&gt;.
- Apply Bounded Type Constraints using &lt;T BaseType extends&gt; and &lt;T Object extends&gt;.
- Implement Custom Exceptions using implements Exception and toString().
- Extend Errors using extends Error and capturing state.
- Organize Test Suites using group(), setUp(), and tearDown().
- Assert Behaviors using test(), expect(), and throwsA().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classes, constructors, OOP patterns,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class purposes, parameters, return types, and exceptions. 3. CRITICAL: NO comment or docstring line may exceed 80 characters (Effective Dart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#36 | Stage 1 | Dart Object-Oriented &amp; Advanced Patterns | 📊 Level: Advanced | 🌐 Coding5s.com
**Project:** Advanced Type System and Error Handling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6" s="56" t="str">
        <f t="shared" si="13"/>
        <v>[ROLE] Careless Dart Object-Oriented &amp; Advanced Patterns Developer | [TASK] Generate debugging project in Dart Object-Oriented &amp; Advanced Patterns | [PROJECT] Develop an advanced type-safe hierarchy consolidating Extension Methods, Extension Types, Inheritance Modifiers, Sealed Hierarchies, Generic Classes, Bounded Type Constraints, Exception Implementation, and Error Extension. | [TOPICS USED] 
- Define Extension Methods using extension on, show, and hide.
- Create Extension Types using extension type and zero-cost wrappers.
- Apply Inheritance Modifiers using final class, base class, and interface class.
- Implement Sealed Hierarchies using sealed class and switch exhaustiveness.
- Create Generic Classes using class Box&lt;T&gt; and class Pair&lt;K, V&gt;.
- Apply Bounded Type Constraints using &lt;T BaseType extends&gt; and &lt;T Object extends&gt;.
- Implement Custom Exceptions using implements Exception and toString().
- Extend Errors using extends Error and capturing state.
- Organize Test Suites using group(), setUp(), and tearDown().
- Assert Behaviors using test(), expect(), and throwsA(). | [LEVEL] Advanced | [OUTPUT] Only header, dataset summary or statement (if any), email intro, objective, expected output, broken code, and footer | [HEADER RULE - STRICT] You MUST start your entire response EXACTLY with this markdown block (do not print anything before it):
### 🚀 Project #36 | Stage 2 | Dart Object-Oriented &amp; Advanced Patterns | 📊 Level: Advanced | 🌐 Coding5s.com
Project: Advanced Type System and Error Handling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Dart OOP script. The project MUST contain EXACTLY 2-5 bugs mixing Syntax errors, Null-safety errors, OOP/Encapsulation logic errors, and Runtime Exceptions. 1. Syntax &amp; Type Errors (e.g., missing semicolons/brackets, type mismatches, constructor syntax errors, unhandled null access violating strict null safety), 2. Logic Errors (e.g., incorrect calculations, faulty comparison operators, improper encapsulation/getters, wrong return values), AND 3. Runtime Exceptions (e.g., StateError, RangeError, FormatException, NoSuchMethodError due to bad casting).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Object-Oriented &amp; Advanced Patterns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6" s="56" t="str">
        <f t="shared" si="14"/>
        <v>[ROLE] Tech Lead | [TASK] Assign incomplete project script | [PROJECT] Develop an advanced type-safe hierarchy consolidating Extension Methods, Extension Types, Inheritance Modifiers, Sealed Hierarchies, Generic Classes, Bounded Type Constraints, Exception Implementation, and Error Extension. | [TOPICS USED] 
- Define Extension Methods using extension on, show, and hide.
- Create Extension Types using extension type and zero-cost wrappers.
- Apply Inheritance Modifiers using final class, base class, and interface class.
- Implement Sealed Hierarchies using sealed class and switch exhaustiveness.
- Create Generic Classes using class Box&lt;T&gt; and class Pair&lt;K, V&gt;.
- Apply Bounded Type Constraints using &lt;T BaseType extends&gt; and &lt;T Object extends&gt;.
- Implement Custom Exceptions using implements Exception and toString().
- Extend Errors using extends Error and capturing state.
- Organize Test Suites using group(), setUp(), and tearDown().
- Assert Behaviors using test(), expect(), and throwsA(). | [LEVEL] Advanced | [LIBRARY BEING LEARNED]  | [ECOSYSTEM ORIENTATION RULE] If a data manipulation library, external package, or ecosystem like Pandas or NumPy is specified in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#36 | Stage 3 | Dart Object-Oriented &amp; Advanced Patterns | 📊 Level: Advanced | 🌐 Coding5s.com
**Project:** Advanced Type System and Error Handling Project
---
 | [EXTERNAL_PACKAGE_PROTOCOL] Require standard dart pub tooling and pubspec.yaml file for external dependencies when applicable. | [CHALLENGE_CONSTRAINTS_POLICY] MUST be between 25-40 lines of EXECUTABLE base Dart code (STRICT: Do NOT count comments or // TODO blocks). 40–100 Class-based object architecture. Require at least 1 class with internal state management.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Object-Oriented &amp; Advanced Patterns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6" s="56" t="str">
        <f t="shared" si="15"/>
        <v>[ROLE] Tech Lead | [TASK] Provide a messy but functional project for refactoring | [PROJECT] Develop an advanced type-safe hierarchy consolidating Extension Methods, Extension Types, Inheritance Modifiers, Sealed Hierarchies, Generic Classes, Bounded Type Constraints, Exception Implementation, and Error Extension. | [TOPICS USED] 
- Define Extension Methods using extension on, show, and hide.
- Create Extension Types using extension type and zero-cost wrappers.
- Apply Inheritance Modifiers using final class, base class, and interface class.
- Implement Sealed Hierarchies using sealed class and switch exhaustiveness.
- Create Generic Classes using class Box&lt;T&gt; and class Pair&lt;K, V&gt;.
- Apply Bounded Type Constraints using &lt;T BaseType extends&gt; and &lt;T Object extends&gt;.
- Implement Custom Exceptions using implements Exception and toString().
- Extend Errors using extends Error and capturing state.
- Organize Test Suites using group(), setUp(), and tearDown().
- Assert Behaviors using test(), expect(), and throwsA(). | [LEVEL] Advanced | [PERSONA RULE] Act as a Tech Lead. A junior wrote this working but messy code. Tone: professional but exhausted | [HEADER RULE - STRICT] You MUST start your entire response EXACTLY with this markdown block (do not print anything before it):
### 🚀 Project #36 | Stage 4 | Dart Object-Oriented &amp; Advanced Patterns | 📊 Level: Advanced | 🌐 Coding5s.com
**Project:** Advanced Type System and Error Handling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Object-Oriented &amp; Advanced Patterns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6" s="56" t="str">
        <f t="shared" si="16"/>
        <v>[ROLE] Tech Product Manager assigning a Dart Object-Oriented &amp; Advanced Patterns Jira Ticket | [TASK] Provide a guided project implementation with full solution | [PROJECT] Develop an advanced type-safe hierarchy consolidating Extension Methods, Extension Types, Inheritance Modifiers, Sealed Hierarchies, Generic Classes, Bounded Type Constraints, Exception Implementation, and Error Extension. | [TOPICS USED] 
- Define Extension Methods using extension on, show, and hide.
- Create Extension Types using extension type and zero-cost wrappers.
- Apply Inheritance Modifiers using final class, base class, and interface class.
- Implement Sealed Hierarchies using sealed class and switch exhaustiveness.
- Create Generic Classes using class Box&lt;T&gt; and class Pair&lt;K, V&gt;.
- Apply Bounded Type Constraints using &lt;T BaseType extends&gt; and &lt;T Object extends&gt;.
- Implement Custom Exceptions using implements Exception and toString().
- Extend Errors using extends Error and capturing state.
- Organize Test Suites using group(), setUp(), and tearDown().
- Assert Behaviors using test(), expect(), and throwsA(). | [LEVEL] Advanced | [PERSONA RULE] Act as a professional Tech Product Manager defining a project ticket | [LIBRARY BEING LEARNED]  | [ECOSYSTEM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[HEADER RULE - STRICT] You MUST start your entire response EXACTLY with this markdown block (do not print anything before it):
### 🚀 Project #36 | Stage 5 | Dart Object-Oriented &amp; Advanced Patterns | 📊 Level: Advanced | 🌐 Coding5s.com
**Project:** Advanced Type System and Error Handling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Object-Oriented &amp; Advanced Patterns Dev']
Subject: Assignment Details
Hello [Insert my user name if known, otherwise use 'Dart Object-Oriented &amp; Advanced Patterns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6" s="40"/>
      <c r="AF46" s="40"/>
      <c r="AG46" s="40"/>
      <c r="AH46" s="56" t="str">
        <f t="shared" si="17"/>
        <v/>
      </c>
      <c r="AI46" s="54"/>
      <c r="AJ46" s="54"/>
      <c r="AK46" s="54">
        <v>38</v>
      </c>
      <c r="AL46" s="54" t="s">
        <v>88</v>
      </c>
      <c r="AM46" s="54" t="s">
        <v>89</v>
      </c>
    </row>
    <row r="47" spans="1:39">
      <c r="A47" s="45" t="str" cm="1">
        <f t="array" ref="A47">IF(H47="PROJECT", CHAR(10) &amp; "- " &amp; _xlfn.TEXTJOIN(CHAR(10) &amp; "- ", TRUE, _xlfn._xlws.FILTER($I$9:$I$1000, ($B$9:$B$1000=B47) * ($H$9:$H$1000="Topic"))), "")</f>
        <v/>
      </c>
      <c r="B47" s="45" t="str">
        <f t="shared" si="1"/>
        <v/>
      </c>
      <c r="C47" s="95"/>
      <c r="D47" s="57"/>
      <c r="E47" s="58"/>
      <c r="F47" s="59"/>
      <c r="G47" s="60"/>
      <c r="H47" s="60"/>
      <c r="I47" s="61"/>
      <c r="J47" s="62"/>
      <c r="K47" s="129" t="str">
        <f t="shared" si="2"/>
        <v/>
      </c>
      <c r="L47" s="103" t="str">
        <f t="shared" si="3"/>
        <v/>
      </c>
      <c r="M47" s="53">
        <v>0</v>
      </c>
      <c r="N47" s="102" t="str">
        <f t="shared" si="4"/>
        <v/>
      </c>
      <c r="O47" s="103" t="str">
        <f t="shared" si="5"/>
        <v/>
      </c>
      <c r="P47" s="53">
        <v>0</v>
      </c>
      <c r="Q47" s="102" t="str">
        <f t="shared" si="6"/>
        <v/>
      </c>
      <c r="R47" s="103" t="str">
        <f t="shared" si="7"/>
        <v/>
      </c>
      <c r="S47" s="53">
        <v>0</v>
      </c>
      <c r="T47" s="102" t="str">
        <f t="shared" si="8"/>
        <v/>
      </c>
      <c r="U47" s="103" t="str">
        <f t="shared" si="9"/>
        <v/>
      </c>
      <c r="V47" s="53">
        <v>0</v>
      </c>
      <c r="W47" s="87" t="str">
        <f t="shared" si="10"/>
        <v/>
      </c>
      <c r="X47" s="103" t="str">
        <f t="shared" si="11"/>
        <v/>
      </c>
      <c r="Y47" s="53">
        <v>0</v>
      </c>
      <c r="Z47" s="56" t="str">
        <f t="shared" si="12"/>
        <v/>
      </c>
      <c r="AA47" s="56" t="str">
        <f t="shared" si="13"/>
        <v/>
      </c>
      <c r="AB47" s="56" t="str">
        <f t="shared" si="14"/>
        <v/>
      </c>
      <c r="AC47" s="56" t="str">
        <f t="shared" si="15"/>
        <v/>
      </c>
      <c r="AD47" s="56" t="str">
        <f t="shared" si="16"/>
        <v/>
      </c>
      <c r="AE47" s="40"/>
      <c r="AF47" s="40"/>
      <c r="AG47" s="40"/>
      <c r="AH47" s="56" t="str">
        <f t="shared" si="17"/>
        <v/>
      </c>
      <c r="AI47" s="54"/>
      <c r="AJ47" s="54"/>
      <c r="AK47" s="54">
        <v>39</v>
      </c>
      <c r="AL47" s="54" t="s">
        <v>93</v>
      </c>
      <c r="AM47" s="54" t="s">
        <v>94</v>
      </c>
    </row>
    <row r="48" spans="1:39">
      <c r="A48" s="45" t="str" cm="1">
        <f t="array" ref="A48">IF(H48="PROJECT", CHAR(10) &amp; "- " &amp; _xlfn.TEXTJOIN(CHAR(10) &amp; "- ", TRUE, _xlfn._xlws.FILTER($I$9:$I$1000, ($B$9:$B$1000=B48) * ($H$9:$H$1000="Topic"))), "")</f>
        <v/>
      </c>
      <c r="B48" s="45" t="str">
        <f t="shared" si="1"/>
        <v/>
      </c>
      <c r="C48" s="95"/>
      <c r="D48" s="57"/>
      <c r="E48" s="58"/>
      <c r="F48" s="59"/>
      <c r="G48" s="60"/>
      <c r="H48" s="60"/>
      <c r="I48" s="61"/>
      <c r="J48" s="62"/>
      <c r="K48" s="129" t="str">
        <f t="shared" si="2"/>
        <v/>
      </c>
      <c r="L48" s="103" t="str">
        <f t="shared" si="3"/>
        <v/>
      </c>
      <c r="M48" s="52">
        <v>0</v>
      </c>
      <c r="N48" s="102" t="str">
        <f t="shared" si="4"/>
        <v/>
      </c>
      <c r="O48" s="103" t="str">
        <f t="shared" si="5"/>
        <v/>
      </c>
      <c r="P48" s="52">
        <v>0</v>
      </c>
      <c r="Q48" s="102" t="str">
        <f t="shared" si="6"/>
        <v/>
      </c>
      <c r="R48" s="103" t="str">
        <f t="shared" si="7"/>
        <v/>
      </c>
      <c r="S48" s="52">
        <v>0</v>
      </c>
      <c r="T48" s="102" t="str">
        <f t="shared" si="8"/>
        <v/>
      </c>
      <c r="U48" s="103" t="str">
        <f t="shared" si="9"/>
        <v/>
      </c>
      <c r="V48" s="52">
        <v>0</v>
      </c>
      <c r="W48" s="87" t="str">
        <f t="shared" si="10"/>
        <v/>
      </c>
      <c r="X48" s="103" t="str">
        <f t="shared" si="11"/>
        <v/>
      </c>
      <c r="Y48" s="52">
        <v>0</v>
      </c>
      <c r="Z48" s="56" t="str">
        <f t="shared" si="12"/>
        <v/>
      </c>
      <c r="AA48" s="56" t="str">
        <f t="shared" si="13"/>
        <v/>
      </c>
      <c r="AB48" s="56" t="str">
        <f t="shared" si="14"/>
        <v/>
      </c>
      <c r="AC48" s="56" t="str">
        <f t="shared" si="15"/>
        <v/>
      </c>
      <c r="AD48" s="56" t="str">
        <f t="shared" si="16"/>
        <v/>
      </c>
      <c r="AE48" s="40"/>
      <c r="AF48" s="40"/>
      <c r="AG48" s="40"/>
      <c r="AH48" s="56" t="str">
        <f t="shared" si="17"/>
        <v/>
      </c>
      <c r="AI48" s="54"/>
      <c r="AJ48" s="54"/>
      <c r="AK48" s="54">
        <v>40</v>
      </c>
      <c r="AL48" s="54" t="s">
        <v>98</v>
      </c>
      <c r="AM48" s="54" t="s">
        <v>99</v>
      </c>
    </row>
    <row r="49" spans="1:39">
      <c r="A49" s="45" t="str" cm="1">
        <f t="array" ref="A49">IF(H49="PROJECT", CHAR(10) &amp; "- " &amp; _xlfn.TEXTJOIN(CHAR(10) &amp; "- ", TRUE, _xlfn._xlws.FILTER($I$9:$I$1000, ($B$9:$B$1000=B49) * ($H$9:$H$1000="Topic"))), "")</f>
        <v/>
      </c>
      <c r="B49" s="45" t="str">
        <f t="shared" si="1"/>
        <v/>
      </c>
      <c r="C49" s="95"/>
      <c r="D49" s="46"/>
      <c r="E49" s="58"/>
      <c r="F49" s="48"/>
      <c r="G49" s="49"/>
      <c r="H49" s="49"/>
      <c r="I49" s="50"/>
      <c r="J49" s="51"/>
      <c r="K49" s="129" t="str">
        <f t="shared" si="2"/>
        <v/>
      </c>
      <c r="L49" s="103" t="str">
        <f t="shared" si="3"/>
        <v/>
      </c>
      <c r="M49" s="53">
        <v>0</v>
      </c>
      <c r="N49" s="102" t="str">
        <f t="shared" si="4"/>
        <v/>
      </c>
      <c r="O49" s="103" t="str">
        <f t="shared" si="5"/>
        <v/>
      </c>
      <c r="P49" s="53">
        <v>0</v>
      </c>
      <c r="Q49" s="102" t="str">
        <f t="shared" si="6"/>
        <v/>
      </c>
      <c r="R49" s="103" t="str">
        <f t="shared" si="7"/>
        <v/>
      </c>
      <c r="S49" s="53">
        <v>0</v>
      </c>
      <c r="T49" s="102" t="str">
        <f t="shared" si="8"/>
        <v/>
      </c>
      <c r="U49" s="103" t="str">
        <f t="shared" si="9"/>
        <v/>
      </c>
      <c r="V49" s="53">
        <v>0</v>
      </c>
      <c r="W49" s="87" t="str">
        <f t="shared" si="10"/>
        <v/>
      </c>
      <c r="X49" s="103" t="str">
        <f t="shared" si="11"/>
        <v/>
      </c>
      <c r="Y49" s="53">
        <v>0</v>
      </c>
      <c r="Z49" s="56" t="str">
        <f t="shared" si="12"/>
        <v/>
      </c>
      <c r="AA49" s="56" t="str">
        <f t="shared" si="13"/>
        <v/>
      </c>
      <c r="AB49" s="56" t="str">
        <f t="shared" si="14"/>
        <v/>
      </c>
      <c r="AC49" s="56" t="str">
        <f t="shared" si="15"/>
        <v/>
      </c>
      <c r="AD49" s="56" t="str">
        <f t="shared" si="16"/>
        <v/>
      </c>
      <c r="AE49" s="40"/>
      <c r="AF49" s="40"/>
      <c r="AG49" s="40"/>
      <c r="AH49" s="56" t="str">
        <f t="shared" si="17"/>
        <v/>
      </c>
      <c r="AI49" s="54"/>
      <c r="AJ49" s="54"/>
      <c r="AK49" s="54"/>
      <c r="AL49" s="54"/>
      <c r="AM49" s="54"/>
    </row>
    <row r="50" spans="1:39">
      <c r="A50" s="45" t="str" cm="1">
        <f t="array" ref="A50">IF(H50="PROJECT", CHAR(10) &amp; "- " &amp; _xlfn.TEXTJOIN(CHAR(10) &amp; "- ", TRUE, _xlfn._xlws.FILTER($I$9:$I$1000, ($B$9:$B$1000=B50) * ($H$9:$H$1000="Topic"))), "")</f>
        <v/>
      </c>
      <c r="B50" s="45" t="str">
        <f t="shared" si="1"/>
        <v/>
      </c>
      <c r="C50" s="95"/>
      <c r="D50" s="57"/>
      <c r="E50" s="58"/>
      <c r="F50" s="59"/>
      <c r="G50" s="60"/>
      <c r="H50" s="60"/>
      <c r="I50" s="61"/>
      <c r="J50" s="62"/>
      <c r="K50" s="129" t="str">
        <f t="shared" si="2"/>
        <v/>
      </c>
      <c r="L50" s="103" t="str">
        <f t="shared" si="3"/>
        <v/>
      </c>
      <c r="M50" s="52">
        <v>0</v>
      </c>
      <c r="N50" s="102" t="str">
        <f t="shared" si="4"/>
        <v/>
      </c>
      <c r="O50" s="103" t="str">
        <f t="shared" si="5"/>
        <v/>
      </c>
      <c r="P50" s="52">
        <v>0</v>
      </c>
      <c r="Q50" s="102" t="str">
        <f t="shared" si="6"/>
        <v/>
      </c>
      <c r="R50" s="103" t="str">
        <f t="shared" si="7"/>
        <v/>
      </c>
      <c r="S50" s="52">
        <v>0</v>
      </c>
      <c r="T50" s="102" t="str">
        <f t="shared" si="8"/>
        <v/>
      </c>
      <c r="U50" s="103" t="str">
        <f t="shared" si="9"/>
        <v/>
      </c>
      <c r="V50" s="52">
        <v>0</v>
      </c>
      <c r="W50" s="87" t="str">
        <f t="shared" si="10"/>
        <v/>
      </c>
      <c r="X50" s="103" t="str">
        <f t="shared" si="11"/>
        <v/>
      </c>
      <c r="Y50" s="52">
        <v>0</v>
      </c>
      <c r="Z50" s="56" t="str">
        <f t="shared" si="12"/>
        <v/>
      </c>
      <c r="AA50" s="56" t="str">
        <f t="shared" si="13"/>
        <v/>
      </c>
      <c r="AB50" s="56" t="str">
        <f t="shared" si="14"/>
        <v/>
      </c>
      <c r="AC50" s="56" t="str">
        <f t="shared" si="15"/>
        <v/>
      </c>
      <c r="AD50" s="56" t="str">
        <f t="shared" si="16"/>
        <v/>
      </c>
      <c r="AE50" s="40"/>
      <c r="AF50" s="40"/>
      <c r="AG50" s="40"/>
      <c r="AH50" s="56" t="str">
        <f t="shared" si="17"/>
        <v/>
      </c>
      <c r="AI50" s="54"/>
      <c r="AJ50" s="54"/>
      <c r="AK50" s="54"/>
      <c r="AL50" s="54"/>
      <c r="AM50" s="54"/>
    </row>
    <row r="51" spans="1:39">
      <c r="A51" s="45" t="str" cm="1">
        <f t="array" ref="A51">IF(H51="PROJECT", CHAR(10) &amp; "- " &amp; _xlfn.TEXTJOIN(CHAR(10) &amp; "- ", TRUE, _xlfn._xlws.FILTER($I$9:$I$1000, ($B$9:$B$1000=B51) * ($H$9:$H$1000="Topic"))), "")</f>
        <v/>
      </c>
      <c r="B51" s="45" t="str">
        <f t="shared" si="1"/>
        <v/>
      </c>
      <c r="C51" s="95"/>
      <c r="D51" s="46"/>
      <c r="E51" s="58"/>
      <c r="F51" s="48"/>
      <c r="G51" s="49"/>
      <c r="H51" s="49"/>
      <c r="I51" s="50"/>
      <c r="J51" s="51"/>
      <c r="K51" s="129" t="str">
        <f t="shared" si="2"/>
        <v/>
      </c>
      <c r="L51" s="103" t="str">
        <f t="shared" si="3"/>
        <v/>
      </c>
      <c r="M51" s="53">
        <v>0</v>
      </c>
      <c r="N51" s="102" t="str">
        <f t="shared" si="4"/>
        <v/>
      </c>
      <c r="O51" s="103" t="str">
        <f t="shared" si="5"/>
        <v/>
      </c>
      <c r="P51" s="53">
        <v>0</v>
      </c>
      <c r="Q51" s="102" t="str">
        <f t="shared" si="6"/>
        <v/>
      </c>
      <c r="R51" s="103" t="str">
        <f t="shared" si="7"/>
        <v/>
      </c>
      <c r="S51" s="53">
        <v>0</v>
      </c>
      <c r="T51" s="102" t="str">
        <f t="shared" si="8"/>
        <v/>
      </c>
      <c r="U51" s="103" t="str">
        <f t="shared" si="9"/>
        <v/>
      </c>
      <c r="V51" s="53">
        <v>0</v>
      </c>
      <c r="W51" s="87" t="str">
        <f t="shared" si="10"/>
        <v/>
      </c>
      <c r="X51" s="103" t="str">
        <f t="shared" si="11"/>
        <v/>
      </c>
      <c r="Y51" s="53">
        <v>0</v>
      </c>
      <c r="Z51" s="56" t="str">
        <f t="shared" si="12"/>
        <v/>
      </c>
      <c r="AA51" s="56" t="str">
        <f t="shared" si="13"/>
        <v/>
      </c>
      <c r="AB51" s="56" t="str">
        <f t="shared" si="14"/>
        <v/>
      </c>
      <c r="AC51" s="56" t="str">
        <f t="shared" si="15"/>
        <v/>
      </c>
      <c r="AD51" s="56" t="str">
        <f t="shared" si="16"/>
        <v/>
      </c>
      <c r="AE51" s="40"/>
      <c r="AF51" s="40"/>
      <c r="AG51" s="40"/>
      <c r="AH51" s="56" t="str">
        <f t="shared" si="17"/>
        <v/>
      </c>
      <c r="AI51" s="54"/>
      <c r="AJ51" s="54"/>
      <c r="AK51" s="54"/>
      <c r="AL51" s="54"/>
      <c r="AM51" s="54"/>
    </row>
    <row r="52" spans="1:39">
      <c r="A52" s="45" t="str" cm="1">
        <f t="array" ref="A52">IF(H52="PROJECT", CHAR(10) &amp; "- " &amp; _xlfn.TEXTJOIN(CHAR(10) &amp; "- ", TRUE, _xlfn._xlws.FILTER($I$9:$I$1000, ($B$9:$B$1000=B52) * ($H$9:$H$1000="Topic"))), "")</f>
        <v/>
      </c>
      <c r="B52" s="45" t="str">
        <f t="shared" si="1"/>
        <v/>
      </c>
      <c r="C52" s="95"/>
      <c r="D52" s="57"/>
      <c r="E52" s="58"/>
      <c r="F52" s="59"/>
      <c r="G52" s="60"/>
      <c r="H52" s="60"/>
      <c r="I52" s="61"/>
      <c r="J52" s="62"/>
      <c r="K52" s="129" t="str">
        <f t="shared" si="2"/>
        <v/>
      </c>
      <c r="L52" s="103" t="str">
        <f t="shared" si="3"/>
        <v/>
      </c>
      <c r="M52" s="52">
        <v>0</v>
      </c>
      <c r="N52" s="102" t="str">
        <f t="shared" si="4"/>
        <v/>
      </c>
      <c r="O52" s="103" t="str">
        <f t="shared" si="5"/>
        <v/>
      </c>
      <c r="P52" s="52">
        <v>0</v>
      </c>
      <c r="Q52" s="102" t="str">
        <f t="shared" si="6"/>
        <v/>
      </c>
      <c r="R52" s="103" t="str">
        <f t="shared" si="7"/>
        <v/>
      </c>
      <c r="S52" s="52">
        <v>0</v>
      </c>
      <c r="T52" s="102" t="str">
        <f t="shared" si="8"/>
        <v/>
      </c>
      <c r="U52" s="103" t="str">
        <f t="shared" si="9"/>
        <v/>
      </c>
      <c r="V52" s="52">
        <v>0</v>
      </c>
      <c r="W52" s="87" t="str">
        <f t="shared" si="10"/>
        <v/>
      </c>
      <c r="X52" s="103" t="str">
        <f t="shared" si="11"/>
        <v/>
      </c>
      <c r="Y52" s="52">
        <v>0</v>
      </c>
      <c r="Z52" s="56" t="str">
        <f t="shared" si="12"/>
        <v/>
      </c>
      <c r="AA52" s="56" t="str">
        <f t="shared" si="13"/>
        <v/>
      </c>
      <c r="AB52" s="56" t="str">
        <f t="shared" si="14"/>
        <v/>
      </c>
      <c r="AC52" s="56" t="str">
        <f t="shared" si="15"/>
        <v/>
      </c>
      <c r="AD52" s="56" t="str">
        <f t="shared" si="16"/>
        <v/>
      </c>
      <c r="AE52" s="40"/>
      <c r="AF52" s="40"/>
      <c r="AG52" s="40"/>
      <c r="AH52" s="56" t="str">
        <f t="shared" si="17"/>
        <v/>
      </c>
      <c r="AI52" s="54"/>
      <c r="AJ52" s="54"/>
      <c r="AK52" s="54"/>
      <c r="AL52" s="54"/>
      <c r="AM52" s="54"/>
    </row>
    <row r="53" spans="1:39">
      <c r="A53" s="45" t="str" cm="1">
        <f t="array" ref="A53">IF(H53="PROJECT", CHAR(10) &amp; "- " &amp; _xlfn.TEXTJOIN(CHAR(10) &amp; "- ", TRUE, _xlfn._xlws.FILTER($I$9:$I$1000, ($B$9:$B$1000=B53) * ($H$9:$H$1000="Topic"))), "")</f>
        <v/>
      </c>
      <c r="B53" s="45" t="str">
        <f t="shared" si="1"/>
        <v/>
      </c>
      <c r="C53" s="95"/>
      <c r="D53" s="46"/>
      <c r="E53" s="58"/>
      <c r="F53" s="48"/>
      <c r="G53" s="49"/>
      <c r="H53" s="49"/>
      <c r="I53" s="50"/>
      <c r="J53" s="51"/>
      <c r="K53" s="129" t="str">
        <f t="shared" si="2"/>
        <v/>
      </c>
      <c r="L53" s="103" t="str">
        <f t="shared" si="3"/>
        <v/>
      </c>
      <c r="M53" s="53">
        <v>0</v>
      </c>
      <c r="N53" s="102" t="str">
        <f t="shared" si="4"/>
        <v/>
      </c>
      <c r="O53" s="103" t="str">
        <f t="shared" si="5"/>
        <v/>
      </c>
      <c r="P53" s="53">
        <v>0</v>
      </c>
      <c r="Q53" s="102" t="str">
        <f t="shared" si="6"/>
        <v/>
      </c>
      <c r="R53" s="103" t="str">
        <f t="shared" si="7"/>
        <v/>
      </c>
      <c r="S53" s="53">
        <v>0</v>
      </c>
      <c r="T53" s="102" t="str">
        <f t="shared" si="8"/>
        <v/>
      </c>
      <c r="U53" s="103" t="str">
        <f t="shared" si="9"/>
        <v/>
      </c>
      <c r="V53" s="53">
        <v>0</v>
      </c>
      <c r="W53" s="87" t="str">
        <f t="shared" si="10"/>
        <v/>
      </c>
      <c r="X53" s="103" t="str">
        <f t="shared" si="11"/>
        <v/>
      </c>
      <c r="Y53" s="53">
        <v>0</v>
      </c>
      <c r="Z53" s="56" t="str">
        <f t="shared" si="12"/>
        <v/>
      </c>
      <c r="AA53" s="56" t="str">
        <f t="shared" si="13"/>
        <v/>
      </c>
      <c r="AB53" s="56" t="str">
        <f t="shared" si="14"/>
        <v/>
      </c>
      <c r="AC53" s="56" t="str">
        <f t="shared" si="15"/>
        <v/>
      </c>
      <c r="AD53" s="56" t="str">
        <f t="shared" si="16"/>
        <v/>
      </c>
      <c r="AE53" s="40"/>
      <c r="AF53" s="40"/>
      <c r="AG53" s="40"/>
      <c r="AH53" s="56" t="str">
        <f t="shared" si="17"/>
        <v/>
      </c>
      <c r="AI53" s="54"/>
      <c r="AJ53" s="54"/>
      <c r="AK53" s="54"/>
      <c r="AL53" s="54"/>
      <c r="AM53" s="54"/>
    </row>
    <row r="54" spans="1:39">
      <c r="A54" s="45" t="str" cm="1">
        <f t="array" ref="A54">IF(H54="PROJECT", CHAR(10) &amp; "- " &amp; _xlfn.TEXTJOIN(CHAR(10) &amp; "- ", TRUE, _xlfn._xlws.FILTER($I$9:$I$1000, ($B$9:$B$1000=B54) * ($H$9:$H$1000="Topic"))), "")</f>
        <v/>
      </c>
      <c r="B54" s="45" t="str">
        <f t="shared" si="1"/>
        <v/>
      </c>
      <c r="C54" s="95"/>
      <c r="D54" s="57"/>
      <c r="E54" s="58"/>
      <c r="F54" s="59"/>
      <c r="G54" s="60"/>
      <c r="H54" s="60"/>
      <c r="I54" s="61"/>
      <c r="J54" s="62"/>
      <c r="K54" s="129" t="str">
        <f t="shared" si="2"/>
        <v/>
      </c>
      <c r="L54" s="103" t="str">
        <f t="shared" si="3"/>
        <v/>
      </c>
      <c r="M54" s="52">
        <v>0</v>
      </c>
      <c r="N54" s="102" t="str">
        <f t="shared" si="4"/>
        <v/>
      </c>
      <c r="O54" s="103" t="str">
        <f t="shared" si="5"/>
        <v/>
      </c>
      <c r="P54" s="52">
        <v>0</v>
      </c>
      <c r="Q54" s="102" t="str">
        <f t="shared" si="6"/>
        <v/>
      </c>
      <c r="R54" s="103" t="str">
        <f t="shared" si="7"/>
        <v/>
      </c>
      <c r="S54" s="52">
        <v>0</v>
      </c>
      <c r="T54" s="102" t="str">
        <f t="shared" si="8"/>
        <v/>
      </c>
      <c r="U54" s="103" t="str">
        <f t="shared" si="9"/>
        <v/>
      </c>
      <c r="V54" s="52">
        <v>0</v>
      </c>
      <c r="W54" s="87" t="str">
        <f t="shared" si="10"/>
        <v/>
      </c>
      <c r="X54" s="103" t="str">
        <f t="shared" si="11"/>
        <v/>
      </c>
      <c r="Y54" s="52">
        <v>0</v>
      </c>
      <c r="Z54" s="56" t="str">
        <f t="shared" si="12"/>
        <v/>
      </c>
      <c r="AA54" s="56" t="str">
        <f t="shared" si="13"/>
        <v/>
      </c>
      <c r="AB54" s="56" t="str">
        <f t="shared" si="14"/>
        <v/>
      </c>
      <c r="AC54" s="56" t="str">
        <f t="shared" si="15"/>
        <v/>
      </c>
      <c r="AD54" s="56" t="str">
        <f t="shared" si="16"/>
        <v/>
      </c>
      <c r="AE54" s="40"/>
      <c r="AF54" s="40"/>
      <c r="AG54" s="40"/>
      <c r="AH54" s="56" t="str">
        <f t="shared" si="17"/>
        <v/>
      </c>
      <c r="AI54" s="54"/>
      <c r="AJ54" s="54"/>
      <c r="AK54" s="54"/>
      <c r="AL54" s="54"/>
      <c r="AM54" s="54"/>
    </row>
    <row r="55" spans="1:39">
      <c r="A55" s="45" t="str" cm="1">
        <f t="array" ref="A55">IF(H55="PROJECT", CHAR(10) &amp; "- " &amp; _xlfn.TEXTJOIN(CHAR(10) &amp; "- ", TRUE, _xlfn._xlws.FILTER($I$9:$I$1000, ($B$9:$B$1000=B55) * ($H$9:$H$1000="Topic"))), "")</f>
        <v/>
      </c>
      <c r="B55" s="45" t="str">
        <f t="shared" si="1"/>
        <v/>
      </c>
      <c r="C55" s="95"/>
      <c r="D55" s="46"/>
      <c r="E55" s="58"/>
      <c r="F55" s="48"/>
      <c r="G55" s="49"/>
      <c r="H55" s="49"/>
      <c r="I55" s="50"/>
      <c r="J55" s="51"/>
      <c r="K55" s="129" t="str">
        <f t="shared" si="2"/>
        <v/>
      </c>
      <c r="L55" s="103" t="str">
        <f t="shared" si="3"/>
        <v/>
      </c>
      <c r="M55" s="53">
        <v>0</v>
      </c>
      <c r="N55" s="102" t="str">
        <f t="shared" si="4"/>
        <v/>
      </c>
      <c r="O55" s="103" t="str">
        <f t="shared" si="5"/>
        <v/>
      </c>
      <c r="P55" s="53">
        <v>0</v>
      </c>
      <c r="Q55" s="102" t="str">
        <f t="shared" si="6"/>
        <v/>
      </c>
      <c r="R55" s="103" t="str">
        <f t="shared" si="7"/>
        <v/>
      </c>
      <c r="S55" s="53">
        <v>0</v>
      </c>
      <c r="T55" s="102" t="str">
        <f t="shared" si="8"/>
        <v/>
      </c>
      <c r="U55" s="103" t="str">
        <f t="shared" si="9"/>
        <v/>
      </c>
      <c r="V55" s="53">
        <v>0</v>
      </c>
      <c r="W55" s="87" t="str">
        <f t="shared" si="10"/>
        <v/>
      </c>
      <c r="X55" s="103" t="str">
        <f t="shared" si="11"/>
        <v/>
      </c>
      <c r="Y55" s="53">
        <v>0</v>
      </c>
      <c r="Z55" s="56" t="str">
        <f t="shared" si="12"/>
        <v/>
      </c>
      <c r="AA55" s="56" t="str">
        <f t="shared" si="13"/>
        <v/>
      </c>
      <c r="AB55" s="56" t="str">
        <f t="shared" si="14"/>
        <v/>
      </c>
      <c r="AC55" s="56" t="str">
        <f t="shared" si="15"/>
        <v/>
      </c>
      <c r="AD55" s="56" t="str">
        <f t="shared" si="16"/>
        <v/>
      </c>
      <c r="AE55" s="40"/>
      <c r="AF55" s="40"/>
      <c r="AG55" s="40"/>
      <c r="AH55" s="56" t="str">
        <f t="shared" si="17"/>
        <v/>
      </c>
      <c r="AI55" s="54"/>
      <c r="AJ55" s="54"/>
      <c r="AK55" s="54"/>
      <c r="AL55" s="54"/>
      <c r="AM55" s="54"/>
    </row>
    <row r="56" spans="1:39">
      <c r="A56" s="45" t="str" cm="1">
        <f t="array" ref="A56">IF(H56="PROJECT", CHAR(10) &amp; "- " &amp; _xlfn.TEXTJOIN(CHAR(10) &amp; "- ", TRUE, _xlfn._xlws.FILTER($I$9:$I$1000, ($B$9:$B$1000=B56) * ($H$9:$H$1000="Topic"))), "")</f>
        <v/>
      </c>
      <c r="B56" s="45" t="str">
        <f t="shared" si="1"/>
        <v/>
      </c>
      <c r="C56" s="95"/>
      <c r="D56" s="57"/>
      <c r="E56" s="58"/>
      <c r="F56" s="63"/>
      <c r="G56" s="60"/>
      <c r="H56" s="64"/>
      <c r="I56" s="61"/>
      <c r="J56" s="62"/>
      <c r="K56" s="129" t="str">
        <f t="shared" si="2"/>
        <v/>
      </c>
      <c r="L56" s="103" t="str">
        <f t="shared" si="3"/>
        <v/>
      </c>
      <c r="M56" s="52">
        <v>0</v>
      </c>
      <c r="N56" s="102" t="str">
        <f t="shared" si="4"/>
        <v/>
      </c>
      <c r="O56" s="103" t="str">
        <f t="shared" si="5"/>
        <v/>
      </c>
      <c r="P56" s="52">
        <v>0</v>
      </c>
      <c r="Q56" s="102" t="str">
        <f t="shared" si="6"/>
        <v/>
      </c>
      <c r="R56" s="103" t="str">
        <f t="shared" si="7"/>
        <v/>
      </c>
      <c r="S56" s="52">
        <v>0</v>
      </c>
      <c r="T56" s="102" t="str">
        <f t="shared" si="8"/>
        <v/>
      </c>
      <c r="U56" s="103" t="str">
        <f t="shared" si="9"/>
        <v/>
      </c>
      <c r="V56" s="52">
        <v>0</v>
      </c>
      <c r="W56" s="87" t="str">
        <f t="shared" si="10"/>
        <v/>
      </c>
      <c r="X56" s="103" t="str">
        <f t="shared" si="11"/>
        <v/>
      </c>
      <c r="Y56" s="52">
        <v>0</v>
      </c>
      <c r="Z56" s="56" t="str">
        <f t="shared" si="12"/>
        <v/>
      </c>
      <c r="AA56" s="56" t="str">
        <f t="shared" si="13"/>
        <v/>
      </c>
      <c r="AB56" s="56" t="str">
        <f t="shared" si="14"/>
        <v/>
      </c>
      <c r="AC56" s="56" t="str">
        <f t="shared" si="15"/>
        <v/>
      </c>
      <c r="AD56" s="56" t="str">
        <f t="shared" si="16"/>
        <v/>
      </c>
      <c r="AE56" s="40"/>
      <c r="AF56" s="40"/>
      <c r="AG56" s="40"/>
      <c r="AH56" s="56" t="str">
        <f t="shared" si="17"/>
        <v/>
      </c>
      <c r="AI56" s="54"/>
      <c r="AJ56" s="54"/>
      <c r="AK56" s="54"/>
      <c r="AL56" s="54"/>
      <c r="AM56" s="54"/>
    </row>
    <row r="57" spans="1:39">
      <c r="A57" s="45" t="str" cm="1">
        <f t="array" ref="A57">IF(H57="PROJECT", CHAR(10) &amp; "- " &amp; _xlfn.TEXTJOIN(CHAR(10) &amp; "- ", TRUE, _xlfn._xlws.FILTER($I$9:$I$1000, ($B$9:$B$1000=B57) * ($H$9:$H$1000="Topic"))), "")</f>
        <v/>
      </c>
      <c r="B57" s="45" t="str">
        <f t="shared" si="1"/>
        <v/>
      </c>
      <c r="C57" s="95"/>
      <c r="D57" s="46"/>
      <c r="E57" s="58"/>
      <c r="F57" s="65"/>
      <c r="G57" s="49"/>
      <c r="H57" s="66"/>
      <c r="I57" s="50"/>
      <c r="J57" s="51"/>
      <c r="K57" s="129" t="str">
        <f t="shared" si="2"/>
        <v/>
      </c>
      <c r="L57" s="103" t="str">
        <f t="shared" si="3"/>
        <v/>
      </c>
      <c r="M57" s="53">
        <v>0</v>
      </c>
      <c r="N57" s="102" t="str">
        <f t="shared" si="4"/>
        <v/>
      </c>
      <c r="O57" s="103" t="str">
        <f t="shared" si="5"/>
        <v/>
      </c>
      <c r="P57" s="53">
        <v>0</v>
      </c>
      <c r="Q57" s="102" t="str">
        <f t="shared" si="6"/>
        <v/>
      </c>
      <c r="R57" s="103" t="str">
        <f t="shared" si="7"/>
        <v/>
      </c>
      <c r="S57" s="53">
        <v>0</v>
      </c>
      <c r="T57" s="102" t="str">
        <f t="shared" si="8"/>
        <v/>
      </c>
      <c r="U57" s="103" t="str">
        <f t="shared" si="9"/>
        <v/>
      </c>
      <c r="V57" s="53">
        <v>0</v>
      </c>
      <c r="W57" s="87" t="str">
        <f t="shared" si="10"/>
        <v/>
      </c>
      <c r="X57" s="103" t="str">
        <f t="shared" si="11"/>
        <v/>
      </c>
      <c r="Y57" s="53">
        <v>0</v>
      </c>
      <c r="Z57" s="56" t="str">
        <f t="shared" si="12"/>
        <v/>
      </c>
      <c r="AA57" s="56" t="str">
        <f t="shared" si="13"/>
        <v/>
      </c>
      <c r="AB57" s="56" t="str">
        <f t="shared" si="14"/>
        <v/>
      </c>
      <c r="AC57" s="56" t="str">
        <f t="shared" si="15"/>
        <v/>
      </c>
      <c r="AD57" s="56" t="str">
        <f t="shared" si="16"/>
        <v/>
      </c>
      <c r="AE57" s="40"/>
      <c r="AF57" s="40"/>
      <c r="AG57" s="40"/>
      <c r="AH57" s="56" t="str">
        <f t="shared" si="17"/>
        <v/>
      </c>
      <c r="AI57" s="54"/>
      <c r="AJ57" s="54"/>
      <c r="AK57" s="54"/>
      <c r="AL57" s="54"/>
      <c r="AM57" s="54"/>
    </row>
    <row r="58" spans="1:39">
      <c r="A58" s="45" t="str" cm="1">
        <f t="array" ref="A58">IF(H58="PROJECT", CHAR(10) &amp; "- " &amp; _xlfn.TEXTJOIN(CHAR(10) &amp; "- ", TRUE, _xlfn._xlws.FILTER($I$9:$I$1000, ($B$9:$B$1000=B58) * ($H$9:$H$1000="Topic"))), "")</f>
        <v/>
      </c>
      <c r="B58" s="45" t="str">
        <f t="shared" si="1"/>
        <v/>
      </c>
      <c r="C58" s="95"/>
      <c r="D58" s="57"/>
      <c r="E58" s="58"/>
      <c r="F58" s="63"/>
      <c r="G58" s="60"/>
      <c r="H58" s="64"/>
      <c r="I58" s="61"/>
      <c r="J58" s="62"/>
      <c r="K58" s="129" t="str">
        <f t="shared" si="2"/>
        <v/>
      </c>
      <c r="L58" s="103" t="str">
        <f t="shared" si="3"/>
        <v/>
      </c>
      <c r="M58" s="52">
        <v>0</v>
      </c>
      <c r="N58" s="102" t="str">
        <f t="shared" si="4"/>
        <v/>
      </c>
      <c r="O58" s="103" t="str">
        <f t="shared" si="5"/>
        <v/>
      </c>
      <c r="P58" s="52">
        <v>0</v>
      </c>
      <c r="Q58" s="102" t="str">
        <f t="shared" si="6"/>
        <v/>
      </c>
      <c r="R58" s="103" t="str">
        <f t="shared" si="7"/>
        <v/>
      </c>
      <c r="S58" s="52">
        <v>0</v>
      </c>
      <c r="T58" s="102" t="str">
        <f t="shared" si="8"/>
        <v/>
      </c>
      <c r="U58" s="103" t="str">
        <f t="shared" si="9"/>
        <v/>
      </c>
      <c r="V58" s="52">
        <v>0</v>
      </c>
      <c r="W58" s="87" t="str">
        <f t="shared" si="10"/>
        <v/>
      </c>
      <c r="X58" s="103" t="str">
        <f t="shared" si="11"/>
        <v/>
      </c>
      <c r="Y58" s="52">
        <v>0</v>
      </c>
      <c r="Z58" s="56" t="str">
        <f t="shared" si="12"/>
        <v/>
      </c>
      <c r="AA58" s="56" t="str">
        <f t="shared" si="13"/>
        <v/>
      </c>
      <c r="AB58" s="56" t="str">
        <f t="shared" si="14"/>
        <v/>
      </c>
      <c r="AC58" s="56" t="str">
        <f t="shared" si="15"/>
        <v/>
      </c>
      <c r="AD58" s="56" t="str">
        <f t="shared" si="16"/>
        <v/>
      </c>
      <c r="AE58" s="40"/>
      <c r="AF58" s="40"/>
      <c r="AG58" s="40"/>
      <c r="AH58" s="56" t="str">
        <f t="shared" si="17"/>
        <v/>
      </c>
      <c r="AI58" s="54"/>
      <c r="AJ58" s="54"/>
      <c r="AK58" s="54"/>
      <c r="AL58" s="54"/>
      <c r="AM58" s="54"/>
    </row>
    <row r="59" spans="1:39">
      <c r="A59" s="45" t="str" cm="1">
        <f t="array" ref="A59">IF(H59="PROJECT", CHAR(10) &amp; "- " &amp; _xlfn.TEXTJOIN(CHAR(10) &amp; "- ", TRUE, _xlfn._xlws.FILTER($I$9:$I$1000, ($B$9:$B$1000=B59) * ($H$9:$H$1000="Topic"))), "")</f>
        <v/>
      </c>
      <c r="B59" s="45" t="str">
        <f t="shared" si="1"/>
        <v/>
      </c>
      <c r="C59" s="95"/>
      <c r="D59" s="46"/>
      <c r="E59" s="58"/>
      <c r="F59" s="65"/>
      <c r="G59" s="49"/>
      <c r="H59" s="66"/>
      <c r="I59" s="50"/>
      <c r="J59" s="51"/>
      <c r="K59" s="129" t="str">
        <f t="shared" si="2"/>
        <v/>
      </c>
      <c r="L59" s="103" t="str">
        <f t="shared" si="3"/>
        <v/>
      </c>
      <c r="M59" s="53">
        <v>0</v>
      </c>
      <c r="N59" s="102" t="str">
        <f t="shared" si="4"/>
        <v/>
      </c>
      <c r="O59" s="103" t="str">
        <f t="shared" si="5"/>
        <v/>
      </c>
      <c r="P59" s="53">
        <v>0</v>
      </c>
      <c r="Q59" s="102" t="str">
        <f t="shared" si="6"/>
        <v/>
      </c>
      <c r="R59" s="103" t="str">
        <f t="shared" si="7"/>
        <v/>
      </c>
      <c r="S59" s="53">
        <v>0</v>
      </c>
      <c r="T59" s="102" t="str">
        <f t="shared" si="8"/>
        <v/>
      </c>
      <c r="U59" s="103" t="str">
        <f t="shared" si="9"/>
        <v/>
      </c>
      <c r="V59" s="53">
        <v>0</v>
      </c>
      <c r="W59" s="87" t="str">
        <f t="shared" si="10"/>
        <v/>
      </c>
      <c r="X59" s="103" t="str">
        <f t="shared" si="11"/>
        <v/>
      </c>
      <c r="Y59" s="53">
        <v>0</v>
      </c>
      <c r="Z59" s="56" t="str">
        <f t="shared" si="12"/>
        <v/>
      </c>
      <c r="AA59" s="56" t="str">
        <f t="shared" si="13"/>
        <v/>
      </c>
      <c r="AB59" s="56" t="str">
        <f t="shared" si="14"/>
        <v/>
      </c>
      <c r="AC59" s="56" t="str">
        <f t="shared" si="15"/>
        <v/>
      </c>
      <c r="AD59" s="56" t="str">
        <f t="shared" si="16"/>
        <v/>
      </c>
      <c r="AE59" s="40"/>
      <c r="AF59" s="40"/>
      <c r="AG59" s="40"/>
      <c r="AH59" s="56" t="str">
        <f t="shared" si="17"/>
        <v/>
      </c>
      <c r="AI59" s="54"/>
      <c r="AJ59" s="54"/>
      <c r="AK59" s="54"/>
      <c r="AL59" s="54"/>
      <c r="AM59" s="54"/>
    </row>
    <row r="60" spans="1:39">
      <c r="A60" s="45" t="str" cm="1">
        <f t="array" ref="A60">IF(H60="PROJECT", CHAR(10) &amp; "- " &amp; _xlfn.TEXTJOIN(CHAR(10) &amp; "- ", TRUE, _xlfn._xlws.FILTER($I$9:$I$1000, ($B$9:$B$1000=B60) * ($H$9:$H$1000="Topic"))), "")</f>
        <v/>
      </c>
      <c r="B60" s="45" t="str">
        <f t="shared" si="1"/>
        <v/>
      </c>
      <c r="C60" s="95"/>
      <c r="D60" s="57"/>
      <c r="E60" s="58"/>
      <c r="F60" s="63"/>
      <c r="G60" s="60"/>
      <c r="H60" s="64"/>
      <c r="I60" s="61"/>
      <c r="J60" s="62"/>
      <c r="K60" s="129" t="str">
        <f t="shared" si="2"/>
        <v/>
      </c>
      <c r="L60" s="103" t="str">
        <f t="shared" si="3"/>
        <v/>
      </c>
      <c r="M60" s="52">
        <v>0</v>
      </c>
      <c r="N60" s="102" t="str">
        <f t="shared" si="4"/>
        <v/>
      </c>
      <c r="O60" s="103" t="str">
        <f t="shared" si="5"/>
        <v/>
      </c>
      <c r="P60" s="52">
        <v>0</v>
      </c>
      <c r="Q60" s="102" t="str">
        <f t="shared" si="6"/>
        <v/>
      </c>
      <c r="R60" s="103" t="str">
        <f t="shared" si="7"/>
        <v/>
      </c>
      <c r="S60" s="52">
        <v>0</v>
      </c>
      <c r="T60" s="102" t="str">
        <f t="shared" si="8"/>
        <v/>
      </c>
      <c r="U60" s="103" t="str">
        <f t="shared" si="9"/>
        <v/>
      </c>
      <c r="V60" s="52">
        <v>0</v>
      </c>
      <c r="W60" s="87" t="str">
        <f t="shared" si="10"/>
        <v/>
      </c>
      <c r="X60" s="103" t="str">
        <f t="shared" si="11"/>
        <v/>
      </c>
      <c r="Y60" s="52">
        <v>0</v>
      </c>
      <c r="Z60" s="56" t="str">
        <f t="shared" si="12"/>
        <v/>
      </c>
      <c r="AA60" s="56" t="str">
        <f t="shared" si="13"/>
        <v/>
      </c>
      <c r="AB60" s="56" t="str">
        <f t="shared" si="14"/>
        <v/>
      </c>
      <c r="AC60" s="56" t="str">
        <f t="shared" si="15"/>
        <v/>
      </c>
      <c r="AD60" s="56" t="str">
        <f t="shared" si="16"/>
        <v/>
      </c>
      <c r="AE60" s="40"/>
      <c r="AF60" s="40"/>
      <c r="AG60" s="40"/>
      <c r="AH60" s="56" t="str">
        <f t="shared" si="17"/>
        <v/>
      </c>
      <c r="AI60" s="54"/>
      <c r="AJ60" s="54"/>
      <c r="AK60" s="54"/>
      <c r="AL60" s="54"/>
      <c r="AM60" s="54"/>
    </row>
    <row r="61" spans="1:39">
      <c r="A61" s="45" t="str" cm="1">
        <f t="array" ref="A61">IF(H61="PROJECT", CHAR(10) &amp; "- " &amp; _xlfn.TEXTJOIN(CHAR(10) &amp; "- ", TRUE, _xlfn._xlws.FILTER($I$9:$I$1000, ($B$9:$B$1000=B61) * ($H$9:$H$1000="Topic"))), "")</f>
        <v/>
      </c>
      <c r="B61" s="45" t="str">
        <f t="shared" si="1"/>
        <v/>
      </c>
      <c r="C61" s="95"/>
      <c r="D61" s="46"/>
      <c r="E61" s="58"/>
      <c r="F61" s="65"/>
      <c r="G61" s="49"/>
      <c r="H61" s="66"/>
      <c r="I61" s="50"/>
      <c r="J61" s="51"/>
      <c r="K61" s="129" t="str">
        <f t="shared" si="2"/>
        <v/>
      </c>
      <c r="L61" s="103" t="str">
        <f t="shared" si="3"/>
        <v/>
      </c>
      <c r="M61" s="53">
        <v>0</v>
      </c>
      <c r="N61" s="102" t="str">
        <f t="shared" si="4"/>
        <v/>
      </c>
      <c r="O61" s="103" t="str">
        <f t="shared" si="5"/>
        <v/>
      </c>
      <c r="P61" s="53">
        <v>0</v>
      </c>
      <c r="Q61" s="102" t="str">
        <f t="shared" si="6"/>
        <v/>
      </c>
      <c r="R61" s="103" t="str">
        <f t="shared" si="7"/>
        <v/>
      </c>
      <c r="S61" s="53">
        <v>0</v>
      </c>
      <c r="T61" s="102" t="str">
        <f t="shared" si="8"/>
        <v/>
      </c>
      <c r="U61" s="103" t="str">
        <f t="shared" si="9"/>
        <v/>
      </c>
      <c r="V61" s="53">
        <v>0</v>
      </c>
      <c r="W61" s="87" t="str">
        <f t="shared" si="10"/>
        <v/>
      </c>
      <c r="X61" s="103" t="str">
        <f t="shared" si="11"/>
        <v/>
      </c>
      <c r="Y61" s="53">
        <v>0</v>
      </c>
      <c r="Z61" s="56" t="str">
        <f t="shared" si="12"/>
        <v/>
      </c>
      <c r="AA61" s="56" t="str">
        <f t="shared" si="13"/>
        <v/>
      </c>
      <c r="AB61" s="56" t="str">
        <f t="shared" si="14"/>
        <v/>
      </c>
      <c r="AC61" s="56" t="str">
        <f t="shared" si="15"/>
        <v/>
      </c>
      <c r="AD61" s="56" t="str">
        <f t="shared" si="16"/>
        <v/>
      </c>
      <c r="AE61" s="40"/>
      <c r="AF61" s="40"/>
      <c r="AG61" s="40"/>
      <c r="AH61" s="56" t="str">
        <f t="shared" si="17"/>
        <v/>
      </c>
      <c r="AI61" s="54"/>
      <c r="AJ61" s="54"/>
      <c r="AK61" s="54"/>
      <c r="AL61" s="54"/>
      <c r="AM61" s="54"/>
    </row>
    <row r="62" spans="1:39">
      <c r="A62" s="45" t="str" cm="1">
        <f t="array" ref="A62">IF(H62="PROJECT", CHAR(10) &amp; "- " &amp; _xlfn.TEXTJOIN(CHAR(10) &amp; "- ", TRUE, _xlfn._xlws.FILTER($I$9:$I$1000, ($B$9:$B$1000=B62) * ($H$9:$H$1000="Topic"))), "")</f>
        <v/>
      </c>
      <c r="B62" s="45" t="str">
        <f t="shared" si="1"/>
        <v/>
      </c>
      <c r="C62" s="95"/>
      <c r="D62" s="57"/>
      <c r="E62" s="58"/>
      <c r="F62" s="63"/>
      <c r="G62" s="60"/>
      <c r="H62" s="64"/>
      <c r="I62" s="61"/>
      <c r="J62" s="62"/>
      <c r="K62" s="129" t="str">
        <f t="shared" si="2"/>
        <v/>
      </c>
      <c r="L62" s="103" t="str">
        <f t="shared" si="3"/>
        <v/>
      </c>
      <c r="M62" s="52">
        <v>0</v>
      </c>
      <c r="N62" s="102" t="str">
        <f t="shared" si="4"/>
        <v/>
      </c>
      <c r="O62" s="103" t="str">
        <f t="shared" si="5"/>
        <v/>
      </c>
      <c r="P62" s="52">
        <v>0</v>
      </c>
      <c r="Q62" s="102" t="str">
        <f t="shared" si="6"/>
        <v/>
      </c>
      <c r="R62" s="103" t="str">
        <f t="shared" si="7"/>
        <v/>
      </c>
      <c r="S62" s="52">
        <v>0</v>
      </c>
      <c r="T62" s="102" t="str">
        <f t="shared" si="8"/>
        <v/>
      </c>
      <c r="U62" s="103" t="str">
        <f t="shared" si="9"/>
        <v/>
      </c>
      <c r="V62" s="52">
        <v>0</v>
      </c>
      <c r="W62" s="87" t="str">
        <f t="shared" si="10"/>
        <v/>
      </c>
      <c r="X62" s="103" t="str">
        <f t="shared" si="11"/>
        <v/>
      </c>
      <c r="Y62" s="52">
        <v>0</v>
      </c>
      <c r="Z62" s="56" t="str">
        <f t="shared" si="12"/>
        <v/>
      </c>
      <c r="AA62" s="56" t="str">
        <f t="shared" si="13"/>
        <v/>
      </c>
      <c r="AB62" s="56" t="str">
        <f t="shared" si="14"/>
        <v/>
      </c>
      <c r="AC62" s="56" t="str">
        <f t="shared" si="15"/>
        <v/>
      </c>
      <c r="AD62" s="56" t="str">
        <f t="shared" si="16"/>
        <v/>
      </c>
      <c r="AE62" s="40"/>
      <c r="AF62" s="40"/>
      <c r="AG62" s="40"/>
      <c r="AH62" s="56" t="str">
        <f t="shared" si="17"/>
        <v/>
      </c>
      <c r="AI62" s="54"/>
      <c r="AJ62" s="54"/>
      <c r="AK62" s="54"/>
      <c r="AL62" s="54"/>
      <c r="AM62" s="54"/>
    </row>
    <row r="63" spans="1:39">
      <c r="A63" s="45" t="str" cm="1">
        <f t="array" ref="A63">IF(H63="PROJECT", CHAR(10) &amp; "- " &amp; _xlfn.TEXTJOIN(CHAR(10) &amp; "- ", TRUE, _xlfn._xlws.FILTER($I$9:$I$1000, ($B$9:$B$1000=B63) * ($H$9:$H$1000="Topic"))), "")</f>
        <v/>
      </c>
      <c r="B63" s="45" t="str">
        <f t="shared" si="1"/>
        <v/>
      </c>
      <c r="C63" s="95"/>
      <c r="D63" s="46"/>
      <c r="E63" s="58"/>
      <c r="F63" s="65"/>
      <c r="G63" s="49"/>
      <c r="H63" s="66"/>
      <c r="I63" s="50"/>
      <c r="J63" s="51"/>
      <c r="K63" s="129" t="str">
        <f t="shared" si="2"/>
        <v/>
      </c>
      <c r="L63" s="103" t="str">
        <f t="shared" si="3"/>
        <v/>
      </c>
      <c r="M63" s="53">
        <v>0</v>
      </c>
      <c r="N63" s="102" t="str">
        <f t="shared" si="4"/>
        <v/>
      </c>
      <c r="O63" s="103" t="str">
        <f t="shared" si="5"/>
        <v/>
      </c>
      <c r="P63" s="53">
        <v>0</v>
      </c>
      <c r="Q63" s="102" t="str">
        <f t="shared" si="6"/>
        <v/>
      </c>
      <c r="R63" s="103" t="str">
        <f t="shared" si="7"/>
        <v/>
      </c>
      <c r="S63" s="53">
        <v>0</v>
      </c>
      <c r="T63" s="102" t="str">
        <f t="shared" si="8"/>
        <v/>
      </c>
      <c r="U63" s="103" t="str">
        <f t="shared" si="9"/>
        <v/>
      </c>
      <c r="V63" s="53">
        <v>0</v>
      </c>
      <c r="W63" s="87" t="str">
        <f t="shared" si="10"/>
        <v/>
      </c>
      <c r="X63" s="103" t="str">
        <f t="shared" si="11"/>
        <v/>
      </c>
      <c r="Y63" s="53">
        <v>0</v>
      </c>
      <c r="Z63" s="56" t="str">
        <f t="shared" si="12"/>
        <v/>
      </c>
      <c r="AA63" s="56" t="str">
        <f t="shared" si="13"/>
        <v/>
      </c>
      <c r="AB63" s="56" t="str">
        <f t="shared" si="14"/>
        <v/>
      </c>
      <c r="AC63" s="56" t="str">
        <f t="shared" si="15"/>
        <v/>
      </c>
      <c r="AD63" s="56" t="str">
        <f t="shared" si="16"/>
        <v/>
      </c>
      <c r="AE63" s="40"/>
      <c r="AF63" s="40"/>
      <c r="AG63" s="40"/>
      <c r="AH63" s="56" t="str">
        <f t="shared" si="17"/>
        <v/>
      </c>
      <c r="AI63" s="54"/>
      <c r="AJ63" s="54"/>
      <c r="AK63" s="54"/>
      <c r="AL63" s="54"/>
      <c r="AM63" s="54"/>
    </row>
    <row r="64" spans="1:39">
      <c r="A64" s="45" t="str" cm="1">
        <f t="array" ref="A64">IF(H64="PROJECT", CHAR(10) &amp; "- " &amp; _xlfn.TEXTJOIN(CHAR(10) &amp; "- ", TRUE, _xlfn._xlws.FILTER($I$9:$I$1000, ($B$9:$B$1000=B64) * ($H$9:$H$1000="Topic"))), "")</f>
        <v/>
      </c>
      <c r="B64" s="45" t="str">
        <f t="shared" si="1"/>
        <v/>
      </c>
      <c r="C64" s="95"/>
      <c r="D64" s="57"/>
      <c r="E64" s="58"/>
      <c r="F64" s="63"/>
      <c r="G64" s="60"/>
      <c r="H64" s="64"/>
      <c r="I64" s="61"/>
      <c r="J64" s="62"/>
      <c r="K64" s="129" t="str">
        <f t="shared" si="2"/>
        <v/>
      </c>
      <c r="L64" s="103" t="str">
        <f t="shared" si="3"/>
        <v/>
      </c>
      <c r="M64" s="52">
        <v>0</v>
      </c>
      <c r="N64" s="102" t="str">
        <f t="shared" si="4"/>
        <v/>
      </c>
      <c r="O64" s="103" t="str">
        <f t="shared" si="5"/>
        <v/>
      </c>
      <c r="P64" s="52">
        <v>0</v>
      </c>
      <c r="Q64" s="102" t="str">
        <f t="shared" si="6"/>
        <v/>
      </c>
      <c r="R64" s="103" t="str">
        <f t="shared" si="7"/>
        <v/>
      </c>
      <c r="S64" s="52">
        <v>0</v>
      </c>
      <c r="T64" s="102" t="str">
        <f t="shared" si="8"/>
        <v/>
      </c>
      <c r="U64" s="103" t="str">
        <f t="shared" si="9"/>
        <v/>
      </c>
      <c r="V64" s="52">
        <v>0</v>
      </c>
      <c r="W64" s="87" t="str">
        <f t="shared" si="10"/>
        <v/>
      </c>
      <c r="X64" s="103" t="str">
        <f t="shared" si="11"/>
        <v/>
      </c>
      <c r="Y64" s="52">
        <v>0</v>
      </c>
      <c r="Z64" s="56" t="str">
        <f t="shared" si="12"/>
        <v/>
      </c>
      <c r="AA64" s="56" t="str">
        <f t="shared" si="13"/>
        <v/>
      </c>
      <c r="AB64" s="56" t="str">
        <f t="shared" si="14"/>
        <v/>
      </c>
      <c r="AC64" s="56" t="str">
        <f t="shared" si="15"/>
        <v/>
      </c>
      <c r="AD64" s="56" t="str">
        <f t="shared" si="16"/>
        <v/>
      </c>
      <c r="AE64" s="40"/>
      <c r="AF64" s="40"/>
      <c r="AG64" s="40"/>
      <c r="AH64" s="56" t="str">
        <f t="shared" si="17"/>
        <v/>
      </c>
      <c r="AI64" s="54"/>
      <c r="AJ64" s="54"/>
      <c r="AK64" s="54"/>
      <c r="AL64" s="54"/>
      <c r="AM64" s="54"/>
    </row>
    <row r="65" spans="1:39">
      <c r="A65" s="45" t="str" cm="1">
        <f t="array" ref="A65">IF(H65="PROJECT", CHAR(10) &amp; "- " &amp; _xlfn.TEXTJOIN(CHAR(10) &amp; "- ", TRUE, _xlfn._xlws.FILTER($I$9:$I$1000, ($B$9:$B$1000=B65) * ($H$9:$H$1000="Topic"))), "")</f>
        <v/>
      </c>
      <c r="B65" s="45" t="str">
        <f t="shared" si="1"/>
        <v/>
      </c>
      <c r="C65" s="95"/>
      <c r="D65" s="46"/>
      <c r="E65" s="58"/>
      <c r="F65" s="65"/>
      <c r="G65" s="49"/>
      <c r="H65" s="66"/>
      <c r="I65" s="50"/>
      <c r="J65" s="51"/>
      <c r="K65" s="129" t="str">
        <f t="shared" si="2"/>
        <v/>
      </c>
      <c r="L65" s="103" t="str">
        <f t="shared" si="3"/>
        <v/>
      </c>
      <c r="M65" s="53">
        <v>0</v>
      </c>
      <c r="N65" s="102" t="str">
        <f t="shared" si="4"/>
        <v/>
      </c>
      <c r="O65" s="103" t="str">
        <f t="shared" si="5"/>
        <v/>
      </c>
      <c r="P65" s="53">
        <v>0</v>
      </c>
      <c r="Q65" s="102" t="str">
        <f t="shared" si="6"/>
        <v/>
      </c>
      <c r="R65" s="103" t="str">
        <f t="shared" si="7"/>
        <v/>
      </c>
      <c r="S65" s="53">
        <v>0</v>
      </c>
      <c r="T65" s="102" t="str">
        <f t="shared" si="8"/>
        <v/>
      </c>
      <c r="U65" s="103" t="str">
        <f t="shared" si="9"/>
        <v/>
      </c>
      <c r="V65" s="53">
        <v>0</v>
      </c>
      <c r="W65" s="87" t="str">
        <f t="shared" si="10"/>
        <v/>
      </c>
      <c r="X65" s="103" t="str">
        <f t="shared" si="11"/>
        <v/>
      </c>
      <c r="Y65" s="53">
        <v>0</v>
      </c>
      <c r="Z65" s="56" t="str">
        <f t="shared" si="12"/>
        <v/>
      </c>
      <c r="AA65" s="56" t="str">
        <f t="shared" si="13"/>
        <v/>
      </c>
      <c r="AB65" s="56" t="str">
        <f t="shared" si="14"/>
        <v/>
      </c>
      <c r="AC65" s="56" t="str">
        <f t="shared" si="15"/>
        <v/>
      </c>
      <c r="AD65" s="56" t="str">
        <f t="shared" si="16"/>
        <v/>
      </c>
      <c r="AE65" s="40"/>
      <c r="AF65" s="40"/>
      <c r="AG65" s="40"/>
      <c r="AH65" s="56" t="str">
        <f t="shared" si="17"/>
        <v/>
      </c>
      <c r="AI65" s="54"/>
      <c r="AJ65" s="54"/>
      <c r="AK65" s="54"/>
      <c r="AL65" s="54"/>
      <c r="AM65" s="54"/>
    </row>
    <row r="66" spans="1:39">
      <c r="A66" s="45" t="str" cm="1">
        <f t="array" ref="A66">IF(H66="PROJECT", CHAR(10) &amp; "- " &amp; _xlfn.TEXTJOIN(CHAR(10) &amp; "- ", TRUE, _xlfn._xlws.FILTER($I$9:$I$1000, ($B$9:$B$1000=B66) * ($H$9:$H$1000="Topic"))), "")</f>
        <v/>
      </c>
      <c r="B66" s="45" t="str">
        <f t="shared" si="1"/>
        <v/>
      </c>
      <c r="C66" s="95"/>
      <c r="D66" s="57"/>
      <c r="E66" s="58"/>
      <c r="F66" s="63"/>
      <c r="G66" s="60"/>
      <c r="H66" s="64"/>
      <c r="I66" s="61"/>
      <c r="J66" s="62"/>
      <c r="K66" s="129" t="str">
        <f t="shared" si="2"/>
        <v/>
      </c>
      <c r="L66" s="103" t="str">
        <f t="shared" si="3"/>
        <v/>
      </c>
      <c r="M66" s="52">
        <v>0</v>
      </c>
      <c r="N66" s="102" t="str">
        <f t="shared" si="4"/>
        <v/>
      </c>
      <c r="O66" s="103" t="str">
        <f t="shared" si="5"/>
        <v/>
      </c>
      <c r="P66" s="52">
        <v>0</v>
      </c>
      <c r="Q66" s="102" t="str">
        <f t="shared" si="6"/>
        <v/>
      </c>
      <c r="R66" s="103" t="str">
        <f t="shared" si="7"/>
        <v/>
      </c>
      <c r="S66" s="52">
        <v>0</v>
      </c>
      <c r="T66" s="102" t="str">
        <f t="shared" si="8"/>
        <v/>
      </c>
      <c r="U66" s="103" t="str">
        <f t="shared" si="9"/>
        <v/>
      </c>
      <c r="V66" s="52">
        <v>0</v>
      </c>
      <c r="W66" s="87" t="str">
        <f t="shared" si="10"/>
        <v/>
      </c>
      <c r="X66" s="103" t="str">
        <f t="shared" si="11"/>
        <v/>
      </c>
      <c r="Y66" s="52">
        <v>0</v>
      </c>
      <c r="Z66" s="56" t="str">
        <f t="shared" si="12"/>
        <v/>
      </c>
      <c r="AA66" s="56" t="str">
        <f t="shared" si="13"/>
        <v/>
      </c>
      <c r="AB66" s="56" t="str">
        <f t="shared" si="14"/>
        <v/>
      </c>
      <c r="AC66" s="56" t="str">
        <f t="shared" si="15"/>
        <v/>
      </c>
      <c r="AD66" s="56" t="str">
        <f t="shared" si="16"/>
        <v/>
      </c>
      <c r="AE66" s="40"/>
      <c r="AF66" s="40"/>
      <c r="AG66" s="40"/>
      <c r="AH66" s="56" t="str">
        <f t="shared" si="17"/>
        <v/>
      </c>
      <c r="AI66" s="54"/>
      <c r="AJ66" s="54"/>
      <c r="AK66" s="54"/>
      <c r="AL66" s="54"/>
      <c r="AM66" s="54"/>
    </row>
    <row r="67" spans="1:39">
      <c r="A67" s="45" t="str" cm="1">
        <f t="array" ref="A67">IF(H67="PROJECT", CHAR(10) &amp; "- " &amp; _xlfn.TEXTJOIN(CHAR(10) &amp; "- ", TRUE, _xlfn._xlws.FILTER($I$9:$I$1000, ($B$9:$B$1000=B67) * ($H$9:$H$1000="Topic"))), "")</f>
        <v/>
      </c>
      <c r="B67" s="45" t="str">
        <f t="shared" si="1"/>
        <v/>
      </c>
      <c r="C67" s="95"/>
      <c r="D67" s="46"/>
      <c r="E67" s="58"/>
      <c r="F67" s="65"/>
      <c r="G67" s="49"/>
      <c r="H67" s="66"/>
      <c r="I67" s="50"/>
      <c r="J67" s="51"/>
      <c r="K67" s="129" t="str">
        <f t="shared" si="2"/>
        <v/>
      </c>
      <c r="L67" s="103" t="str">
        <f t="shared" si="3"/>
        <v/>
      </c>
      <c r="M67" s="53">
        <v>0</v>
      </c>
      <c r="N67" s="102" t="str">
        <f t="shared" si="4"/>
        <v/>
      </c>
      <c r="O67" s="103" t="str">
        <f t="shared" si="5"/>
        <v/>
      </c>
      <c r="P67" s="53">
        <v>0</v>
      </c>
      <c r="Q67" s="102" t="str">
        <f t="shared" si="6"/>
        <v/>
      </c>
      <c r="R67" s="103" t="str">
        <f t="shared" si="7"/>
        <v/>
      </c>
      <c r="S67" s="53">
        <v>0</v>
      </c>
      <c r="T67" s="102" t="str">
        <f t="shared" si="8"/>
        <v/>
      </c>
      <c r="U67" s="103" t="str">
        <f t="shared" si="9"/>
        <v/>
      </c>
      <c r="V67" s="53">
        <v>0</v>
      </c>
      <c r="W67" s="87" t="str">
        <f t="shared" si="10"/>
        <v/>
      </c>
      <c r="X67" s="103" t="str">
        <f t="shared" si="11"/>
        <v/>
      </c>
      <c r="Y67" s="53">
        <v>0</v>
      </c>
      <c r="Z67" s="56" t="str">
        <f t="shared" si="12"/>
        <v/>
      </c>
      <c r="AA67" s="56" t="str">
        <f t="shared" si="13"/>
        <v/>
      </c>
      <c r="AB67" s="56" t="str">
        <f t="shared" si="14"/>
        <v/>
      </c>
      <c r="AC67" s="56" t="str">
        <f t="shared" si="15"/>
        <v/>
      </c>
      <c r="AD67" s="56" t="str">
        <f t="shared" si="16"/>
        <v/>
      </c>
      <c r="AE67" s="40"/>
      <c r="AF67" s="40"/>
      <c r="AG67" s="40"/>
      <c r="AH67" s="56" t="str">
        <f t="shared" si="17"/>
        <v/>
      </c>
      <c r="AI67" s="54"/>
      <c r="AJ67" s="54"/>
      <c r="AK67" s="54"/>
      <c r="AL67" s="54"/>
      <c r="AM67" s="54"/>
    </row>
    <row r="68" spans="1:39">
      <c r="A68" s="45" t="str" cm="1">
        <f t="array" ref="A68">IF(H68="PROJECT", CHAR(10) &amp; "- " &amp; _xlfn.TEXTJOIN(CHAR(10) &amp; "- ", TRUE, _xlfn._xlws.FILTER($I$9:$I$1000, ($B$9:$B$1000=B68) * ($H$9:$H$1000="Topic"))), "")</f>
        <v/>
      </c>
      <c r="B68" s="45" t="str">
        <f t="shared" si="1"/>
        <v/>
      </c>
      <c r="C68" s="95"/>
      <c r="D68" s="57"/>
      <c r="E68" s="58"/>
      <c r="F68" s="63"/>
      <c r="G68" s="60"/>
      <c r="H68" s="60"/>
      <c r="I68" s="61"/>
      <c r="J68" s="62"/>
      <c r="K68" s="129" t="str">
        <f t="shared" si="2"/>
        <v/>
      </c>
      <c r="L68" s="103" t="str">
        <f t="shared" si="3"/>
        <v/>
      </c>
      <c r="M68" s="52">
        <v>0</v>
      </c>
      <c r="N68" s="102" t="str">
        <f t="shared" si="4"/>
        <v/>
      </c>
      <c r="O68" s="103" t="str">
        <f t="shared" si="5"/>
        <v/>
      </c>
      <c r="P68" s="52">
        <v>0</v>
      </c>
      <c r="Q68" s="102" t="str">
        <f t="shared" si="6"/>
        <v/>
      </c>
      <c r="R68" s="103" t="str">
        <f t="shared" si="7"/>
        <v/>
      </c>
      <c r="S68" s="52">
        <v>0</v>
      </c>
      <c r="T68" s="102" t="str">
        <f t="shared" si="8"/>
        <v/>
      </c>
      <c r="U68" s="103" t="str">
        <f t="shared" si="9"/>
        <v/>
      </c>
      <c r="V68" s="52">
        <v>0</v>
      </c>
      <c r="W68" s="87" t="str">
        <f t="shared" si="10"/>
        <v/>
      </c>
      <c r="X68" s="103" t="str">
        <f t="shared" si="11"/>
        <v/>
      </c>
      <c r="Y68" s="52">
        <v>0</v>
      </c>
      <c r="Z68" s="56" t="str">
        <f t="shared" si="12"/>
        <v/>
      </c>
      <c r="AA68" s="56" t="str">
        <f t="shared" si="13"/>
        <v/>
      </c>
      <c r="AB68" s="56" t="str">
        <f t="shared" si="14"/>
        <v/>
      </c>
      <c r="AC68" s="56" t="str">
        <f t="shared" si="15"/>
        <v/>
      </c>
      <c r="AD68" s="56" t="str">
        <f t="shared" si="16"/>
        <v/>
      </c>
      <c r="AE68" s="40"/>
      <c r="AF68" s="40"/>
      <c r="AG68" s="40"/>
      <c r="AH68" s="56" t="str">
        <f t="shared" si="17"/>
        <v/>
      </c>
      <c r="AI68" s="54"/>
      <c r="AJ68" s="54"/>
      <c r="AK68" s="54"/>
      <c r="AL68" s="54"/>
      <c r="AM68" s="54"/>
    </row>
    <row r="69" spans="1:39">
      <c r="A69" s="45" t="str" cm="1">
        <f t="array" ref="A69">IF(H69="PROJECT", CHAR(10) &amp; "- " &amp; _xlfn.TEXTJOIN(CHAR(10) &amp; "- ", TRUE, _xlfn._xlws.FILTER($I$9:$I$1000, ($B$9:$B$1000=B69) * ($H$9:$H$1000="Topic"))), "")</f>
        <v/>
      </c>
      <c r="B69" s="45" t="str">
        <f t="shared" si="1"/>
        <v/>
      </c>
      <c r="C69" s="95"/>
      <c r="D69" s="46"/>
      <c r="E69" s="58"/>
      <c r="F69" s="65"/>
      <c r="G69" s="49"/>
      <c r="H69" s="66"/>
      <c r="I69" s="50"/>
      <c r="J69" s="51"/>
      <c r="K69" s="129" t="str">
        <f t="shared" si="2"/>
        <v/>
      </c>
      <c r="L69" s="103" t="str">
        <f t="shared" si="3"/>
        <v/>
      </c>
      <c r="M69" s="53">
        <v>0</v>
      </c>
      <c r="N69" s="102" t="str">
        <f t="shared" si="4"/>
        <v/>
      </c>
      <c r="O69" s="103" t="str">
        <f t="shared" si="5"/>
        <v/>
      </c>
      <c r="P69" s="53">
        <v>0</v>
      </c>
      <c r="Q69" s="102" t="str">
        <f t="shared" si="6"/>
        <v/>
      </c>
      <c r="R69" s="103" t="str">
        <f t="shared" si="7"/>
        <v/>
      </c>
      <c r="S69" s="53">
        <v>0</v>
      </c>
      <c r="T69" s="102" t="str">
        <f t="shared" si="8"/>
        <v/>
      </c>
      <c r="U69" s="103" t="str">
        <f t="shared" si="9"/>
        <v/>
      </c>
      <c r="V69" s="53">
        <v>0</v>
      </c>
      <c r="W69" s="87" t="str">
        <f t="shared" si="10"/>
        <v/>
      </c>
      <c r="X69" s="103" t="str">
        <f t="shared" si="11"/>
        <v/>
      </c>
      <c r="Y69" s="53">
        <v>0</v>
      </c>
      <c r="Z69" s="56" t="str">
        <f t="shared" si="12"/>
        <v/>
      </c>
      <c r="AA69" s="56" t="str">
        <f t="shared" si="13"/>
        <v/>
      </c>
      <c r="AB69" s="56" t="str">
        <f t="shared" si="14"/>
        <v/>
      </c>
      <c r="AC69" s="56" t="str">
        <f t="shared" si="15"/>
        <v/>
      </c>
      <c r="AD69" s="56" t="str">
        <f t="shared" si="16"/>
        <v/>
      </c>
      <c r="AE69" s="40"/>
      <c r="AF69" s="40"/>
      <c r="AG69" s="40"/>
      <c r="AH69" s="56" t="str">
        <f t="shared" si="17"/>
        <v/>
      </c>
      <c r="AI69" s="54"/>
      <c r="AJ69" s="54"/>
      <c r="AK69" s="54"/>
      <c r="AL69" s="54"/>
      <c r="AM69" s="54"/>
    </row>
    <row r="70" spans="1:39">
      <c r="A70" s="45" t="str" cm="1">
        <f t="array" ref="A70">IF(H70="PROJECT", CHAR(10) &amp; "- " &amp; _xlfn.TEXTJOIN(CHAR(10) &amp; "- ", TRUE, _xlfn._xlws.FILTER($I$9:$I$1000, ($B$9:$B$1000=B70) * ($H$9:$H$1000="Topic"))), "")</f>
        <v/>
      </c>
      <c r="B70" s="45" t="str">
        <f t="shared" si="1"/>
        <v/>
      </c>
      <c r="C70" s="95"/>
      <c r="D70" s="57"/>
      <c r="E70" s="58"/>
      <c r="F70" s="63"/>
      <c r="G70" s="60"/>
      <c r="H70" s="64"/>
      <c r="I70" s="61"/>
      <c r="J70" s="62"/>
      <c r="K70" s="129" t="str">
        <f t="shared" si="2"/>
        <v/>
      </c>
      <c r="L70" s="103" t="str">
        <f t="shared" si="3"/>
        <v/>
      </c>
      <c r="M70" s="52">
        <v>0</v>
      </c>
      <c r="N70" s="102" t="str">
        <f t="shared" si="4"/>
        <v/>
      </c>
      <c r="O70" s="103" t="str">
        <f t="shared" si="5"/>
        <v/>
      </c>
      <c r="P70" s="52">
        <v>0</v>
      </c>
      <c r="Q70" s="102" t="str">
        <f t="shared" si="6"/>
        <v/>
      </c>
      <c r="R70" s="103" t="str">
        <f t="shared" si="7"/>
        <v/>
      </c>
      <c r="S70" s="52">
        <v>0</v>
      </c>
      <c r="T70" s="102" t="str">
        <f t="shared" si="8"/>
        <v/>
      </c>
      <c r="U70" s="103" t="str">
        <f t="shared" si="9"/>
        <v/>
      </c>
      <c r="V70" s="52">
        <v>0</v>
      </c>
      <c r="W70" s="87" t="str">
        <f t="shared" si="10"/>
        <v/>
      </c>
      <c r="X70" s="103" t="str">
        <f t="shared" si="11"/>
        <v/>
      </c>
      <c r="Y70" s="52">
        <v>0</v>
      </c>
      <c r="Z70" s="56" t="str">
        <f t="shared" si="12"/>
        <v/>
      </c>
      <c r="AA70" s="56" t="str">
        <f t="shared" si="13"/>
        <v/>
      </c>
      <c r="AB70" s="56" t="str">
        <f t="shared" si="14"/>
        <v/>
      </c>
      <c r="AC70" s="56" t="str">
        <f t="shared" si="15"/>
        <v/>
      </c>
      <c r="AD70" s="56" t="str">
        <f t="shared" si="16"/>
        <v/>
      </c>
      <c r="AE70" s="40"/>
      <c r="AF70" s="40"/>
      <c r="AG70" s="40"/>
      <c r="AH70" s="56" t="str">
        <f t="shared" si="17"/>
        <v/>
      </c>
      <c r="AI70" s="54"/>
      <c r="AJ70" s="54"/>
      <c r="AK70" s="54"/>
      <c r="AL70" s="54"/>
      <c r="AM70" s="54"/>
    </row>
    <row r="71" spans="1:39">
      <c r="A71" s="45" t="str" cm="1">
        <f t="array" ref="A71">IF(H71="PROJECT", CHAR(10) &amp; "- " &amp; _xlfn.TEXTJOIN(CHAR(10) &amp; "- ", TRUE, _xlfn._xlws.FILTER($I$9:$I$1000, ($B$9:$B$1000=B71) * ($H$9:$H$1000="Topic"))), "")</f>
        <v/>
      </c>
      <c r="B71" s="45" t="str">
        <f t="shared" si="1"/>
        <v/>
      </c>
      <c r="C71" s="95"/>
      <c r="D71" s="46"/>
      <c r="E71" s="58"/>
      <c r="F71" s="65"/>
      <c r="G71" s="49"/>
      <c r="H71" s="66"/>
      <c r="I71" s="50"/>
      <c r="J71" s="51"/>
      <c r="K71" s="129" t="str">
        <f t="shared" si="2"/>
        <v/>
      </c>
      <c r="L71" s="103" t="str">
        <f t="shared" si="3"/>
        <v/>
      </c>
      <c r="M71" s="53">
        <v>0</v>
      </c>
      <c r="N71" s="102" t="str">
        <f t="shared" si="4"/>
        <v/>
      </c>
      <c r="O71" s="103" t="str">
        <f t="shared" si="5"/>
        <v/>
      </c>
      <c r="P71" s="53">
        <v>0</v>
      </c>
      <c r="Q71" s="102" t="str">
        <f t="shared" si="6"/>
        <v/>
      </c>
      <c r="R71" s="103" t="str">
        <f t="shared" si="7"/>
        <v/>
      </c>
      <c r="S71" s="53">
        <v>0</v>
      </c>
      <c r="T71" s="102" t="str">
        <f t="shared" si="8"/>
        <v/>
      </c>
      <c r="U71" s="103" t="str">
        <f t="shared" si="9"/>
        <v/>
      </c>
      <c r="V71" s="53">
        <v>0</v>
      </c>
      <c r="W71" s="87" t="str">
        <f t="shared" si="10"/>
        <v/>
      </c>
      <c r="X71" s="103" t="str">
        <f t="shared" si="11"/>
        <v/>
      </c>
      <c r="Y71" s="53">
        <v>0</v>
      </c>
      <c r="Z71" s="56" t="str">
        <f t="shared" si="12"/>
        <v/>
      </c>
      <c r="AA71" s="56" t="str">
        <f t="shared" si="13"/>
        <v/>
      </c>
      <c r="AB71" s="56" t="str">
        <f t="shared" si="14"/>
        <v/>
      </c>
      <c r="AC71" s="56" t="str">
        <f t="shared" si="15"/>
        <v/>
      </c>
      <c r="AD71" s="56" t="str">
        <f t="shared" si="16"/>
        <v/>
      </c>
      <c r="AE71" s="40"/>
      <c r="AF71" s="40"/>
      <c r="AG71" s="40"/>
      <c r="AH71" s="56" t="str">
        <f t="shared" si="17"/>
        <v/>
      </c>
      <c r="AI71" s="54"/>
      <c r="AJ71" s="54"/>
      <c r="AK71" s="54"/>
      <c r="AL71" s="54"/>
      <c r="AM71" s="54"/>
    </row>
    <row r="72" spans="1:39">
      <c r="A72" s="45" t="str" cm="1">
        <f t="array" ref="A72">IF(H72="PROJECT", CHAR(10) &amp; "- " &amp; _xlfn.TEXTJOIN(CHAR(10) &amp; "- ", TRUE, _xlfn._xlws.FILTER($I$9:$I$1000, ($B$9:$B$1000=B72) * ($H$9:$H$1000="Topic"))), "")</f>
        <v/>
      </c>
      <c r="B72" s="45" t="str">
        <f t="shared" si="1"/>
        <v/>
      </c>
      <c r="C72" s="95"/>
      <c r="D72" s="57"/>
      <c r="E72" s="58"/>
      <c r="F72" s="63"/>
      <c r="G72" s="60"/>
      <c r="H72" s="64"/>
      <c r="I72" s="61"/>
      <c r="J72" s="62"/>
      <c r="K72" s="129" t="str">
        <f t="shared" si="2"/>
        <v/>
      </c>
      <c r="L72" s="103" t="str">
        <f t="shared" si="3"/>
        <v/>
      </c>
      <c r="M72" s="52">
        <v>0</v>
      </c>
      <c r="N72" s="102" t="str">
        <f t="shared" si="4"/>
        <v/>
      </c>
      <c r="O72" s="103" t="str">
        <f t="shared" si="5"/>
        <v/>
      </c>
      <c r="P72" s="52">
        <v>0</v>
      </c>
      <c r="Q72" s="102" t="str">
        <f t="shared" si="6"/>
        <v/>
      </c>
      <c r="R72" s="103" t="str">
        <f t="shared" si="7"/>
        <v/>
      </c>
      <c r="S72" s="52">
        <v>0</v>
      </c>
      <c r="T72" s="102" t="str">
        <f t="shared" si="8"/>
        <v/>
      </c>
      <c r="U72" s="103" t="str">
        <f t="shared" si="9"/>
        <v/>
      </c>
      <c r="V72" s="52">
        <v>0</v>
      </c>
      <c r="W72" s="87" t="str">
        <f t="shared" si="10"/>
        <v/>
      </c>
      <c r="X72" s="103" t="str">
        <f t="shared" si="11"/>
        <v/>
      </c>
      <c r="Y72" s="52">
        <v>0</v>
      </c>
      <c r="Z72" s="56" t="str">
        <f t="shared" si="12"/>
        <v/>
      </c>
      <c r="AA72" s="56" t="str">
        <f t="shared" si="13"/>
        <v/>
      </c>
      <c r="AB72" s="56" t="str">
        <f t="shared" si="14"/>
        <v/>
      </c>
      <c r="AC72" s="56" t="str">
        <f t="shared" si="15"/>
        <v/>
      </c>
      <c r="AD72" s="56" t="str">
        <f t="shared" si="16"/>
        <v/>
      </c>
      <c r="AE72" s="40"/>
      <c r="AF72" s="40"/>
      <c r="AG72" s="40"/>
      <c r="AH72" s="56" t="str">
        <f t="shared" si="17"/>
        <v/>
      </c>
      <c r="AI72" s="54"/>
      <c r="AJ72" s="54"/>
      <c r="AK72" s="54"/>
      <c r="AL72" s="54"/>
      <c r="AM72" s="54"/>
    </row>
    <row r="73" spans="1:39">
      <c r="A73" s="45" t="str" cm="1">
        <f t="array" ref="A73">IF(H73="PROJECT", CHAR(10) &amp; "- " &amp; _xlfn.TEXTJOIN(CHAR(10) &amp; "- ", TRUE, _xlfn._xlws.FILTER($I$9:$I$1000, ($B$9:$B$1000=B73) * ($H$9:$H$1000="Topic"))), "")</f>
        <v/>
      </c>
      <c r="B73" s="45" t="str">
        <f t="shared" si="1"/>
        <v/>
      </c>
      <c r="C73" s="95"/>
      <c r="D73" s="46"/>
      <c r="E73" s="58"/>
      <c r="F73" s="67"/>
      <c r="G73" s="53"/>
      <c r="H73" s="49"/>
      <c r="I73" s="50"/>
      <c r="J73" s="51"/>
      <c r="K73" s="129" t="str">
        <f t="shared" si="2"/>
        <v/>
      </c>
      <c r="L73" s="103" t="str">
        <f t="shared" si="3"/>
        <v/>
      </c>
      <c r="M73" s="53">
        <v>0</v>
      </c>
      <c r="N73" s="102" t="str">
        <f t="shared" si="4"/>
        <v/>
      </c>
      <c r="O73" s="103" t="str">
        <f t="shared" si="5"/>
        <v/>
      </c>
      <c r="P73" s="53">
        <v>0</v>
      </c>
      <c r="Q73" s="102" t="str">
        <f t="shared" si="6"/>
        <v/>
      </c>
      <c r="R73" s="103" t="str">
        <f t="shared" si="7"/>
        <v/>
      </c>
      <c r="S73" s="53">
        <v>0</v>
      </c>
      <c r="T73" s="102" t="str">
        <f t="shared" si="8"/>
        <v/>
      </c>
      <c r="U73" s="103" t="str">
        <f t="shared" si="9"/>
        <v/>
      </c>
      <c r="V73" s="53">
        <v>0</v>
      </c>
      <c r="W73" s="87" t="str">
        <f t="shared" si="10"/>
        <v/>
      </c>
      <c r="X73" s="103" t="str">
        <f t="shared" si="11"/>
        <v/>
      </c>
      <c r="Y73" s="53">
        <v>0</v>
      </c>
      <c r="Z73" s="56" t="str">
        <f t="shared" si="12"/>
        <v/>
      </c>
      <c r="AA73" s="56" t="str">
        <f t="shared" si="13"/>
        <v/>
      </c>
      <c r="AB73" s="56" t="str">
        <f t="shared" si="14"/>
        <v/>
      </c>
      <c r="AC73" s="56" t="str">
        <f t="shared" si="15"/>
        <v/>
      </c>
      <c r="AD73" s="56" t="str">
        <f t="shared" si="16"/>
        <v/>
      </c>
      <c r="AE73" s="40"/>
      <c r="AF73" s="40"/>
      <c r="AG73" s="40"/>
      <c r="AH73" s="56" t="str">
        <f t="shared" ref="AH73:AH104" si="18">IF(AE73=$B$6,AG73,"")</f>
        <v/>
      </c>
      <c r="AI73" s="54"/>
      <c r="AJ73" s="54"/>
      <c r="AK73" s="54"/>
      <c r="AL73" s="54"/>
      <c r="AM73" s="54"/>
    </row>
    <row r="74" spans="1:39">
      <c r="A74" s="45" t="str" cm="1">
        <f t="array" ref="A74">IF(H74="PROJECT", CHAR(10) &amp; "- " &amp; _xlfn.TEXTJOIN(CHAR(10) &amp; "- ", TRUE, _xlfn._xlws.FILTER($I$9:$I$1000, ($B$9:$B$1000=B74) * ($H$9:$H$1000="Topic"))), "")</f>
        <v/>
      </c>
      <c r="B74" s="45" t="str">
        <f t="shared" ref="B74:B137" si="19">IF(H74="","",IF(AND(H74="Topic",H73="PROJECT"),B73+1,IF(H74="PROJECT",B73,IF(AND(H74="Topic",H73="Topic"),B73,B73+1))))</f>
        <v/>
      </c>
      <c r="C74" s="95"/>
      <c r="D74" s="57"/>
      <c r="E74" s="58"/>
      <c r="F74" s="54"/>
      <c r="G74" s="52"/>
      <c r="H74" s="52"/>
      <c r="I74" s="61"/>
      <c r="J74" s="62"/>
      <c r="K74" s="129" t="str">
        <f t="shared" ref="K74:K137" si="20">IF(H74="Topic",
"[ROLE] Friendly tutor specializing in " &amp; $I$2 &amp; " | " &amp;
"[TOPIC] " &amp; I74 &amp; " | " &amp;
"[LEVEL] " &amp; G74 &amp; " | " &amp;
"[COUNT] " &amp; D74 &amp; " examples | " &amp;
"[LIBRARY BEING LEARNED] " &amp; $I$3 &amp; " | " &amp;
"[ECOSYSTEM ORIENTATION RULE] If a data manipulation library, external package, or ecosystem like Pandas or NumPy is specified in " &amp; $I$3 &amp; _xlfn._LONGTEXT(",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$C74 &amp; " lines of EXECUTABLE code (STRICT: Do NOT count comments or blank lines). - NEVER exceed this limit. | " &amp;
"[FUNCTION RULE] Rule: " &amp; IF(G74="Beginner","Focus strictly on basic class definitions, constructors, properties, and object instantiation inside main(). DO NOT use procedural scripts.", IF(G74="Intermediate", "STRICT REQUIREMENT: Integrate custom class definitions ('class'), constructors, instance methods, and getters/setters in EVERY example.", "Advanced OOP &amp; patterns: abstract classes, mixins, factory/named constructors, interfaces ('implements'), extensions, and overriding ('@override').")) &amp; " | " &amp;
_xlfn._LONGTEXT("[CODE_CONSTRAINTS_RULE]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 &amp;
"[I_O_PARADIGM] Use Basic primitive types (int, double, String, bool) or simple List/Map structures within classes. and gracefully handle print() statements with string interpolation to display outputs clearly. when applicable. | " &amp;
"[INLINE_PACKAGE_MANAGER] If using external packages, use Dart native classes, constructors, OOP patterns, and standard core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F74 &amp; " | Stage 1 📖 Practice | " &amp; IF($I$3="", $I$2, $I$2&amp; " - " &amp;$I$3) &amp; " | 📊 Level: " &amp; G74 &amp; " | 🌐 Coding5s.com" &amp; CHAR(10) &amp; "**Concept:** " &amp; J74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D74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IF(AJ74&lt;&gt;"", AJ74,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IF(H74="PROJECT", Z74, ""))</f>
        <v/>
      </c>
      <c r="L74" s="103" t="str">
        <f t="shared" ref="L74:L137" si="21">IF(OR(H74="Topic", UPPER(H74)="PROJECT"),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IF(UPPER(H74)="PROJECT", "building a PROJECT: " &amp; I74 &amp; ". Topics applied in this project: " &amp; A74 &amp; ". Project objective: " &amp; J74, "learning: " &amp; I74 &amp; ". Topic details: " &amp; J74)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IF(G74="Beginner", "Evaluate based on basic class instantiation, constructors, and property access inside main(). Do NOT expect advanced mixins or factories unless explicitly demanded.", IF(G74="Intermediate", "Expect clean class definitions, proper encapsulation (using '_'), named constructors, and correct 'this' usage. Enforce solid OOP principles.", "Expect advanced OOP architecture using abstract classes, mixins, factory constructors, interfaces, overriding, and composition.")) &amp; " | " &amp;
_xlfn._LONGTEXT("[CODE_QUALITY_POLICIES]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&amp; IF(AJ74&lt;&gt;"", "[MENTOR CONTEXT ALERT] Be aware of the following infrastructure limitation for this exercise: " &amp; AJ74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IF(UPPER(H74)="PROJECT",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IF(UPPER(H74)="PROJECT",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IF(UPPER(H74)="PROJECT", "Project #", "Topic #") &amp; F74 &amp; " | Practice | " &amp; IF($I$3="", $I$2, $I$2&amp; " - " &amp;$I$3) &amp; " | 📊 Level: " &amp; G74 &amp; CHAR(10) &amp; "**" &amp; IF(UPPER(H74)="PROJECT", "Project", "Topic") &amp; ":** " &amp; I74 &amp; CHAR(10) &amp; "---" &amp; CHAR(10) &amp; " | " &amp;
"[FOOTER RULE - STRICT] End your response with: '--- ⚡ *Coding5s Mentor System — Eliminating Epistemic Debt*' | ","")</f>
        <v/>
      </c>
      <c r="M74" s="52">
        <v>0</v>
      </c>
      <c r="N74" s="102" t="str">
        <f t="shared" ref="N74:N137" si="22">IF(H74="Topic",
"[ROLE] Careless " &amp; $I$2 &amp; " Developer | " &amp;
"[TASK] Generate debugging challenges in " &amp; $I$2 &amp; " | | " &amp;
"[TOPIC] " &amp; I74 &amp; " | | " &amp;
"[LEVEL] " &amp; G74 &amp; "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
"[HEADER RULE - STRICT] You MUST start your entire response EXACTLY with this markdown block (do not print anything before it):" &amp; CHAR(10) &amp; "### 🔹 Topic #" &amp; F74 &amp; " | Stage 2 🐛 Debug | " &amp; IF($I$3="", $I$2, $I$2&amp; " - " &amp;$I$3) &amp; " | 📊 Level: " &amp; G74 &amp; " | 🌐 Coding5s.com" &amp; CHAR(10) &amp; "Concept: " &amp; J74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complex dart test suites; keep object validation inside main(). | " &amp;
"[DEPENDENCY_MANAGEMENT_RULE] Standard Dart runtime context. If external packages are needed, specify them strictly in pubspec.yaml support files. | " &amp;
"[CODE CONSTRAINTS] Each challenge MUST include: internal data OR collection usage, at least 1 print statement, at least 1 loop (when applicable), EXACTLY 1 class definition, 1 constructor, and EXACTLY 1 class instantiation within main(). - " &amp; IF(G74="Beginner", "5–15", IF(G74="Intermediate", "10–25", "15–35")) &amp; " lines of EXECUTABLE broken Dart code per challenge (STRICT: Do NOT count blank lines). All logic MUST be encapsulated inside class methods and executed via main().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D74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IF(H74="PROJECT", AA74, ""))</f>
        <v/>
      </c>
      <c r="O74" s="103" t="str">
        <f t="shared" ref="O74:O137" si="23">IF(OR(H74="Topic", UPPER(H74)="PROJECT"),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IF(UPPER(H74)="PROJECT", "PROJECT: " &amp; I74 &amp; ". Topics involved: " &amp; A74 &amp; ". Project objective: " &amp; J74, "TOPIC: " &amp; I74 &amp; ". Topic details: " &amp; J74)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IF(UPPER(H74)="PROJECT", "Project #", "Topic #") &amp; F74 &amp; " | Debug | " &amp; IF($I$3="", $I$2, $I$2&amp; " - " &amp;$I$3) &amp; " | 📊 Level: " &amp; G74 &amp; CHAR(10) &amp; "**" &amp; IF(UPPER(H74)="PROJECT", "Project", "Topic") &amp; ":** " &amp; I74 &amp; CHAR(10) &amp; "---" &amp; CHAR(10) &amp; " | " &amp;
_xlfn._LONGTEXT("[CORE_QUALITY_POLICY]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74" s="52">
        <v>0</v>
      </c>
      <c r="Q74" s="102" t="str">
        <f t="shared" ref="Q74:Q137" si="24">IF(H74="Topic",
"[ROLE] Tech Lead | " &amp;
"[TASK] Assign incomplete " &amp; $I$2 &amp; " script challenges | " &amp;
"[TOPIC] " &amp; I74 &amp; " | " &amp;
"[LEVEL] " &amp; G74 &amp;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
"[HEADER RULE - STRICT] You MUST start your entire response EXACTLY with this markdown block (do not print anything before it):" &amp; CHAR(10) &amp; "### 🔹 Topic #" &amp; F74 &amp; " | Stage 3 🧩 Complete | " &amp; IF($I$3="", $I$2, $I$2&amp; " - " &amp;$I$3) &amp; " | 📊 Level: " &amp; G74 &amp; " | 🌐 Coding5s.com" &amp; CHAR(10) &amp; "**Concept:** " &amp; J74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Strictly ZERO external pub.dev packages required for beginner topics. | " &amp;
"[TESTING_FRAMEWORK_PROTOCOL] Simple console output verification via standard print() statements. | " &amp;
"[CHALLENGE_CONSTRAINTS_POLICY] For Beginner level, // TODO MUST be atomic (1-2 simple lines max, e.g., basic property assignment, method call, or direct comparison). NO complex buffer redirections or string parsing. - " &amp; IF(G74="Beginner","5–15", IF(G74="Intermediate","10–25","15–35")) &amp; " 5-15 lines of EXECUTABLE base code with a main() entry point. Code outside // TODO MUST be 100% valid and readable. All code MUST be encapsulated within a class structure.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D74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I74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IF(G74="Beginner", "Clear explicit hint (no code) | ", IF(G74="Intermediate",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IF(H74="PROJECT", AB74, ""))</f>
        <v/>
      </c>
      <c r="R74" s="103" t="str">
        <f t="shared" ref="R74:R137" si="25">IF(OR(H74="Topic", UPPER(H74)="PROJECT"),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IF(UPPER(H74)="PROJECT", "PROJECT: " &amp; I74 &amp; ". Topics involved: " &amp; A74 &amp; ". Project objective: " &amp; J74, "TOPIC: " &amp; I74 &amp; ". Topic details: " &amp; J74)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IF(UPPER(H74)="PROJECT", "Project #", "Topic #") &amp; F74 &amp; " | Complete | " &amp; IF($I$3="", $I$2, $I$2&amp; " - " &amp;$I$3) &amp; " | 📊 Level: " &amp; G74 &amp; CHAR(10) &amp; "**" &amp; IF(UPPER(H74)="PROJECT", "Project", "Topic") &amp; ":** " &amp; I74 &amp; CHAR(10) &amp; "---" &amp; CHAR(10) &amp; " | " &amp;
_xlfn._LONGTEXT("[CORE_QUALITY_POLICY]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74" s="52">
        <v>0</v>
      </c>
      <c r="T74" s="102" t="str">
        <f t="shared" ref="T74:T137" si="26">IF(H74="Topic",
"[ROLE] Tech Lead | " &amp;
"[TASK] Provide intentionally messy but functional code for learning debugging and improvement | " &amp;
"[TOPIC] " &amp; I74 &amp; " | " &amp;
"[LEVEL] " &amp; G74 &amp; " | " &amp;
"[COUNT] " &amp; D74 &amp; " challenges | " &amp;
"[LIBRARY BEING LEARNED] " &amp; $I$3 &amp; " | " &amp;
_xlfn._LONGTEXT("[ECOSYSTEM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F74 &amp; " | Stage 4 🧹 Refactor | " &amp; IF($I$3="", $I$2, $I$2&amp; " - " &amp;$I$3) &amp; " | 📊 Level: " &amp; G74 &amp; " | 🌐 Coding5s.com" &amp; CHAR(10) &amp; "**Concept:** " &amp; J74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D74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IF(G74="Beginner", "5–15", IF(G74="Intermediate",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IF(H74="PROJECT", AC74, ""))</f>
        <v/>
      </c>
      <c r="U74" s="103" t="str">
        <f t="shared" ref="U74:U137" si="27">IF(OR(H74="Topic", UPPER(H74)="PROJECT"),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IF(UPPER(H74)="PROJECT", "PROJECT: " &amp; I74 &amp; ". Topics involved: " &amp; A74 &amp; ". Project objective: " &amp; J74, "TOPIC: " &amp; I74 &amp; ". Topic details: " &amp; J74)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IF(UPPER(H74)="PROJECT", "Project #", "Topic #") &amp; F74 &amp; " | Refactor | " &amp; IF($I$3="", $I$2, $I$2&amp; " - " &amp;$I$3) &amp; " | 📊 Level: " &amp; G74 &amp; CHAR(10) &amp; "**" &amp; IF(UPPER(H74)="PROJECT", "Project", "Topic") &amp; ":** " &amp; I74 &amp; CHAR(10) &amp; "---" &amp; CHAR(10) &amp; " | " &amp;
_xlfn._LONGTEXT("[PYTHON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74" s="52">
        <v>0</v>
      </c>
      <c r="W74" s="87" t="str">
        <f t="shared" ref="W74:W137" si="28">IF(H74="Topic",
"[ROLE] Tech Product Manager assigning a " &amp; $I$2 &amp; " Jira Ticket | " &amp;
"[TASK] Provide a guided implementation exercise with full solution for learning purposes | " &amp;
"[TOPIC] " &amp; I74 &amp; " | " &amp;
"[LEVEL] " &amp; G74 &amp; " | " &amp;
"[LIBRARY BEING LEARNED] " &amp; $I$3 &amp; " | " &amp;
_xlfn._LONGTEXT("[ECOSYSTEM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F74 &amp; " | Stage 5 | " &amp; IF($I$3="", $I$2, $I$2&amp; " - " &amp;$I$3) &amp; " | 📊 Level: " &amp; G74 &amp; " | 🌐 Coding5s.com" &amp; CHAR(10) &amp; "**Concept:** " &amp; J74 &amp; CHAR(10) &amp; "---" &amp; CHAR(10) &amp; " | " &amp;
"[FUNCTIONAL_STRUCTURE_POLICY] Rule: " &amp; IF(G74="Beginner", "Use simple scripts or minimal functions. ", IF(G74="Intermediate",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IF(G74="Beginner", "10–20", IF(G74="Intermediate", "15–30", "25–40")) &amp; " lines of EXECUTABLE code (STRICT) - V1.1 MUST be between " &amp; IF(G74="Beginner", "15–30", IF(G74="Intermediate",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IF(H74="PROJECT", AD74, ""))</f>
        <v/>
      </c>
      <c r="X74" s="103" t="str">
        <f t="shared" ref="X74:X137" si="29">IF(OR(H74="Topic", UPPER(H74)="PROJECT"),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IF(UPPER(H74)="PROJECT", "PROJECT: " &amp; I74 &amp; ". Topics integrated: " &amp; A74 &amp; ". Business Goal: " &amp; J74, "TOPIC: " &amp; I74 &amp; ". Goal: " &amp; J74)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IF(UPPER(H74)="PROJECT", "Project #", "Topic #") &amp; F74 &amp; " | Extend | " &amp; IF($I$3="", $I$2, $I$2&amp; " - " &amp;$I$3) &amp; " | 📊 Level: " &amp; G74 &amp; CHAR(10) &amp; "**" &amp; IF(UPPER(H74)="PROJECT", "Project", "Topic") &amp; ":** " &amp; I74 &amp; CHAR(10) &amp; "---" &amp; CHAR(10) &amp; " | " &amp;
_xlfn._LONGTEXT("[CODE_QUALITY_PROTOCOL]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74" s="52">
        <v>0</v>
      </c>
      <c r="Z74" s="56" t="str">
        <f t="shared" ref="Z74:Z137" si="30">IF(H74&lt;&gt;"PROJECT","",
"[TASK] Teach through a practical " &amp; $I$2 &amp; " - " &amp; $I$3 &amp; " project following the micro-learning methodology, acting as a supportive tutor, creating a project about  " &amp; I74 &amp; " | " &amp;
"[TOPICS USED] " &amp; A74 &amp; " | " &amp;
"[LEVEL] " &amp; G74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Dart native classes, constructors, OOP patterns, and standard core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script sections (e.g., '// --- BLOQUE 1: [NAME] ---') to map code to the planning phase. 2. Use comprehensive doc comments using triple slashes ('///') explaining class purposes, parameter","s, return types, and exceptions. 3. CRITICAL: NO comment or docstring line may exceed 80 characters (Effective Dart standard) in width. | ") &amp;
"[DATA ROBUSTNESS RULE] Handle real-world data safely | " &amp;
"[CODE CONSTRAINTS] MUST be between " &amp; IF(G74="Beginner", "25–40", IF(G74="Intermediate",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F74 &amp; " | Stage 1 | " &amp; IF($I$3="", $I$2, $I$2&amp; " - " &amp;$I$3) &amp; " | 📊 Level: " &amp; G74 &amp; " | 🌐 Coding5s.com" &amp; CHAR(10) &amp; "**Project:** " &amp; J74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74" s="56" t="str">
        <f t="shared" ref="AA74:AA137" si="31">IF(H74&lt;&gt;"PROJECT","",
"[ROLE] Careless " &amp; $I$2 &amp; " Developer | " &amp;
"[TASK] Generate debugging project in " &amp; $I$2 &amp; " | " &amp;
"[PROJECT] " &amp; I74 &amp; " | " &amp;
"[TOPICS USED] " &amp; A74 &amp; " | " &amp;
"[LEVEL] " &amp; G74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F74 &amp; " | Stage 2 | " &amp; IF($I$3="", $I$2, $I$2&amp; " - " &amp;$I$3) &amp; " | 📊 Level: " &amp; G74 &amp; " | 🌐 Coding5s.com" &amp; CHAR(10) &amp; "Project: " &amp; J74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AE72 &amp; " | " &amp;
"[LANGUAGE SEED CONTEXT] " &amp; IF($AE$7 = "", "Language Seed Not Necessary", "You MUST strictly follow this seed context to enhance, adapt, and naturalize your tone, vocabulary, and instructional quality in " &amp; $B$6 &amp; ": " &amp; $AE$7) &amp; " | " &amp;
_xlfn._LONGTEXT("[BUG RULE] Simulate a messy Dart OOP script. The project MUST contain EXACTLY 2-5 bugs mixing Syntax errors, Null-safety errors, OOP/Encapsulation logic errors, and Runtime Exceptions. 1. Syntax &amp; Type Errors (e.g., missing semicolons/brackets, type misma","tches, constructor syntax errors, unhandled null access violating strict null safety), 2. Logic Errors (e.g., incorrect calculations, faulty comparison operators, improper encapsulation/getters, wrong return values), AND 3. Runtime Exceptions (e.g., State","Error, RangeError, FormatException, NoSuchMethodError due to bad casting).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IF(G74="Beginner", "25–40", IF(G74="Intermediate", "30–60", "40–100")) &amp; " lines of EXECUTABLE code (STRICT: Do NOT count blank lines towards this limit) - Multi-step flow - 2–4 functions ONLY - main() as entry point " &amp; IF(G74&lt;&gt;"Advanced",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74" s="56" t="str">
        <f t="shared" ref="AB74:AB137" si="32">IF(H74&lt;&gt;"PROJECT","",
"[ROLE] Tech Lead | " &amp;
"[TASK] Assign incomplete project script | " &amp;
"[PROJECT] " &amp; I74 &amp; " | " &amp;
"[TOPICS USED] " &amp; A74 &amp; " | " &amp;
"[LEVEL] " &amp; G74 &amp; " | " &amp;
"[LIBRARY BEING LEARNED] " &amp; $I$3 &amp; " | " &amp;
"[ECOSYSTEM ORIENTATION RULE] If a data manipulation library, external package, or ecosystem like Pandas or NumPy is specified in " &amp; $I$3 &amp; _xlfn._LONGTEXT(",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F74 &amp; " | Stage 3 | " &amp; IF($I$3="", $I$2, $I$2&amp; " - " &amp;$I$3) &amp; " | 📊 Level: " &amp; G74 &amp; " | 🌐 Coding5s.com" &amp; CHAR(10) &amp; "**Project:** " &amp; J74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IF(G74="Beginner","25–40", IF(G74="Intermediate","30–60","40–100")) &amp; " Class-based object architecture. Require at least 1 class with internal state management.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74" s="56" t="str">
        <f t="shared" ref="AC74:AC137" si="33">IF(H74&lt;&gt;"PROJECT","",
"[ROLE] Tech Lead | " &amp;
"[TASK] Provide a messy but functional project for refactoring | " &amp;
"[PROJECT] " &amp; I74 &amp; " | " &amp;
"[TOPICS USED] " &amp; A74 &amp; " | " &amp;
"[LEVEL] " &amp; G74 &amp; " | " &amp;
"[PERSONA RULE] Act as a Tech Lead. A junior wrote this working but messy code. Tone: professional but exhausted | " &amp;
"[HEADER RULE - STRICT] You MUST start your entire response EXACTLY with this markdown block (do not print anything before it):" &amp; CHAR(10) &amp; "### 🚀 Project #" &amp; F74 &amp; " | Stage 4 | " &amp; IF($I$3="", $I$2, $I$2&amp; " - " &amp;$I$3) &amp; " | 📊 Level: " &amp; G74 &amp; " | 🌐 Coding5s.com" &amp; CHAR(10) &amp; "**Project:** " &amp; J74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IF(G74="Beginner", "25–40", IF(G74="Intermediate",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74" s="56" t="str">
        <f t="shared" ref="AD74:AD137" si="34">IF(H74&lt;&gt;"PROJECT","",
"[ROLE] Tech Product Manager assigning a " &amp; $I$2 &amp; " Jira Ticket | " &amp;
"[TASK] Provide a guided project implementation with full solution | " &amp;
"[PROJECT] " &amp; I74 &amp; " | " &amp;
"[TOPICS USED] " &amp; A74 &amp; " | " &amp;
"[LEVEL] " &amp; G74 &amp; " | " &amp;
"[PERSONA RULE] Act as a professional Tech Product Manager defining a project ticket | " &amp;
"[LIBRARY BEING LEARNED] " &amp; $I$3 &amp; " | " &amp;
_xlfn._LONGTEXT("[ECOSYSTEM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 &amp;
"[HEADER RULE - STRICT] You MUST start your entire response EXACTLY with this markdown block (do not print anything before it):" &amp; CHAR(10) &amp; "### 🚀 Project #" &amp; F74 &amp; " | Stage 5 | " &amp; IF($I$3="", $I$2, $I$2&amp; " - " &amp;$I$3) &amp; " | 📊 Level: " &amp; G74 &amp; " | 🌐 Coding5s.com" &amp; CHAR(10) &amp; "**Project:** " &amp; J74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IF(G74="Beginner", "20–35", IF(G74="Intermediate", "30–50", "45–70")) &amp; " lines of EXECUTABLE code (STRICT) - V1.1 MUST be between " &amp; IF(G74="Beginner", "30–50", IF(G74="Intermediate",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IF(G74="Beginner", "Avoid complex structure. ", IF(G74="Intermediate",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74" s="40"/>
      <c r="AF74" s="40"/>
      <c r="AG74" s="40"/>
      <c r="AH74" s="56" t="str">
        <f t="shared" si="18"/>
        <v/>
      </c>
      <c r="AI74" s="54"/>
      <c r="AJ74" s="54"/>
      <c r="AK74" s="54"/>
      <c r="AL74" s="54"/>
      <c r="AM74" s="54"/>
    </row>
    <row r="75" spans="1:39">
      <c r="A75" s="45" t="str" cm="1">
        <f t="array" ref="A75">IF(H75="PROJECT", CHAR(10) &amp; "- " &amp; _xlfn.TEXTJOIN(CHAR(10) &amp; "- ", TRUE, _xlfn._xlws.FILTER($I$9:$I$1000, ($B$9:$B$1000=B75) * ($H$9:$H$1000="Topic"))), "")</f>
        <v/>
      </c>
      <c r="B75" s="45" t="str">
        <f t="shared" si="19"/>
        <v/>
      </c>
      <c r="C75" s="95"/>
      <c r="D75" s="46"/>
      <c r="E75" s="58"/>
      <c r="F75" s="67"/>
      <c r="G75" s="53"/>
      <c r="H75" s="53"/>
      <c r="I75" s="50"/>
      <c r="J75" s="51"/>
      <c r="K75" s="129" t="str">
        <f t="shared" si="20"/>
        <v/>
      </c>
      <c r="L75" s="103" t="str">
        <f t="shared" si="21"/>
        <v/>
      </c>
      <c r="M75" s="53">
        <v>0</v>
      </c>
      <c r="N75" s="102" t="str">
        <f t="shared" si="22"/>
        <v/>
      </c>
      <c r="O75" s="103" t="str">
        <f t="shared" si="23"/>
        <v/>
      </c>
      <c r="P75" s="53">
        <v>0</v>
      </c>
      <c r="Q75" s="102" t="str">
        <f t="shared" si="24"/>
        <v/>
      </c>
      <c r="R75" s="103" t="str">
        <f t="shared" si="25"/>
        <v/>
      </c>
      <c r="S75" s="53">
        <v>0</v>
      </c>
      <c r="T75" s="102" t="str">
        <f t="shared" si="26"/>
        <v/>
      </c>
      <c r="U75" s="103" t="str">
        <f t="shared" si="27"/>
        <v/>
      </c>
      <c r="V75" s="53">
        <v>0</v>
      </c>
      <c r="W75" s="87" t="str">
        <f t="shared" si="28"/>
        <v/>
      </c>
      <c r="X75" s="103" t="str">
        <f t="shared" si="29"/>
        <v/>
      </c>
      <c r="Y75" s="53">
        <v>0</v>
      </c>
      <c r="Z75" s="56" t="str">
        <f t="shared" si="30"/>
        <v/>
      </c>
      <c r="AA75" s="56" t="str">
        <f t="shared" si="31"/>
        <v/>
      </c>
      <c r="AB75" s="56" t="str">
        <f t="shared" si="32"/>
        <v/>
      </c>
      <c r="AC75" s="56" t="str">
        <f t="shared" si="33"/>
        <v/>
      </c>
      <c r="AD75" s="56" t="str">
        <f t="shared" si="34"/>
        <v/>
      </c>
      <c r="AE75" s="40"/>
      <c r="AF75" s="40"/>
      <c r="AG75" s="40"/>
      <c r="AH75" s="56" t="str">
        <f t="shared" si="18"/>
        <v/>
      </c>
      <c r="AI75" s="54"/>
      <c r="AJ75" s="54"/>
      <c r="AK75" s="54"/>
      <c r="AL75" s="54"/>
      <c r="AM75" s="54"/>
    </row>
    <row r="76" spans="1:39">
      <c r="A76" s="45" t="str" cm="1">
        <f t="array" ref="A76">IF(H76="PROJECT", CHAR(10) &amp; "- " &amp; _xlfn.TEXTJOIN(CHAR(10) &amp; "- ", TRUE, _xlfn._xlws.FILTER($I$9:$I$1000, ($B$9:$B$1000=B76) * ($H$9:$H$1000="Topic"))), "")</f>
        <v/>
      </c>
      <c r="B76" s="45" t="str">
        <f t="shared" si="19"/>
        <v/>
      </c>
      <c r="C76" s="95"/>
      <c r="D76" s="57"/>
      <c r="E76" s="58"/>
      <c r="F76" s="54"/>
      <c r="G76" s="52"/>
      <c r="H76" s="52"/>
      <c r="I76" s="61"/>
      <c r="J76" s="62"/>
      <c r="K76" s="129" t="str">
        <f t="shared" si="20"/>
        <v/>
      </c>
      <c r="L76" s="103" t="str">
        <f t="shared" si="21"/>
        <v/>
      </c>
      <c r="M76" s="52">
        <v>0</v>
      </c>
      <c r="N76" s="102" t="str">
        <f t="shared" si="22"/>
        <v/>
      </c>
      <c r="O76" s="103" t="str">
        <f t="shared" si="23"/>
        <v/>
      </c>
      <c r="P76" s="52">
        <v>0</v>
      </c>
      <c r="Q76" s="102" t="str">
        <f t="shared" si="24"/>
        <v/>
      </c>
      <c r="R76" s="103" t="str">
        <f t="shared" si="25"/>
        <v/>
      </c>
      <c r="S76" s="52">
        <v>0</v>
      </c>
      <c r="T76" s="102" t="str">
        <f t="shared" si="26"/>
        <v/>
      </c>
      <c r="U76" s="103" t="str">
        <f t="shared" si="27"/>
        <v/>
      </c>
      <c r="V76" s="52">
        <v>0</v>
      </c>
      <c r="W76" s="87" t="str">
        <f t="shared" si="28"/>
        <v/>
      </c>
      <c r="X76" s="103" t="str">
        <f t="shared" si="29"/>
        <v/>
      </c>
      <c r="Y76" s="52">
        <v>0</v>
      </c>
      <c r="Z76" s="56" t="str">
        <f t="shared" si="30"/>
        <v/>
      </c>
      <c r="AA76" s="56" t="str">
        <f t="shared" si="31"/>
        <v/>
      </c>
      <c r="AB76" s="56" t="str">
        <f t="shared" si="32"/>
        <v/>
      </c>
      <c r="AC76" s="56" t="str">
        <f t="shared" si="33"/>
        <v/>
      </c>
      <c r="AD76" s="56" t="str">
        <f t="shared" si="34"/>
        <v/>
      </c>
      <c r="AE76" s="40"/>
      <c r="AF76" s="40"/>
      <c r="AG76" s="40"/>
      <c r="AH76" s="56" t="str">
        <f t="shared" si="18"/>
        <v/>
      </c>
      <c r="AI76" s="54"/>
      <c r="AJ76" s="54"/>
      <c r="AK76" s="54"/>
      <c r="AL76" s="54"/>
      <c r="AM76" s="54"/>
    </row>
    <row r="77" spans="1:39">
      <c r="A77" s="45" t="str" cm="1">
        <f t="array" ref="A77">IF(H77="PROJECT", CHAR(10) &amp; "- " &amp; _xlfn.TEXTJOIN(CHAR(10) &amp; "- ", TRUE, _xlfn._xlws.FILTER($I$9:$I$1000, ($B$9:$B$1000=B77) * ($H$9:$H$1000="Topic"))), "")</f>
        <v/>
      </c>
      <c r="B77" s="45" t="str">
        <f t="shared" si="19"/>
        <v/>
      </c>
      <c r="C77" s="95"/>
      <c r="D77" s="46"/>
      <c r="E77" s="58"/>
      <c r="F77" s="67"/>
      <c r="G77" s="53"/>
      <c r="H77" s="53"/>
      <c r="I77" s="50"/>
      <c r="J77" s="51"/>
      <c r="K77" s="129" t="str">
        <f t="shared" si="20"/>
        <v/>
      </c>
      <c r="L77" s="103" t="str">
        <f t="shared" si="21"/>
        <v/>
      </c>
      <c r="M77" s="53">
        <v>0</v>
      </c>
      <c r="N77" s="102" t="str">
        <f t="shared" si="22"/>
        <v/>
      </c>
      <c r="O77" s="103" t="str">
        <f t="shared" si="23"/>
        <v/>
      </c>
      <c r="P77" s="53">
        <v>0</v>
      </c>
      <c r="Q77" s="102" t="str">
        <f t="shared" si="24"/>
        <v/>
      </c>
      <c r="R77" s="103" t="str">
        <f t="shared" si="25"/>
        <v/>
      </c>
      <c r="S77" s="53">
        <v>0</v>
      </c>
      <c r="T77" s="102" t="str">
        <f t="shared" si="26"/>
        <v/>
      </c>
      <c r="U77" s="103" t="str">
        <f t="shared" si="27"/>
        <v/>
      </c>
      <c r="V77" s="53">
        <v>0</v>
      </c>
      <c r="W77" s="87" t="str">
        <f t="shared" si="28"/>
        <v/>
      </c>
      <c r="X77" s="103" t="str">
        <f t="shared" si="29"/>
        <v/>
      </c>
      <c r="Y77" s="53">
        <v>0</v>
      </c>
      <c r="Z77" s="56" t="str">
        <f t="shared" si="30"/>
        <v/>
      </c>
      <c r="AA77" s="56" t="str">
        <f t="shared" si="31"/>
        <v/>
      </c>
      <c r="AB77" s="56" t="str">
        <f t="shared" si="32"/>
        <v/>
      </c>
      <c r="AC77" s="56" t="str">
        <f t="shared" si="33"/>
        <v/>
      </c>
      <c r="AD77" s="56" t="str">
        <f t="shared" si="34"/>
        <v/>
      </c>
      <c r="AE77" s="40"/>
      <c r="AF77" s="40"/>
      <c r="AG77" s="40"/>
      <c r="AH77" s="56" t="str">
        <f t="shared" si="18"/>
        <v/>
      </c>
      <c r="AI77" s="54"/>
      <c r="AJ77" s="54"/>
      <c r="AK77" s="54"/>
      <c r="AL77" s="54"/>
      <c r="AM77" s="54"/>
    </row>
    <row r="78" spans="1:39">
      <c r="A78" s="45" t="str" cm="1">
        <f t="array" ref="A78">IF(H78="PROJECT", CHAR(10) &amp; "- " &amp; _xlfn.TEXTJOIN(CHAR(10) &amp; "- ", TRUE, _xlfn._xlws.FILTER($I$9:$I$1000, ($B$9:$B$1000=B78) * ($H$9:$H$1000="Topic"))), "")</f>
        <v/>
      </c>
      <c r="B78" s="45" t="str">
        <f t="shared" si="19"/>
        <v/>
      </c>
      <c r="C78" s="95"/>
      <c r="D78" s="57"/>
      <c r="E78" s="58"/>
      <c r="F78" s="54"/>
      <c r="G78" s="52"/>
      <c r="H78" s="52"/>
      <c r="I78" s="61"/>
      <c r="J78" s="62"/>
      <c r="K78" s="129" t="str">
        <f t="shared" si="20"/>
        <v/>
      </c>
      <c r="L78" s="103" t="str">
        <f t="shared" si="21"/>
        <v/>
      </c>
      <c r="M78" s="52">
        <v>0</v>
      </c>
      <c r="N78" s="102" t="str">
        <f t="shared" si="22"/>
        <v/>
      </c>
      <c r="O78" s="103" t="str">
        <f t="shared" si="23"/>
        <v/>
      </c>
      <c r="P78" s="52">
        <v>0</v>
      </c>
      <c r="Q78" s="102" t="str">
        <f t="shared" si="24"/>
        <v/>
      </c>
      <c r="R78" s="103" t="str">
        <f t="shared" si="25"/>
        <v/>
      </c>
      <c r="S78" s="52">
        <v>0</v>
      </c>
      <c r="T78" s="102" t="str">
        <f t="shared" si="26"/>
        <v/>
      </c>
      <c r="U78" s="103" t="str">
        <f t="shared" si="27"/>
        <v/>
      </c>
      <c r="V78" s="52">
        <v>0</v>
      </c>
      <c r="W78" s="87" t="str">
        <f t="shared" si="28"/>
        <v/>
      </c>
      <c r="X78" s="103" t="str">
        <f t="shared" si="29"/>
        <v/>
      </c>
      <c r="Y78" s="52">
        <v>0</v>
      </c>
      <c r="Z78" s="56" t="str">
        <f t="shared" si="30"/>
        <v/>
      </c>
      <c r="AA78" s="56" t="str">
        <f t="shared" si="31"/>
        <v/>
      </c>
      <c r="AB78" s="56" t="str">
        <f t="shared" si="32"/>
        <v/>
      </c>
      <c r="AC78" s="56" t="str">
        <f t="shared" si="33"/>
        <v/>
      </c>
      <c r="AD78" s="56" t="str">
        <f t="shared" si="34"/>
        <v/>
      </c>
      <c r="AE78" s="40"/>
      <c r="AF78" s="40"/>
      <c r="AG78" s="40"/>
      <c r="AH78" s="56" t="str">
        <f t="shared" si="18"/>
        <v/>
      </c>
      <c r="AI78" s="54"/>
      <c r="AJ78" s="54"/>
      <c r="AK78" s="54"/>
      <c r="AL78" s="54"/>
      <c r="AM78" s="54"/>
    </row>
    <row r="79" spans="1:39">
      <c r="A79" s="45" t="str" cm="1">
        <f t="array" ref="A79">IF(H79="PROJECT", CHAR(10) &amp; "- " &amp; _xlfn.TEXTJOIN(CHAR(10) &amp; "- ", TRUE, _xlfn._xlws.FILTER($I$9:$I$1000, ($B$9:$B$1000=B79) * ($H$9:$H$1000="Topic"))), "")</f>
        <v/>
      </c>
      <c r="B79" s="45" t="str">
        <f t="shared" si="19"/>
        <v/>
      </c>
      <c r="C79" s="95"/>
      <c r="D79" s="46"/>
      <c r="E79" s="58"/>
      <c r="F79" s="67"/>
      <c r="G79" s="53"/>
      <c r="H79" s="53"/>
      <c r="I79" s="50"/>
      <c r="J79" s="51"/>
      <c r="K79" s="129" t="str">
        <f t="shared" si="20"/>
        <v/>
      </c>
      <c r="L79" s="103" t="str">
        <f t="shared" si="21"/>
        <v/>
      </c>
      <c r="M79" s="53">
        <v>0</v>
      </c>
      <c r="N79" s="102" t="str">
        <f t="shared" si="22"/>
        <v/>
      </c>
      <c r="O79" s="103" t="str">
        <f t="shared" si="23"/>
        <v/>
      </c>
      <c r="P79" s="53">
        <v>0</v>
      </c>
      <c r="Q79" s="102" t="str">
        <f t="shared" si="24"/>
        <v/>
      </c>
      <c r="R79" s="103" t="str">
        <f t="shared" si="25"/>
        <v/>
      </c>
      <c r="S79" s="53">
        <v>0</v>
      </c>
      <c r="T79" s="102" t="str">
        <f t="shared" si="26"/>
        <v/>
      </c>
      <c r="U79" s="103" t="str">
        <f t="shared" si="27"/>
        <v/>
      </c>
      <c r="V79" s="53">
        <v>0</v>
      </c>
      <c r="W79" s="87" t="str">
        <f t="shared" si="28"/>
        <v/>
      </c>
      <c r="X79" s="103" t="str">
        <f t="shared" si="29"/>
        <v/>
      </c>
      <c r="Y79" s="53">
        <v>0</v>
      </c>
      <c r="Z79" s="56" t="str">
        <f t="shared" si="30"/>
        <v/>
      </c>
      <c r="AA79" s="56" t="str">
        <f t="shared" si="31"/>
        <v/>
      </c>
      <c r="AB79" s="56" t="str">
        <f t="shared" si="32"/>
        <v/>
      </c>
      <c r="AC79" s="56" t="str">
        <f t="shared" si="33"/>
        <v/>
      </c>
      <c r="AD79" s="56" t="str">
        <f t="shared" si="34"/>
        <v/>
      </c>
      <c r="AE79" s="40"/>
      <c r="AF79" s="40"/>
      <c r="AG79" s="40"/>
      <c r="AH79" s="56" t="str">
        <f t="shared" si="18"/>
        <v/>
      </c>
      <c r="AI79" s="54"/>
      <c r="AJ79" s="54"/>
      <c r="AK79" s="54"/>
      <c r="AL79" s="54"/>
      <c r="AM79" s="54"/>
    </row>
    <row r="80" spans="1:39">
      <c r="A80" s="45" t="str" cm="1">
        <f t="array" ref="A80">IF(H80="PROJECT", CHAR(10) &amp; "- " &amp; _xlfn.TEXTJOIN(CHAR(10) &amp; "- ", TRUE, _xlfn._xlws.FILTER($I$9:$I$1000, ($B$9:$B$1000=B80) * ($H$9:$H$1000="Topic"))), "")</f>
        <v/>
      </c>
      <c r="B80" s="45" t="str">
        <f t="shared" si="19"/>
        <v/>
      </c>
      <c r="C80" s="95"/>
      <c r="D80" s="57"/>
      <c r="E80" s="58"/>
      <c r="F80" s="54"/>
      <c r="G80" s="52"/>
      <c r="H80" s="60"/>
      <c r="I80" s="61"/>
      <c r="J80" s="62"/>
      <c r="K80" s="129" t="str">
        <f t="shared" si="20"/>
        <v/>
      </c>
      <c r="L80" s="103" t="str">
        <f t="shared" si="21"/>
        <v/>
      </c>
      <c r="M80" s="52">
        <v>0</v>
      </c>
      <c r="N80" s="102" t="str">
        <f t="shared" si="22"/>
        <v/>
      </c>
      <c r="O80" s="103" t="str">
        <f t="shared" si="23"/>
        <v/>
      </c>
      <c r="P80" s="52">
        <v>0</v>
      </c>
      <c r="Q80" s="102" t="str">
        <f t="shared" si="24"/>
        <v/>
      </c>
      <c r="R80" s="103" t="str">
        <f t="shared" si="25"/>
        <v/>
      </c>
      <c r="S80" s="52">
        <v>0</v>
      </c>
      <c r="T80" s="102" t="str">
        <f t="shared" si="26"/>
        <v/>
      </c>
      <c r="U80" s="103" t="str">
        <f t="shared" si="27"/>
        <v/>
      </c>
      <c r="V80" s="52">
        <v>0</v>
      </c>
      <c r="W80" s="87" t="str">
        <f t="shared" si="28"/>
        <v/>
      </c>
      <c r="X80" s="103" t="str">
        <f t="shared" si="29"/>
        <v/>
      </c>
      <c r="Y80" s="52">
        <v>0</v>
      </c>
      <c r="Z80" s="56" t="str">
        <f t="shared" si="30"/>
        <v/>
      </c>
      <c r="AA80" s="56" t="str">
        <f t="shared" si="31"/>
        <v/>
      </c>
      <c r="AB80" s="56" t="str">
        <f t="shared" si="32"/>
        <v/>
      </c>
      <c r="AC80" s="56" t="str">
        <f t="shared" si="33"/>
        <v/>
      </c>
      <c r="AD80" s="56" t="str">
        <f t="shared" si="34"/>
        <v/>
      </c>
      <c r="AE80" s="40"/>
      <c r="AF80" s="40"/>
      <c r="AG80" s="40"/>
      <c r="AH80" s="56" t="str">
        <f t="shared" si="18"/>
        <v/>
      </c>
      <c r="AI80" s="54"/>
      <c r="AJ80" s="54"/>
      <c r="AK80" s="54"/>
      <c r="AL80" s="54"/>
      <c r="AM80" s="54"/>
    </row>
    <row r="81" spans="1:39">
      <c r="A81" s="45" t="str" cm="1">
        <f t="array" ref="A81">IF(H81="PROJECT", CHAR(10) &amp; "- " &amp; _xlfn.TEXTJOIN(CHAR(10) &amp; "- ", TRUE, _xlfn._xlws.FILTER($I$9:$I$1000, ($B$9:$B$1000=B81) * ($H$9:$H$1000="Topic"))), "")</f>
        <v/>
      </c>
      <c r="B81" s="45" t="str">
        <f t="shared" si="19"/>
        <v/>
      </c>
      <c r="C81" s="95"/>
      <c r="D81" s="46"/>
      <c r="E81" s="58"/>
      <c r="F81" s="67"/>
      <c r="G81" s="53"/>
      <c r="H81" s="53"/>
      <c r="I81" s="50"/>
      <c r="J81" s="51"/>
      <c r="K81" s="129" t="str">
        <f t="shared" si="20"/>
        <v/>
      </c>
      <c r="L81" s="103" t="str">
        <f t="shared" si="21"/>
        <v/>
      </c>
      <c r="M81" s="53">
        <v>0</v>
      </c>
      <c r="N81" s="102" t="str">
        <f t="shared" si="22"/>
        <v/>
      </c>
      <c r="O81" s="103" t="str">
        <f t="shared" si="23"/>
        <v/>
      </c>
      <c r="P81" s="53">
        <v>0</v>
      </c>
      <c r="Q81" s="102" t="str">
        <f t="shared" si="24"/>
        <v/>
      </c>
      <c r="R81" s="103" t="str">
        <f t="shared" si="25"/>
        <v/>
      </c>
      <c r="S81" s="53">
        <v>0</v>
      </c>
      <c r="T81" s="102" t="str">
        <f t="shared" si="26"/>
        <v/>
      </c>
      <c r="U81" s="103" t="str">
        <f t="shared" si="27"/>
        <v/>
      </c>
      <c r="V81" s="53">
        <v>0</v>
      </c>
      <c r="W81" s="87" t="str">
        <f t="shared" si="28"/>
        <v/>
      </c>
      <c r="X81" s="103" t="str">
        <f t="shared" si="29"/>
        <v/>
      </c>
      <c r="Y81" s="53">
        <v>0</v>
      </c>
      <c r="Z81" s="56" t="str">
        <f t="shared" si="30"/>
        <v/>
      </c>
      <c r="AA81" s="56" t="str">
        <f t="shared" si="31"/>
        <v/>
      </c>
      <c r="AB81" s="56" t="str">
        <f t="shared" si="32"/>
        <v/>
      </c>
      <c r="AC81" s="56" t="str">
        <f t="shared" si="33"/>
        <v/>
      </c>
      <c r="AD81" s="56" t="str">
        <f t="shared" si="34"/>
        <v/>
      </c>
      <c r="AE81" s="40"/>
      <c r="AF81" s="40"/>
      <c r="AG81" s="40"/>
      <c r="AH81" s="56" t="str">
        <f t="shared" si="18"/>
        <v/>
      </c>
      <c r="AI81" s="54"/>
      <c r="AJ81" s="54"/>
      <c r="AK81" s="54"/>
      <c r="AL81" s="54"/>
      <c r="AM81" s="54"/>
    </row>
    <row r="82" spans="1:39">
      <c r="A82" s="45" t="str" cm="1">
        <f t="array" ref="A82">IF(H82="PROJECT", CHAR(10) &amp; "- " &amp; _xlfn.TEXTJOIN(CHAR(10) &amp; "- ", TRUE, _xlfn._xlws.FILTER($I$9:$I$1000, ($B$9:$B$1000=B82) * ($H$9:$H$1000="Topic"))), "")</f>
        <v/>
      </c>
      <c r="B82" s="45" t="str">
        <f t="shared" si="19"/>
        <v/>
      </c>
      <c r="C82" s="95"/>
      <c r="D82" s="57"/>
      <c r="E82" s="58"/>
      <c r="F82" s="54"/>
      <c r="G82" s="52"/>
      <c r="H82" s="52"/>
      <c r="I82" s="61"/>
      <c r="J82" s="62"/>
      <c r="K82" s="129" t="str">
        <f t="shared" si="20"/>
        <v/>
      </c>
      <c r="L82" s="103" t="str">
        <f t="shared" si="21"/>
        <v/>
      </c>
      <c r="M82" s="52">
        <v>0</v>
      </c>
      <c r="N82" s="102" t="str">
        <f t="shared" si="22"/>
        <v/>
      </c>
      <c r="O82" s="103" t="str">
        <f t="shared" si="23"/>
        <v/>
      </c>
      <c r="P82" s="52">
        <v>0</v>
      </c>
      <c r="Q82" s="102" t="str">
        <f t="shared" si="24"/>
        <v/>
      </c>
      <c r="R82" s="103" t="str">
        <f t="shared" si="25"/>
        <v/>
      </c>
      <c r="S82" s="52">
        <v>0</v>
      </c>
      <c r="T82" s="102" t="str">
        <f t="shared" si="26"/>
        <v/>
      </c>
      <c r="U82" s="103" t="str">
        <f t="shared" si="27"/>
        <v/>
      </c>
      <c r="V82" s="52">
        <v>0</v>
      </c>
      <c r="W82" s="87" t="str">
        <f t="shared" si="28"/>
        <v/>
      </c>
      <c r="X82" s="103" t="str">
        <f t="shared" si="29"/>
        <v/>
      </c>
      <c r="Y82" s="52">
        <v>0</v>
      </c>
      <c r="Z82" s="56" t="str">
        <f t="shared" si="30"/>
        <v/>
      </c>
      <c r="AA82" s="56" t="str">
        <f t="shared" si="31"/>
        <v/>
      </c>
      <c r="AB82" s="56" t="str">
        <f t="shared" si="32"/>
        <v/>
      </c>
      <c r="AC82" s="56" t="str">
        <f t="shared" si="33"/>
        <v/>
      </c>
      <c r="AD82" s="56" t="str">
        <f t="shared" si="34"/>
        <v/>
      </c>
      <c r="AE82" s="40"/>
      <c r="AF82" s="40"/>
      <c r="AG82" s="40"/>
      <c r="AH82" s="56" t="str">
        <f t="shared" si="18"/>
        <v/>
      </c>
      <c r="AI82" s="54"/>
      <c r="AJ82" s="54"/>
      <c r="AK82" s="54"/>
      <c r="AL82" s="54"/>
      <c r="AM82" s="54"/>
    </row>
    <row r="83" spans="1:39">
      <c r="A83" s="45" t="str" cm="1">
        <f t="array" ref="A83">IF(H83="PROJECT", CHAR(10) &amp; "- " &amp; _xlfn.TEXTJOIN(CHAR(10) &amp; "- ", TRUE, _xlfn._xlws.FILTER($I$9:$I$1000, ($B$9:$B$1000=B83) * ($H$9:$H$1000="Topic"))), "")</f>
        <v/>
      </c>
      <c r="B83" s="45" t="str">
        <f t="shared" si="19"/>
        <v/>
      </c>
      <c r="C83" s="95"/>
      <c r="D83" s="46"/>
      <c r="E83" s="58"/>
      <c r="F83" s="67"/>
      <c r="G83" s="53"/>
      <c r="H83" s="53"/>
      <c r="I83" s="50"/>
      <c r="J83" s="51"/>
      <c r="K83" s="129" t="str">
        <f t="shared" si="20"/>
        <v/>
      </c>
      <c r="L83" s="103" t="str">
        <f t="shared" si="21"/>
        <v/>
      </c>
      <c r="M83" s="53">
        <v>0</v>
      </c>
      <c r="N83" s="102" t="str">
        <f t="shared" si="22"/>
        <v/>
      </c>
      <c r="O83" s="103" t="str">
        <f t="shared" si="23"/>
        <v/>
      </c>
      <c r="P83" s="53">
        <v>0</v>
      </c>
      <c r="Q83" s="102" t="str">
        <f t="shared" si="24"/>
        <v/>
      </c>
      <c r="R83" s="103" t="str">
        <f t="shared" si="25"/>
        <v/>
      </c>
      <c r="S83" s="53">
        <v>0</v>
      </c>
      <c r="T83" s="102" t="str">
        <f t="shared" si="26"/>
        <v/>
      </c>
      <c r="U83" s="103" t="str">
        <f t="shared" si="27"/>
        <v/>
      </c>
      <c r="V83" s="53">
        <v>0</v>
      </c>
      <c r="W83" s="87" t="str">
        <f t="shared" si="28"/>
        <v/>
      </c>
      <c r="X83" s="103" t="str">
        <f t="shared" si="29"/>
        <v/>
      </c>
      <c r="Y83" s="53">
        <v>0</v>
      </c>
      <c r="Z83" s="56" t="str">
        <f t="shared" si="30"/>
        <v/>
      </c>
      <c r="AA83" s="56" t="str">
        <f t="shared" si="31"/>
        <v/>
      </c>
      <c r="AB83" s="56" t="str">
        <f t="shared" si="32"/>
        <v/>
      </c>
      <c r="AC83" s="56" t="str">
        <f t="shared" si="33"/>
        <v/>
      </c>
      <c r="AD83" s="56" t="str">
        <f t="shared" si="34"/>
        <v/>
      </c>
      <c r="AE83" s="40"/>
      <c r="AF83" s="40"/>
      <c r="AG83" s="40"/>
      <c r="AH83" s="56" t="str">
        <f t="shared" si="18"/>
        <v/>
      </c>
      <c r="AI83" s="54"/>
      <c r="AJ83" s="54"/>
      <c r="AK83" s="54"/>
      <c r="AL83" s="54"/>
      <c r="AM83" s="54"/>
    </row>
    <row r="84" spans="1:39">
      <c r="A84" s="45" t="str" cm="1">
        <f t="array" ref="A84">IF(H84="PROJECT", CHAR(10) &amp; "- " &amp; _xlfn.TEXTJOIN(CHAR(10) &amp; "- ", TRUE, _xlfn._xlws.FILTER($I$9:$I$1000, ($B$9:$B$1000=B84) * ($H$9:$H$1000="Topic"))), "")</f>
        <v/>
      </c>
      <c r="B84" s="45" t="str">
        <f t="shared" si="19"/>
        <v/>
      </c>
      <c r="C84" s="95"/>
      <c r="D84" s="57"/>
      <c r="E84" s="58"/>
      <c r="F84" s="54"/>
      <c r="G84" s="52"/>
      <c r="H84" s="52"/>
      <c r="I84" s="61"/>
      <c r="J84" s="62"/>
      <c r="K84" s="129" t="str">
        <f t="shared" si="20"/>
        <v/>
      </c>
      <c r="L84" s="103" t="str">
        <f t="shared" si="21"/>
        <v/>
      </c>
      <c r="M84" s="52">
        <v>0</v>
      </c>
      <c r="N84" s="102" t="str">
        <f t="shared" si="22"/>
        <v/>
      </c>
      <c r="O84" s="103" t="str">
        <f t="shared" si="23"/>
        <v/>
      </c>
      <c r="P84" s="52">
        <v>0</v>
      </c>
      <c r="Q84" s="102" t="str">
        <f t="shared" si="24"/>
        <v/>
      </c>
      <c r="R84" s="103" t="str">
        <f t="shared" si="25"/>
        <v/>
      </c>
      <c r="S84" s="52">
        <v>0</v>
      </c>
      <c r="T84" s="102" t="str">
        <f t="shared" si="26"/>
        <v/>
      </c>
      <c r="U84" s="103" t="str">
        <f t="shared" si="27"/>
        <v/>
      </c>
      <c r="V84" s="52">
        <v>0</v>
      </c>
      <c r="W84" s="87" t="str">
        <f t="shared" si="28"/>
        <v/>
      </c>
      <c r="X84" s="103" t="str">
        <f t="shared" si="29"/>
        <v/>
      </c>
      <c r="Y84" s="52">
        <v>0</v>
      </c>
      <c r="Z84" s="56" t="str">
        <f t="shared" si="30"/>
        <v/>
      </c>
      <c r="AA84" s="56" t="str">
        <f t="shared" si="31"/>
        <v/>
      </c>
      <c r="AB84" s="56" t="str">
        <f t="shared" si="32"/>
        <v/>
      </c>
      <c r="AC84" s="56" t="str">
        <f t="shared" si="33"/>
        <v/>
      </c>
      <c r="AD84" s="56" t="str">
        <f t="shared" si="34"/>
        <v/>
      </c>
      <c r="AE84" s="40"/>
      <c r="AF84" s="40"/>
      <c r="AG84" s="40"/>
      <c r="AH84" s="56" t="str">
        <f t="shared" si="18"/>
        <v/>
      </c>
      <c r="AI84" s="54"/>
      <c r="AJ84" s="54"/>
      <c r="AK84" s="54"/>
      <c r="AL84" s="54"/>
      <c r="AM84" s="54"/>
    </row>
    <row r="85" spans="1:39">
      <c r="A85" s="45" t="str" cm="1">
        <f t="array" ref="A85">IF(H85="PROJECT", CHAR(10) &amp; "- " &amp; _xlfn.TEXTJOIN(CHAR(10) &amp; "- ", TRUE, _xlfn._xlws.FILTER($I$9:$I$1000, ($B$9:$B$1000=B85) * ($H$9:$H$1000="Topic"))), "")</f>
        <v/>
      </c>
      <c r="B85" s="45" t="str">
        <f t="shared" si="19"/>
        <v/>
      </c>
      <c r="C85" s="95"/>
      <c r="D85" s="46"/>
      <c r="E85" s="58"/>
      <c r="F85" s="67"/>
      <c r="G85" s="53"/>
      <c r="H85" s="53"/>
      <c r="I85" s="50"/>
      <c r="J85" s="51"/>
      <c r="K85" s="129" t="str">
        <f t="shared" si="20"/>
        <v/>
      </c>
      <c r="L85" s="103" t="str">
        <f t="shared" si="21"/>
        <v/>
      </c>
      <c r="M85" s="53">
        <v>0</v>
      </c>
      <c r="N85" s="102" t="str">
        <f t="shared" si="22"/>
        <v/>
      </c>
      <c r="O85" s="103" t="str">
        <f t="shared" si="23"/>
        <v/>
      </c>
      <c r="P85" s="53">
        <v>0</v>
      </c>
      <c r="Q85" s="102" t="str">
        <f t="shared" si="24"/>
        <v/>
      </c>
      <c r="R85" s="103" t="str">
        <f t="shared" si="25"/>
        <v/>
      </c>
      <c r="S85" s="53">
        <v>0</v>
      </c>
      <c r="T85" s="102" t="str">
        <f t="shared" si="26"/>
        <v/>
      </c>
      <c r="U85" s="103" t="str">
        <f t="shared" si="27"/>
        <v/>
      </c>
      <c r="V85" s="53">
        <v>0</v>
      </c>
      <c r="W85" s="87" t="str">
        <f t="shared" si="28"/>
        <v/>
      </c>
      <c r="X85" s="103" t="str">
        <f t="shared" si="29"/>
        <v/>
      </c>
      <c r="Y85" s="53">
        <v>0</v>
      </c>
      <c r="Z85" s="56" t="str">
        <f t="shared" si="30"/>
        <v/>
      </c>
      <c r="AA85" s="56" t="str">
        <f t="shared" si="31"/>
        <v/>
      </c>
      <c r="AB85" s="56" t="str">
        <f t="shared" si="32"/>
        <v/>
      </c>
      <c r="AC85" s="56" t="str">
        <f t="shared" si="33"/>
        <v/>
      </c>
      <c r="AD85" s="56" t="str">
        <f t="shared" si="34"/>
        <v/>
      </c>
      <c r="AE85" s="40"/>
      <c r="AF85" s="40"/>
      <c r="AG85" s="40"/>
      <c r="AH85" s="56" t="str">
        <f t="shared" si="18"/>
        <v/>
      </c>
      <c r="AI85" s="54"/>
      <c r="AJ85" s="54"/>
      <c r="AK85" s="54"/>
      <c r="AL85" s="54"/>
      <c r="AM85" s="54"/>
    </row>
    <row r="86" spans="1:39">
      <c r="A86" s="45" t="str" cm="1">
        <f t="array" ref="A86">IF(H86="PROJECT", CHAR(10) &amp; "- " &amp; _xlfn.TEXTJOIN(CHAR(10) &amp; "- ", TRUE, _xlfn._xlws.FILTER($I$9:$I$1000, ($B$9:$B$1000=B86) * ($H$9:$H$1000="Topic"))), "")</f>
        <v/>
      </c>
      <c r="B86" s="45" t="str">
        <f t="shared" si="19"/>
        <v/>
      </c>
      <c r="C86" s="95"/>
      <c r="D86" s="57"/>
      <c r="E86" s="58"/>
      <c r="F86" s="54"/>
      <c r="G86" s="52"/>
      <c r="H86" s="52"/>
      <c r="I86" s="61"/>
      <c r="J86" s="62"/>
      <c r="K86" s="129" t="str">
        <f t="shared" si="20"/>
        <v/>
      </c>
      <c r="L86" s="103" t="str">
        <f t="shared" si="21"/>
        <v/>
      </c>
      <c r="M86" s="52">
        <v>0</v>
      </c>
      <c r="N86" s="102" t="str">
        <f t="shared" si="22"/>
        <v/>
      </c>
      <c r="O86" s="103" t="str">
        <f t="shared" si="23"/>
        <v/>
      </c>
      <c r="P86" s="52">
        <v>0</v>
      </c>
      <c r="Q86" s="102" t="str">
        <f t="shared" si="24"/>
        <v/>
      </c>
      <c r="R86" s="103" t="str">
        <f t="shared" si="25"/>
        <v/>
      </c>
      <c r="S86" s="52">
        <v>0</v>
      </c>
      <c r="T86" s="102" t="str">
        <f t="shared" si="26"/>
        <v/>
      </c>
      <c r="U86" s="103" t="str">
        <f t="shared" si="27"/>
        <v/>
      </c>
      <c r="V86" s="52">
        <v>0</v>
      </c>
      <c r="W86" s="87" t="str">
        <f t="shared" si="28"/>
        <v/>
      </c>
      <c r="X86" s="103" t="str">
        <f t="shared" si="29"/>
        <v/>
      </c>
      <c r="Y86" s="52">
        <v>0</v>
      </c>
      <c r="Z86" s="56" t="str">
        <f t="shared" si="30"/>
        <v/>
      </c>
      <c r="AA86" s="56" t="str">
        <f t="shared" si="31"/>
        <v/>
      </c>
      <c r="AB86" s="56" t="str">
        <f t="shared" si="32"/>
        <v/>
      </c>
      <c r="AC86" s="56" t="str">
        <f t="shared" si="33"/>
        <v/>
      </c>
      <c r="AD86" s="56" t="str">
        <f t="shared" si="34"/>
        <v/>
      </c>
      <c r="AE86" s="40"/>
      <c r="AF86" s="40"/>
      <c r="AG86" s="40"/>
      <c r="AH86" s="56" t="str">
        <f t="shared" si="18"/>
        <v/>
      </c>
      <c r="AI86" s="54"/>
      <c r="AJ86" s="54"/>
      <c r="AK86" s="54"/>
      <c r="AL86" s="54"/>
      <c r="AM86" s="54"/>
    </row>
    <row r="87" spans="1:39">
      <c r="A87" s="45" t="str" cm="1">
        <f t="array" ref="A87">IF(H87="PROJECT", CHAR(10) &amp; "- " &amp; _xlfn.TEXTJOIN(CHAR(10) &amp; "- ", TRUE, _xlfn._xlws.FILTER($I$9:$I$1000, ($B$9:$B$1000=B87) * ($H$9:$H$1000="Topic"))), "")</f>
        <v/>
      </c>
      <c r="B87" s="45" t="str">
        <f t="shared" si="19"/>
        <v/>
      </c>
      <c r="C87" s="95"/>
      <c r="D87" s="46"/>
      <c r="E87" s="58"/>
      <c r="F87" s="67"/>
      <c r="G87" s="53"/>
      <c r="H87" s="53"/>
      <c r="I87" s="50"/>
      <c r="J87" s="51"/>
      <c r="K87" s="129" t="str">
        <f t="shared" si="20"/>
        <v/>
      </c>
      <c r="L87" s="103" t="str">
        <f t="shared" si="21"/>
        <v/>
      </c>
      <c r="M87" s="53">
        <v>0</v>
      </c>
      <c r="N87" s="102" t="str">
        <f t="shared" si="22"/>
        <v/>
      </c>
      <c r="O87" s="103" t="str">
        <f t="shared" si="23"/>
        <v/>
      </c>
      <c r="P87" s="53">
        <v>0</v>
      </c>
      <c r="Q87" s="102" t="str">
        <f t="shared" si="24"/>
        <v/>
      </c>
      <c r="R87" s="103" t="str">
        <f t="shared" si="25"/>
        <v/>
      </c>
      <c r="S87" s="53">
        <v>0</v>
      </c>
      <c r="T87" s="102" t="str">
        <f t="shared" si="26"/>
        <v/>
      </c>
      <c r="U87" s="103" t="str">
        <f t="shared" si="27"/>
        <v/>
      </c>
      <c r="V87" s="53">
        <v>0</v>
      </c>
      <c r="W87" s="87" t="str">
        <f t="shared" si="28"/>
        <v/>
      </c>
      <c r="X87" s="103" t="str">
        <f t="shared" si="29"/>
        <v/>
      </c>
      <c r="Y87" s="53">
        <v>0</v>
      </c>
      <c r="Z87" s="56" t="str">
        <f t="shared" si="30"/>
        <v/>
      </c>
      <c r="AA87" s="56" t="str">
        <f t="shared" si="31"/>
        <v/>
      </c>
      <c r="AB87" s="56" t="str">
        <f t="shared" si="32"/>
        <v/>
      </c>
      <c r="AC87" s="56" t="str">
        <f t="shared" si="33"/>
        <v/>
      </c>
      <c r="AD87" s="56" t="str">
        <f t="shared" si="34"/>
        <v/>
      </c>
      <c r="AE87" s="40"/>
      <c r="AF87" s="40"/>
      <c r="AG87" s="40"/>
      <c r="AH87" s="56" t="str">
        <f t="shared" si="18"/>
        <v/>
      </c>
      <c r="AI87" s="54"/>
      <c r="AJ87" s="54"/>
      <c r="AK87" s="54"/>
      <c r="AL87" s="54"/>
      <c r="AM87" s="54"/>
    </row>
    <row r="88" spans="1:39">
      <c r="A88" s="45" t="str" cm="1">
        <f t="array" ref="A88">IF(H88="PROJECT", CHAR(10) &amp; "- " &amp; _xlfn.TEXTJOIN(CHAR(10) &amp; "- ", TRUE, _xlfn._xlws.FILTER($I$9:$I$1000, ($B$9:$B$1000=B88) * ($H$9:$H$1000="Topic"))), "")</f>
        <v/>
      </c>
      <c r="B88" s="45" t="str">
        <f t="shared" si="19"/>
        <v/>
      </c>
      <c r="C88" s="95"/>
      <c r="D88" s="57"/>
      <c r="E88" s="58"/>
      <c r="F88" s="54"/>
      <c r="G88" s="52"/>
      <c r="H88" s="52"/>
      <c r="I88" s="61"/>
      <c r="J88" s="62"/>
      <c r="K88" s="129" t="str">
        <f t="shared" si="20"/>
        <v/>
      </c>
      <c r="L88" s="103" t="str">
        <f t="shared" si="21"/>
        <v/>
      </c>
      <c r="M88" s="52">
        <v>0</v>
      </c>
      <c r="N88" s="102" t="str">
        <f t="shared" si="22"/>
        <v/>
      </c>
      <c r="O88" s="103" t="str">
        <f t="shared" si="23"/>
        <v/>
      </c>
      <c r="P88" s="52">
        <v>0</v>
      </c>
      <c r="Q88" s="102" t="str">
        <f t="shared" si="24"/>
        <v/>
      </c>
      <c r="R88" s="103" t="str">
        <f t="shared" si="25"/>
        <v/>
      </c>
      <c r="S88" s="52">
        <v>0</v>
      </c>
      <c r="T88" s="102" t="str">
        <f t="shared" si="26"/>
        <v/>
      </c>
      <c r="U88" s="103" t="str">
        <f t="shared" si="27"/>
        <v/>
      </c>
      <c r="V88" s="52">
        <v>0</v>
      </c>
      <c r="W88" s="87" t="str">
        <f t="shared" si="28"/>
        <v/>
      </c>
      <c r="X88" s="103" t="str">
        <f t="shared" si="29"/>
        <v/>
      </c>
      <c r="Y88" s="52">
        <v>0</v>
      </c>
      <c r="Z88" s="56" t="str">
        <f t="shared" si="30"/>
        <v/>
      </c>
      <c r="AA88" s="56" t="str">
        <f t="shared" si="31"/>
        <v/>
      </c>
      <c r="AB88" s="56" t="str">
        <f t="shared" si="32"/>
        <v/>
      </c>
      <c r="AC88" s="56" t="str">
        <f t="shared" si="33"/>
        <v/>
      </c>
      <c r="AD88" s="56" t="str">
        <f t="shared" si="34"/>
        <v/>
      </c>
      <c r="AE88" s="40"/>
      <c r="AF88" s="40"/>
      <c r="AG88" s="40"/>
      <c r="AH88" s="56" t="str">
        <f t="shared" si="18"/>
        <v/>
      </c>
      <c r="AI88" s="54"/>
      <c r="AJ88" s="54"/>
      <c r="AK88" s="54"/>
      <c r="AL88" s="54"/>
      <c r="AM88" s="54"/>
    </row>
    <row r="89" spans="1:39">
      <c r="A89" s="45" t="str" cm="1">
        <f t="array" ref="A89">IF(H89="PROJECT", CHAR(10) &amp; "- " &amp; _xlfn.TEXTJOIN(CHAR(10) &amp; "- ", TRUE, _xlfn._xlws.FILTER($I$9:$I$1000, ($B$9:$B$1000=B89) * ($H$9:$H$1000="Topic"))), "")</f>
        <v/>
      </c>
      <c r="B89" s="45" t="str">
        <f t="shared" si="19"/>
        <v/>
      </c>
      <c r="C89" s="95"/>
      <c r="D89" s="46"/>
      <c r="E89" s="58"/>
      <c r="F89" s="67"/>
      <c r="G89" s="53"/>
      <c r="H89" s="53"/>
      <c r="I89" s="50"/>
      <c r="J89" s="51"/>
      <c r="K89" s="129" t="str">
        <f t="shared" si="20"/>
        <v/>
      </c>
      <c r="L89" s="103" t="str">
        <f t="shared" si="21"/>
        <v/>
      </c>
      <c r="M89" s="53">
        <v>0</v>
      </c>
      <c r="N89" s="102" t="str">
        <f t="shared" si="22"/>
        <v/>
      </c>
      <c r="O89" s="103" t="str">
        <f t="shared" si="23"/>
        <v/>
      </c>
      <c r="P89" s="53">
        <v>0</v>
      </c>
      <c r="Q89" s="102" t="str">
        <f t="shared" si="24"/>
        <v/>
      </c>
      <c r="R89" s="103" t="str">
        <f t="shared" si="25"/>
        <v/>
      </c>
      <c r="S89" s="53">
        <v>0</v>
      </c>
      <c r="T89" s="102" t="str">
        <f t="shared" si="26"/>
        <v/>
      </c>
      <c r="U89" s="103" t="str">
        <f t="shared" si="27"/>
        <v/>
      </c>
      <c r="V89" s="53">
        <v>0</v>
      </c>
      <c r="W89" s="87" t="str">
        <f t="shared" si="28"/>
        <v/>
      </c>
      <c r="X89" s="103" t="str">
        <f t="shared" si="29"/>
        <v/>
      </c>
      <c r="Y89" s="53">
        <v>0</v>
      </c>
      <c r="Z89" s="56" t="str">
        <f t="shared" si="30"/>
        <v/>
      </c>
      <c r="AA89" s="56" t="str">
        <f t="shared" si="31"/>
        <v/>
      </c>
      <c r="AB89" s="56" t="str">
        <f t="shared" si="32"/>
        <v/>
      </c>
      <c r="AC89" s="56" t="str">
        <f t="shared" si="33"/>
        <v/>
      </c>
      <c r="AD89" s="56" t="str">
        <f t="shared" si="34"/>
        <v/>
      </c>
      <c r="AE89" s="40"/>
      <c r="AF89" s="40"/>
      <c r="AG89" s="40"/>
      <c r="AH89" s="56" t="str">
        <f t="shared" si="18"/>
        <v/>
      </c>
      <c r="AI89" s="54"/>
      <c r="AJ89" s="54"/>
      <c r="AK89" s="54"/>
      <c r="AL89" s="54"/>
      <c r="AM89" s="54"/>
    </row>
    <row r="90" spans="1:39">
      <c r="A90" s="45" t="str" cm="1">
        <f t="array" ref="A90">IF(H90="PROJECT", CHAR(10) &amp; "- " &amp; _xlfn.TEXTJOIN(CHAR(10) &amp; "- ", TRUE, _xlfn._xlws.FILTER($I$9:$I$1000, ($B$9:$B$1000=B90) * ($H$9:$H$1000="Topic"))), "")</f>
        <v/>
      </c>
      <c r="B90" s="45" t="str">
        <f t="shared" si="19"/>
        <v/>
      </c>
      <c r="C90" s="95"/>
      <c r="D90" s="57"/>
      <c r="E90" s="58"/>
      <c r="F90" s="54"/>
      <c r="G90" s="52"/>
      <c r="H90" s="52"/>
      <c r="I90" s="61"/>
      <c r="J90" s="62"/>
      <c r="K90" s="129" t="str">
        <f t="shared" si="20"/>
        <v/>
      </c>
      <c r="L90" s="103" t="str">
        <f t="shared" si="21"/>
        <v/>
      </c>
      <c r="M90" s="52">
        <v>0</v>
      </c>
      <c r="N90" s="102" t="str">
        <f t="shared" si="22"/>
        <v/>
      </c>
      <c r="O90" s="103" t="str">
        <f t="shared" si="23"/>
        <v/>
      </c>
      <c r="P90" s="52">
        <v>0</v>
      </c>
      <c r="Q90" s="102" t="str">
        <f t="shared" si="24"/>
        <v/>
      </c>
      <c r="R90" s="103" t="str">
        <f t="shared" si="25"/>
        <v/>
      </c>
      <c r="S90" s="52">
        <v>0</v>
      </c>
      <c r="T90" s="102" t="str">
        <f t="shared" si="26"/>
        <v/>
      </c>
      <c r="U90" s="103" t="str">
        <f t="shared" si="27"/>
        <v/>
      </c>
      <c r="V90" s="52">
        <v>0</v>
      </c>
      <c r="W90" s="87" t="str">
        <f t="shared" si="28"/>
        <v/>
      </c>
      <c r="X90" s="103" t="str">
        <f t="shared" si="29"/>
        <v/>
      </c>
      <c r="Y90" s="52">
        <v>0</v>
      </c>
      <c r="Z90" s="56" t="str">
        <f t="shared" si="30"/>
        <v/>
      </c>
      <c r="AA90" s="56" t="str">
        <f t="shared" si="31"/>
        <v/>
      </c>
      <c r="AB90" s="56" t="str">
        <f t="shared" si="32"/>
        <v/>
      </c>
      <c r="AC90" s="56" t="str">
        <f t="shared" si="33"/>
        <v/>
      </c>
      <c r="AD90" s="56" t="str">
        <f t="shared" si="34"/>
        <v/>
      </c>
      <c r="AE90" s="40"/>
      <c r="AF90" s="40"/>
      <c r="AG90" s="40"/>
      <c r="AH90" s="56" t="str">
        <f t="shared" si="18"/>
        <v/>
      </c>
      <c r="AI90" s="54"/>
      <c r="AJ90" s="54"/>
      <c r="AK90" s="54"/>
      <c r="AL90" s="54"/>
      <c r="AM90" s="54"/>
    </row>
    <row r="91" spans="1:39">
      <c r="A91" s="45" t="str" cm="1">
        <f t="array" ref="A91">IF(H91="PROJECT", CHAR(10) &amp; "- " &amp; _xlfn.TEXTJOIN(CHAR(10) &amp; "- ", TRUE, _xlfn._xlws.FILTER($I$9:$I$1000, ($B$9:$B$1000=B91) * ($H$9:$H$1000="Topic"))), "")</f>
        <v/>
      </c>
      <c r="B91" s="45" t="str">
        <f t="shared" si="19"/>
        <v/>
      </c>
      <c r="C91" s="95"/>
      <c r="D91" s="46"/>
      <c r="E91" s="58"/>
      <c r="F91" s="67"/>
      <c r="G91" s="53"/>
      <c r="H91" s="53"/>
      <c r="I91" s="50"/>
      <c r="J91" s="51"/>
      <c r="K91" s="129" t="str">
        <f t="shared" si="20"/>
        <v/>
      </c>
      <c r="L91" s="103" t="str">
        <f t="shared" si="21"/>
        <v/>
      </c>
      <c r="M91" s="53">
        <v>0</v>
      </c>
      <c r="N91" s="102" t="str">
        <f t="shared" si="22"/>
        <v/>
      </c>
      <c r="O91" s="103" t="str">
        <f t="shared" si="23"/>
        <v/>
      </c>
      <c r="P91" s="53">
        <v>0</v>
      </c>
      <c r="Q91" s="102" t="str">
        <f t="shared" si="24"/>
        <v/>
      </c>
      <c r="R91" s="103" t="str">
        <f t="shared" si="25"/>
        <v/>
      </c>
      <c r="S91" s="53">
        <v>0</v>
      </c>
      <c r="T91" s="102" t="str">
        <f t="shared" si="26"/>
        <v/>
      </c>
      <c r="U91" s="103" t="str">
        <f t="shared" si="27"/>
        <v/>
      </c>
      <c r="V91" s="53">
        <v>0</v>
      </c>
      <c r="W91" s="87" t="str">
        <f t="shared" si="28"/>
        <v/>
      </c>
      <c r="X91" s="103" t="str">
        <f t="shared" si="29"/>
        <v/>
      </c>
      <c r="Y91" s="53">
        <v>0</v>
      </c>
      <c r="Z91" s="56" t="str">
        <f t="shared" si="30"/>
        <v/>
      </c>
      <c r="AA91" s="56" t="str">
        <f t="shared" si="31"/>
        <v/>
      </c>
      <c r="AB91" s="56" t="str">
        <f t="shared" si="32"/>
        <v/>
      </c>
      <c r="AC91" s="56" t="str">
        <f t="shared" si="33"/>
        <v/>
      </c>
      <c r="AD91" s="56" t="str">
        <f t="shared" si="34"/>
        <v/>
      </c>
      <c r="AE91" s="40"/>
      <c r="AF91" s="40"/>
      <c r="AG91" s="40"/>
      <c r="AH91" s="56" t="str">
        <f t="shared" si="18"/>
        <v/>
      </c>
      <c r="AI91" s="54"/>
      <c r="AJ91" s="54"/>
      <c r="AK91" s="54"/>
      <c r="AL91" s="54"/>
      <c r="AM91" s="54"/>
    </row>
    <row r="92" spans="1:39">
      <c r="A92" s="45" t="str" cm="1">
        <f t="array" ref="A92">IF(H92="PROJECT", CHAR(10) &amp; "- " &amp; _xlfn.TEXTJOIN(CHAR(10) &amp; "- ", TRUE, _xlfn._xlws.FILTER($I$9:$I$1000, ($B$9:$B$1000=B92) * ($H$9:$H$1000="Topic"))), "")</f>
        <v/>
      </c>
      <c r="B92" s="45" t="str">
        <f t="shared" si="19"/>
        <v/>
      </c>
      <c r="C92" s="95"/>
      <c r="D92" s="57"/>
      <c r="E92" s="58"/>
      <c r="F92" s="54"/>
      <c r="G92" s="52"/>
      <c r="H92" s="52"/>
      <c r="I92" s="61"/>
      <c r="J92" s="62"/>
      <c r="K92" s="129" t="str">
        <f t="shared" si="20"/>
        <v/>
      </c>
      <c r="L92" s="103" t="str">
        <f t="shared" si="21"/>
        <v/>
      </c>
      <c r="M92" s="52">
        <v>0</v>
      </c>
      <c r="N92" s="102" t="str">
        <f t="shared" si="22"/>
        <v/>
      </c>
      <c r="O92" s="103" t="str">
        <f t="shared" si="23"/>
        <v/>
      </c>
      <c r="P92" s="52">
        <v>0</v>
      </c>
      <c r="Q92" s="102" t="str">
        <f t="shared" si="24"/>
        <v/>
      </c>
      <c r="R92" s="103" t="str">
        <f t="shared" si="25"/>
        <v/>
      </c>
      <c r="S92" s="52">
        <v>0</v>
      </c>
      <c r="T92" s="102" t="str">
        <f t="shared" si="26"/>
        <v/>
      </c>
      <c r="U92" s="103" t="str">
        <f t="shared" si="27"/>
        <v/>
      </c>
      <c r="V92" s="52">
        <v>0</v>
      </c>
      <c r="W92" s="87" t="str">
        <f t="shared" si="28"/>
        <v/>
      </c>
      <c r="X92" s="103" t="str">
        <f t="shared" si="29"/>
        <v/>
      </c>
      <c r="Y92" s="52">
        <v>0</v>
      </c>
      <c r="Z92" s="56" t="str">
        <f t="shared" si="30"/>
        <v/>
      </c>
      <c r="AA92" s="56" t="str">
        <f t="shared" si="31"/>
        <v/>
      </c>
      <c r="AB92" s="56" t="str">
        <f t="shared" si="32"/>
        <v/>
      </c>
      <c r="AC92" s="56" t="str">
        <f t="shared" si="33"/>
        <v/>
      </c>
      <c r="AD92" s="56" t="str">
        <f t="shared" si="34"/>
        <v/>
      </c>
      <c r="AE92" s="40"/>
      <c r="AF92" s="40"/>
      <c r="AG92" s="40"/>
      <c r="AH92" s="56" t="str">
        <f t="shared" si="18"/>
        <v/>
      </c>
      <c r="AI92" s="54"/>
      <c r="AJ92" s="54"/>
      <c r="AK92" s="54"/>
      <c r="AL92" s="54"/>
      <c r="AM92" s="54"/>
    </row>
    <row r="93" spans="1:39">
      <c r="A93" s="45" t="str" cm="1">
        <f t="array" ref="A93">IF(H93="PROJECT", CHAR(10) &amp; "- " &amp; _xlfn.TEXTJOIN(CHAR(10) &amp; "- ", TRUE, _xlfn._xlws.FILTER($I$9:$I$1000, ($B$9:$B$1000=B93) * ($H$9:$H$1000="Topic"))), "")</f>
        <v/>
      </c>
      <c r="B93" s="45" t="str">
        <f t="shared" si="19"/>
        <v/>
      </c>
      <c r="C93" s="95"/>
      <c r="D93" s="46"/>
      <c r="E93" s="58"/>
      <c r="F93" s="67"/>
      <c r="G93" s="53"/>
      <c r="H93" s="53"/>
      <c r="I93" s="50"/>
      <c r="J93" s="51"/>
      <c r="K93" s="129" t="str">
        <f t="shared" si="20"/>
        <v/>
      </c>
      <c r="L93" s="103" t="str">
        <f t="shared" si="21"/>
        <v/>
      </c>
      <c r="M93" s="53">
        <v>0</v>
      </c>
      <c r="N93" s="102" t="str">
        <f t="shared" si="22"/>
        <v/>
      </c>
      <c r="O93" s="103" t="str">
        <f t="shared" si="23"/>
        <v/>
      </c>
      <c r="P93" s="53">
        <v>0</v>
      </c>
      <c r="Q93" s="102" t="str">
        <f t="shared" si="24"/>
        <v/>
      </c>
      <c r="R93" s="103" t="str">
        <f t="shared" si="25"/>
        <v/>
      </c>
      <c r="S93" s="53">
        <v>0</v>
      </c>
      <c r="T93" s="102" t="str">
        <f t="shared" si="26"/>
        <v/>
      </c>
      <c r="U93" s="103" t="str">
        <f t="shared" si="27"/>
        <v/>
      </c>
      <c r="V93" s="53">
        <v>0</v>
      </c>
      <c r="W93" s="87" t="str">
        <f t="shared" si="28"/>
        <v/>
      </c>
      <c r="X93" s="103" t="str">
        <f t="shared" si="29"/>
        <v/>
      </c>
      <c r="Y93" s="53">
        <v>0</v>
      </c>
      <c r="Z93" s="56" t="str">
        <f t="shared" si="30"/>
        <v/>
      </c>
      <c r="AA93" s="56" t="str">
        <f t="shared" si="31"/>
        <v/>
      </c>
      <c r="AB93" s="56" t="str">
        <f t="shared" si="32"/>
        <v/>
      </c>
      <c r="AC93" s="56" t="str">
        <f t="shared" si="33"/>
        <v/>
      </c>
      <c r="AD93" s="56" t="str">
        <f t="shared" si="34"/>
        <v/>
      </c>
      <c r="AE93" s="40"/>
      <c r="AF93" s="40"/>
      <c r="AG93" s="40"/>
      <c r="AH93" s="56" t="str">
        <f t="shared" si="18"/>
        <v/>
      </c>
      <c r="AI93" s="54"/>
      <c r="AJ93" s="54"/>
      <c r="AK93" s="54"/>
      <c r="AL93" s="54"/>
      <c r="AM93" s="54"/>
    </row>
    <row r="94" spans="1:39">
      <c r="A94" s="45" t="str" cm="1">
        <f t="array" ref="A94">IF(H94="PROJECT", CHAR(10) &amp; "- " &amp; _xlfn.TEXTJOIN(CHAR(10) &amp; "- ", TRUE, _xlfn._xlws.FILTER($I$9:$I$1000, ($B$9:$B$1000=B94) * ($H$9:$H$1000="Topic"))), "")</f>
        <v/>
      </c>
      <c r="B94" s="45" t="str">
        <f t="shared" si="19"/>
        <v/>
      </c>
      <c r="C94" s="95"/>
      <c r="D94" s="57"/>
      <c r="E94" s="58"/>
      <c r="F94" s="54"/>
      <c r="G94" s="52"/>
      <c r="H94" s="52"/>
      <c r="I94" s="61"/>
      <c r="J94" s="62"/>
      <c r="K94" s="129" t="str">
        <f t="shared" si="20"/>
        <v/>
      </c>
      <c r="L94" s="103" t="str">
        <f t="shared" si="21"/>
        <v/>
      </c>
      <c r="M94" s="52">
        <v>0</v>
      </c>
      <c r="N94" s="102" t="str">
        <f t="shared" si="22"/>
        <v/>
      </c>
      <c r="O94" s="103" t="str">
        <f t="shared" si="23"/>
        <v/>
      </c>
      <c r="P94" s="52">
        <v>0</v>
      </c>
      <c r="Q94" s="102" t="str">
        <f t="shared" si="24"/>
        <v/>
      </c>
      <c r="R94" s="103" t="str">
        <f t="shared" si="25"/>
        <v/>
      </c>
      <c r="S94" s="52">
        <v>0</v>
      </c>
      <c r="T94" s="102" t="str">
        <f t="shared" si="26"/>
        <v/>
      </c>
      <c r="U94" s="103" t="str">
        <f t="shared" si="27"/>
        <v/>
      </c>
      <c r="V94" s="52">
        <v>0</v>
      </c>
      <c r="W94" s="87" t="str">
        <f t="shared" si="28"/>
        <v/>
      </c>
      <c r="X94" s="103" t="str">
        <f t="shared" si="29"/>
        <v/>
      </c>
      <c r="Y94" s="52">
        <v>0</v>
      </c>
      <c r="Z94" s="56" t="str">
        <f t="shared" si="30"/>
        <v/>
      </c>
      <c r="AA94" s="56" t="str">
        <f t="shared" si="31"/>
        <v/>
      </c>
      <c r="AB94" s="56" t="str">
        <f t="shared" si="32"/>
        <v/>
      </c>
      <c r="AC94" s="56" t="str">
        <f t="shared" si="33"/>
        <v/>
      </c>
      <c r="AD94" s="56" t="str">
        <f t="shared" si="34"/>
        <v/>
      </c>
      <c r="AE94" s="40"/>
      <c r="AF94" s="40"/>
      <c r="AG94" s="40"/>
      <c r="AH94" s="56" t="str">
        <f t="shared" si="18"/>
        <v/>
      </c>
      <c r="AI94" s="54"/>
      <c r="AJ94" s="54"/>
      <c r="AK94" s="54"/>
      <c r="AL94" s="54"/>
      <c r="AM94" s="54"/>
    </row>
    <row r="95" spans="1:39">
      <c r="A95" s="45" t="str" cm="1">
        <f t="array" ref="A95">IF(H95="PROJECT", CHAR(10) &amp; "- " &amp; _xlfn.TEXTJOIN(CHAR(10) &amp; "- ", TRUE, _xlfn._xlws.FILTER($I$9:$I$1000, ($B$9:$B$1000=B95) * ($H$9:$H$1000="Topic"))), "")</f>
        <v/>
      </c>
      <c r="B95" s="45" t="str">
        <f t="shared" si="19"/>
        <v/>
      </c>
      <c r="C95" s="95"/>
      <c r="D95" s="46"/>
      <c r="E95" s="58"/>
      <c r="F95" s="67"/>
      <c r="G95" s="53"/>
      <c r="H95" s="53"/>
      <c r="I95" s="50"/>
      <c r="J95" s="51"/>
      <c r="K95" s="129" t="str">
        <f t="shared" si="20"/>
        <v/>
      </c>
      <c r="L95" s="103" t="str">
        <f t="shared" si="21"/>
        <v/>
      </c>
      <c r="M95" s="53">
        <v>0</v>
      </c>
      <c r="N95" s="102" t="str">
        <f t="shared" si="22"/>
        <v/>
      </c>
      <c r="O95" s="103" t="str">
        <f t="shared" si="23"/>
        <v/>
      </c>
      <c r="P95" s="53">
        <v>0</v>
      </c>
      <c r="Q95" s="102" t="str">
        <f t="shared" si="24"/>
        <v/>
      </c>
      <c r="R95" s="103" t="str">
        <f t="shared" si="25"/>
        <v/>
      </c>
      <c r="S95" s="53">
        <v>0</v>
      </c>
      <c r="T95" s="102" t="str">
        <f t="shared" si="26"/>
        <v/>
      </c>
      <c r="U95" s="103" t="str">
        <f t="shared" si="27"/>
        <v/>
      </c>
      <c r="V95" s="53">
        <v>0</v>
      </c>
      <c r="W95" s="87" t="str">
        <f t="shared" si="28"/>
        <v/>
      </c>
      <c r="X95" s="103" t="str">
        <f t="shared" si="29"/>
        <v/>
      </c>
      <c r="Y95" s="53">
        <v>0</v>
      </c>
      <c r="Z95" s="56" t="str">
        <f t="shared" si="30"/>
        <v/>
      </c>
      <c r="AA95" s="56" t="str">
        <f t="shared" si="31"/>
        <v/>
      </c>
      <c r="AB95" s="56" t="str">
        <f t="shared" si="32"/>
        <v/>
      </c>
      <c r="AC95" s="56" t="str">
        <f t="shared" si="33"/>
        <v/>
      </c>
      <c r="AD95" s="56" t="str">
        <f t="shared" si="34"/>
        <v/>
      </c>
      <c r="AE95" s="40"/>
      <c r="AF95" s="40"/>
      <c r="AG95" s="40"/>
      <c r="AH95" s="56" t="str">
        <f t="shared" si="18"/>
        <v/>
      </c>
      <c r="AI95" s="54"/>
      <c r="AJ95" s="54"/>
      <c r="AK95" s="54"/>
      <c r="AL95" s="54"/>
      <c r="AM95" s="54"/>
    </row>
    <row r="96" spans="1:39">
      <c r="A96" s="45" t="str" cm="1">
        <f t="array" ref="A96">IF(H96="PROJECT", CHAR(10) &amp; "- " &amp; _xlfn.TEXTJOIN(CHAR(10) &amp; "- ", TRUE, _xlfn._xlws.FILTER($I$9:$I$1000, ($B$9:$B$1000=B96) * ($H$9:$H$1000="Topic"))), "")</f>
        <v/>
      </c>
      <c r="B96" s="45" t="str">
        <f t="shared" si="19"/>
        <v/>
      </c>
      <c r="C96" s="95"/>
      <c r="D96" s="57"/>
      <c r="E96" s="58"/>
      <c r="F96" s="54"/>
      <c r="G96" s="52"/>
      <c r="H96" s="52"/>
      <c r="I96" s="61"/>
      <c r="J96" s="62"/>
      <c r="K96" s="129" t="str">
        <f t="shared" si="20"/>
        <v/>
      </c>
      <c r="L96" s="103" t="str">
        <f t="shared" si="21"/>
        <v/>
      </c>
      <c r="M96" s="52">
        <v>0</v>
      </c>
      <c r="N96" s="102" t="str">
        <f t="shared" si="22"/>
        <v/>
      </c>
      <c r="O96" s="103" t="str">
        <f t="shared" si="23"/>
        <v/>
      </c>
      <c r="P96" s="52">
        <v>0</v>
      </c>
      <c r="Q96" s="102" t="str">
        <f t="shared" si="24"/>
        <v/>
      </c>
      <c r="R96" s="103" t="str">
        <f t="shared" si="25"/>
        <v/>
      </c>
      <c r="S96" s="52">
        <v>0</v>
      </c>
      <c r="T96" s="102" t="str">
        <f t="shared" si="26"/>
        <v/>
      </c>
      <c r="U96" s="103" t="str">
        <f t="shared" si="27"/>
        <v/>
      </c>
      <c r="V96" s="52">
        <v>0</v>
      </c>
      <c r="W96" s="87" t="str">
        <f t="shared" si="28"/>
        <v/>
      </c>
      <c r="X96" s="103" t="str">
        <f t="shared" si="29"/>
        <v/>
      </c>
      <c r="Y96" s="52">
        <v>0</v>
      </c>
      <c r="Z96" s="56" t="str">
        <f t="shared" si="30"/>
        <v/>
      </c>
      <c r="AA96" s="56" t="str">
        <f t="shared" si="31"/>
        <v/>
      </c>
      <c r="AB96" s="56" t="str">
        <f t="shared" si="32"/>
        <v/>
      </c>
      <c r="AC96" s="56" t="str">
        <f t="shared" si="33"/>
        <v/>
      </c>
      <c r="AD96" s="56" t="str">
        <f t="shared" si="34"/>
        <v/>
      </c>
      <c r="AE96" s="40"/>
      <c r="AF96" s="40"/>
      <c r="AG96" s="40"/>
      <c r="AH96" s="56" t="str">
        <f t="shared" si="18"/>
        <v/>
      </c>
      <c r="AI96" s="54"/>
      <c r="AJ96" s="54"/>
      <c r="AK96" s="54"/>
      <c r="AL96" s="54"/>
      <c r="AM96" s="54"/>
    </row>
    <row r="97" spans="1:39">
      <c r="A97" s="45" t="str" cm="1">
        <f t="array" ref="A97">IF(H97="PROJECT", CHAR(10) &amp; "- " &amp; _xlfn.TEXTJOIN(CHAR(10) &amp; "- ", TRUE, _xlfn._xlws.FILTER($I$9:$I$1000, ($B$9:$B$1000=B97) * ($H$9:$H$1000="Topic"))), "")</f>
        <v/>
      </c>
      <c r="B97" s="45" t="str">
        <f t="shared" si="19"/>
        <v/>
      </c>
      <c r="C97" s="95"/>
      <c r="D97" s="46"/>
      <c r="E97" s="58"/>
      <c r="F97" s="67"/>
      <c r="G97" s="53"/>
      <c r="H97" s="53"/>
      <c r="I97" s="50"/>
      <c r="J97" s="51"/>
      <c r="K97" s="129" t="str">
        <f t="shared" si="20"/>
        <v/>
      </c>
      <c r="L97" s="103" t="str">
        <f t="shared" si="21"/>
        <v/>
      </c>
      <c r="M97" s="53">
        <v>0</v>
      </c>
      <c r="N97" s="102" t="str">
        <f t="shared" si="22"/>
        <v/>
      </c>
      <c r="O97" s="103" t="str">
        <f t="shared" si="23"/>
        <v/>
      </c>
      <c r="P97" s="53">
        <v>0</v>
      </c>
      <c r="Q97" s="102" t="str">
        <f t="shared" si="24"/>
        <v/>
      </c>
      <c r="R97" s="103" t="str">
        <f t="shared" si="25"/>
        <v/>
      </c>
      <c r="S97" s="53">
        <v>0</v>
      </c>
      <c r="T97" s="102" t="str">
        <f t="shared" si="26"/>
        <v/>
      </c>
      <c r="U97" s="103" t="str">
        <f t="shared" si="27"/>
        <v/>
      </c>
      <c r="V97" s="53">
        <v>0</v>
      </c>
      <c r="W97" s="87" t="str">
        <f t="shared" si="28"/>
        <v/>
      </c>
      <c r="X97" s="103" t="str">
        <f t="shared" si="29"/>
        <v/>
      </c>
      <c r="Y97" s="53">
        <v>0</v>
      </c>
      <c r="Z97" s="56" t="str">
        <f t="shared" si="30"/>
        <v/>
      </c>
      <c r="AA97" s="56" t="str">
        <f t="shared" si="31"/>
        <v/>
      </c>
      <c r="AB97" s="56" t="str">
        <f t="shared" si="32"/>
        <v/>
      </c>
      <c r="AC97" s="56" t="str">
        <f t="shared" si="33"/>
        <v/>
      </c>
      <c r="AD97" s="56" t="str">
        <f t="shared" si="34"/>
        <v/>
      </c>
      <c r="AE97" s="40"/>
      <c r="AF97" s="40"/>
      <c r="AG97" s="40"/>
      <c r="AH97" s="56" t="str">
        <f t="shared" si="18"/>
        <v/>
      </c>
      <c r="AI97" s="54"/>
      <c r="AJ97" s="54"/>
      <c r="AK97" s="54"/>
      <c r="AL97" s="54"/>
      <c r="AM97" s="54"/>
    </row>
    <row r="98" spans="1:39">
      <c r="A98" s="45" t="str" cm="1">
        <f t="array" ref="A98">IF(H98="PROJECT", CHAR(10) &amp; "- " &amp; _xlfn.TEXTJOIN(CHAR(10) &amp; "- ", TRUE, _xlfn._xlws.FILTER($I$9:$I$1000, ($B$9:$B$1000=B98) * ($H$9:$H$1000="Topic"))), "")</f>
        <v/>
      </c>
      <c r="B98" s="45" t="str">
        <f t="shared" si="19"/>
        <v/>
      </c>
      <c r="C98" s="95"/>
      <c r="D98" s="57"/>
      <c r="E98" s="58"/>
      <c r="F98" s="54"/>
      <c r="G98" s="52"/>
      <c r="H98" s="52"/>
      <c r="I98" s="61"/>
      <c r="J98" s="62"/>
      <c r="K98" s="129" t="str">
        <f t="shared" si="20"/>
        <v/>
      </c>
      <c r="L98" s="103" t="str">
        <f t="shared" si="21"/>
        <v/>
      </c>
      <c r="M98" s="52">
        <v>0</v>
      </c>
      <c r="N98" s="102" t="str">
        <f t="shared" si="22"/>
        <v/>
      </c>
      <c r="O98" s="103" t="str">
        <f t="shared" si="23"/>
        <v/>
      </c>
      <c r="P98" s="52">
        <v>0</v>
      </c>
      <c r="Q98" s="102" t="str">
        <f t="shared" si="24"/>
        <v/>
      </c>
      <c r="R98" s="103" t="str">
        <f t="shared" si="25"/>
        <v/>
      </c>
      <c r="S98" s="52">
        <v>0</v>
      </c>
      <c r="T98" s="102" t="str">
        <f t="shared" si="26"/>
        <v/>
      </c>
      <c r="U98" s="103" t="str">
        <f t="shared" si="27"/>
        <v/>
      </c>
      <c r="V98" s="52">
        <v>0</v>
      </c>
      <c r="W98" s="87" t="str">
        <f t="shared" si="28"/>
        <v/>
      </c>
      <c r="X98" s="103" t="str">
        <f t="shared" si="29"/>
        <v/>
      </c>
      <c r="Y98" s="52">
        <v>0</v>
      </c>
      <c r="Z98" s="56" t="str">
        <f t="shared" si="30"/>
        <v/>
      </c>
      <c r="AA98" s="56" t="str">
        <f t="shared" si="31"/>
        <v/>
      </c>
      <c r="AB98" s="56" t="str">
        <f t="shared" si="32"/>
        <v/>
      </c>
      <c r="AC98" s="56" t="str">
        <f t="shared" si="33"/>
        <v/>
      </c>
      <c r="AD98" s="56" t="str">
        <f t="shared" si="34"/>
        <v/>
      </c>
      <c r="AE98" s="40"/>
      <c r="AF98" s="40"/>
      <c r="AG98" s="40"/>
      <c r="AH98" s="56" t="str">
        <f t="shared" si="18"/>
        <v/>
      </c>
      <c r="AI98" s="54"/>
      <c r="AJ98" s="54"/>
      <c r="AK98" s="54"/>
      <c r="AL98" s="54"/>
      <c r="AM98" s="54"/>
    </row>
    <row r="99" spans="1:39">
      <c r="A99" s="45" t="str" cm="1">
        <f t="array" ref="A99">IF(H99="PROJECT", CHAR(10) &amp; "- " &amp; _xlfn.TEXTJOIN(CHAR(10) &amp; "- ", TRUE, _xlfn._xlws.FILTER($I$9:$I$1000, ($B$9:$B$1000=B99) * ($H$9:$H$1000="Topic"))), "")</f>
        <v/>
      </c>
      <c r="B99" s="45" t="str">
        <f t="shared" si="19"/>
        <v/>
      </c>
      <c r="C99" s="95"/>
      <c r="D99" s="46"/>
      <c r="E99" s="58"/>
      <c r="F99" s="67"/>
      <c r="G99" s="53"/>
      <c r="H99" s="53"/>
      <c r="I99" s="50"/>
      <c r="J99" s="51"/>
      <c r="K99" s="129" t="str">
        <f t="shared" si="20"/>
        <v/>
      </c>
      <c r="L99" s="103" t="str">
        <f t="shared" si="21"/>
        <v/>
      </c>
      <c r="M99" s="53">
        <v>0</v>
      </c>
      <c r="N99" s="102" t="str">
        <f t="shared" si="22"/>
        <v/>
      </c>
      <c r="O99" s="103" t="str">
        <f t="shared" si="23"/>
        <v/>
      </c>
      <c r="P99" s="53">
        <v>0</v>
      </c>
      <c r="Q99" s="102" t="str">
        <f t="shared" si="24"/>
        <v/>
      </c>
      <c r="R99" s="103" t="str">
        <f t="shared" si="25"/>
        <v/>
      </c>
      <c r="S99" s="53">
        <v>0</v>
      </c>
      <c r="T99" s="102" t="str">
        <f t="shared" si="26"/>
        <v/>
      </c>
      <c r="U99" s="103" t="str">
        <f t="shared" si="27"/>
        <v/>
      </c>
      <c r="V99" s="53">
        <v>0</v>
      </c>
      <c r="W99" s="87" t="str">
        <f t="shared" si="28"/>
        <v/>
      </c>
      <c r="X99" s="103" t="str">
        <f t="shared" si="29"/>
        <v/>
      </c>
      <c r="Y99" s="53">
        <v>0</v>
      </c>
      <c r="Z99" s="56" t="str">
        <f t="shared" si="30"/>
        <v/>
      </c>
      <c r="AA99" s="56" t="str">
        <f t="shared" si="31"/>
        <v/>
      </c>
      <c r="AB99" s="56" t="str">
        <f t="shared" si="32"/>
        <v/>
      </c>
      <c r="AC99" s="56" t="str">
        <f t="shared" si="33"/>
        <v/>
      </c>
      <c r="AD99" s="56" t="str">
        <f t="shared" si="34"/>
        <v/>
      </c>
      <c r="AE99" s="40"/>
      <c r="AF99" s="40"/>
      <c r="AG99" s="40"/>
      <c r="AH99" s="56" t="str">
        <f t="shared" si="18"/>
        <v/>
      </c>
      <c r="AI99" s="54"/>
      <c r="AJ99" s="54"/>
      <c r="AK99" s="54"/>
      <c r="AL99" s="54"/>
      <c r="AM99" s="54"/>
    </row>
    <row r="100" spans="1:39">
      <c r="A100" s="45" t="str" cm="1">
        <f t="array" ref="A100">IF(H100="PROJECT", CHAR(10) &amp; "- " &amp; _xlfn.TEXTJOIN(CHAR(10) &amp; "- ", TRUE, _xlfn._xlws.FILTER($I$9:$I$1000, ($B$9:$B$1000=B100) * ($H$9:$H$1000="Topic"))), "")</f>
        <v/>
      </c>
      <c r="B100" s="45" t="str">
        <f t="shared" si="19"/>
        <v/>
      </c>
      <c r="C100" s="95"/>
      <c r="D100" s="57"/>
      <c r="E100" s="58"/>
      <c r="F100" s="54"/>
      <c r="G100" s="52"/>
      <c r="H100" s="52"/>
      <c r="I100" s="61"/>
      <c r="J100" s="62"/>
      <c r="K100" s="129" t="str">
        <f t="shared" si="20"/>
        <v/>
      </c>
      <c r="L100" s="103" t="str">
        <f t="shared" si="21"/>
        <v/>
      </c>
      <c r="M100" s="52">
        <v>0</v>
      </c>
      <c r="N100" s="102" t="str">
        <f t="shared" si="22"/>
        <v/>
      </c>
      <c r="O100" s="103" t="str">
        <f t="shared" si="23"/>
        <v/>
      </c>
      <c r="P100" s="52">
        <v>0</v>
      </c>
      <c r="Q100" s="102" t="str">
        <f t="shared" si="24"/>
        <v/>
      </c>
      <c r="R100" s="103" t="str">
        <f t="shared" si="25"/>
        <v/>
      </c>
      <c r="S100" s="52">
        <v>0</v>
      </c>
      <c r="T100" s="102" t="str">
        <f t="shared" si="26"/>
        <v/>
      </c>
      <c r="U100" s="103" t="str">
        <f t="shared" si="27"/>
        <v/>
      </c>
      <c r="V100" s="52">
        <v>0</v>
      </c>
      <c r="W100" s="87" t="str">
        <f t="shared" si="28"/>
        <v/>
      </c>
      <c r="X100" s="103" t="str">
        <f t="shared" si="29"/>
        <v/>
      </c>
      <c r="Y100" s="52">
        <v>0</v>
      </c>
      <c r="Z100" s="56" t="str">
        <f t="shared" si="30"/>
        <v/>
      </c>
      <c r="AA100" s="56" t="str">
        <f t="shared" si="31"/>
        <v/>
      </c>
      <c r="AB100" s="56" t="str">
        <f t="shared" si="32"/>
        <v/>
      </c>
      <c r="AC100" s="56" t="str">
        <f t="shared" si="33"/>
        <v/>
      </c>
      <c r="AD100" s="56" t="str">
        <f t="shared" si="34"/>
        <v/>
      </c>
      <c r="AE100" s="40"/>
      <c r="AF100" s="40"/>
      <c r="AG100" s="40"/>
      <c r="AH100" s="56" t="str">
        <f t="shared" si="18"/>
        <v/>
      </c>
      <c r="AI100" s="54"/>
      <c r="AJ100" s="54"/>
      <c r="AK100" s="54"/>
      <c r="AL100" s="54"/>
      <c r="AM100" s="54"/>
    </row>
    <row r="101" spans="1:39">
      <c r="A101" s="45" t="str" cm="1">
        <f t="array" ref="A101">IF(H101="PROJECT", CHAR(10) &amp; "- " &amp; _xlfn.TEXTJOIN(CHAR(10) &amp; "- ", TRUE, _xlfn._xlws.FILTER($I$9:$I$1000, ($B$9:$B$1000=B101) * ($H$9:$H$1000="Topic"))), "")</f>
        <v/>
      </c>
      <c r="B101" s="45" t="str">
        <f t="shared" si="19"/>
        <v/>
      </c>
      <c r="C101" s="95"/>
      <c r="D101" s="46"/>
      <c r="E101" s="58"/>
      <c r="F101" s="67"/>
      <c r="G101" s="53"/>
      <c r="H101" s="53"/>
      <c r="I101" s="50"/>
      <c r="J101" s="51"/>
      <c r="K101" s="129" t="str">
        <f t="shared" si="20"/>
        <v/>
      </c>
      <c r="L101" s="103" t="str">
        <f t="shared" si="21"/>
        <v/>
      </c>
      <c r="M101" s="53">
        <v>0</v>
      </c>
      <c r="N101" s="102" t="str">
        <f t="shared" si="22"/>
        <v/>
      </c>
      <c r="O101" s="103" t="str">
        <f t="shared" si="23"/>
        <v/>
      </c>
      <c r="P101" s="53">
        <v>0</v>
      </c>
      <c r="Q101" s="102" t="str">
        <f t="shared" si="24"/>
        <v/>
      </c>
      <c r="R101" s="103" t="str">
        <f t="shared" si="25"/>
        <v/>
      </c>
      <c r="S101" s="53">
        <v>0</v>
      </c>
      <c r="T101" s="102" t="str">
        <f t="shared" si="26"/>
        <v/>
      </c>
      <c r="U101" s="103" t="str">
        <f t="shared" si="27"/>
        <v/>
      </c>
      <c r="V101" s="53">
        <v>0</v>
      </c>
      <c r="W101" s="87" t="str">
        <f t="shared" si="28"/>
        <v/>
      </c>
      <c r="X101" s="103" t="str">
        <f t="shared" si="29"/>
        <v/>
      </c>
      <c r="Y101" s="53">
        <v>0</v>
      </c>
      <c r="Z101" s="56" t="str">
        <f t="shared" si="30"/>
        <v/>
      </c>
      <c r="AA101" s="56" t="str">
        <f t="shared" si="31"/>
        <v/>
      </c>
      <c r="AB101" s="56" t="str">
        <f t="shared" si="32"/>
        <v/>
      </c>
      <c r="AC101" s="56" t="str">
        <f t="shared" si="33"/>
        <v/>
      </c>
      <c r="AD101" s="56" t="str">
        <f t="shared" si="34"/>
        <v/>
      </c>
      <c r="AE101" s="40"/>
      <c r="AF101" s="40"/>
      <c r="AG101" s="40"/>
      <c r="AH101" s="56" t="str">
        <f t="shared" si="18"/>
        <v/>
      </c>
      <c r="AI101" s="54"/>
      <c r="AJ101" s="54"/>
      <c r="AK101" s="54"/>
      <c r="AL101" s="54"/>
      <c r="AM101" s="54"/>
    </row>
    <row r="102" spans="1:39">
      <c r="A102" s="45" t="str" cm="1">
        <f t="array" ref="A102">IF(H102="PROJECT", CHAR(10) &amp; "- " &amp; _xlfn.TEXTJOIN(CHAR(10) &amp; "- ", TRUE, _xlfn._xlws.FILTER($I$9:$I$1000, ($B$9:$B$1000=B102) * ($H$9:$H$1000="Topic"))), "")</f>
        <v/>
      </c>
      <c r="B102" s="45" t="str">
        <f t="shared" si="19"/>
        <v/>
      </c>
      <c r="C102" s="95"/>
      <c r="D102" s="57"/>
      <c r="E102" s="58"/>
      <c r="F102" s="54"/>
      <c r="G102" s="52"/>
      <c r="H102" s="52"/>
      <c r="I102" s="61"/>
      <c r="J102" s="62"/>
      <c r="K102" s="129" t="str">
        <f t="shared" si="20"/>
        <v/>
      </c>
      <c r="L102" s="103" t="str">
        <f t="shared" si="21"/>
        <v/>
      </c>
      <c r="M102" s="52">
        <v>0</v>
      </c>
      <c r="N102" s="102" t="str">
        <f t="shared" si="22"/>
        <v/>
      </c>
      <c r="O102" s="103" t="str">
        <f t="shared" si="23"/>
        <v/>
      </c>
      <c r="P102" s="52">
        <v>0</v>
      </c>
      <c r="Q102" s="102" t="str">
        <f t="shared" si="24"/>
        <v/>
      </c>
      <c r="R102" s="103" t="str">
        <f t="shared" si="25"/>
        <v/>
      </c>
      <c r="S102" s="52">
        <v>0</v>
      </c>
      <c r="T102" s="102" t="str">
        <f t="shared" si="26"/>
        <v/>
      </c>
      <c r="U102" s="103" t="str">
        <f t="shared" si="27"/>
        <v/>
      </c>
      <c r="V102" s="52">
        <v>0</v>
      </c>
      <c r="W102" s="87" t="str">
        <f t="shared" si="28"/>
        <v/>
      </c>
      <c r="X102" s="103" t="str">
        <f t="shared" si="29"/>
        <v/>
      </c>
      <c r="Y102" s="52">
        <v>0</v>
      </c>
      <c r="Z102" s="56" t="str">
        <f t="shared" si="30"/>
        <v/>
      </c>
      <c r="AA102" s="56" t="str">
        <f t="shared" si="31"/>
        <v/>
      </c>
      <c r="AB102" s="56" t="str">
        <f t="shared" si="32"/>
        <v/>
      </c>
      <c r="AC102" s="56" t="str">
        <f t="shared" si="33"/>
        <v/>
      </c>
      <c r="AD102" s="56" t="str">
        <f t="shared" si="34"/>
        <v/>
      </c>
      <c r="AE102" s="40"/>
      <c r="AF102" s="40"/>
      <c r="AG102" s="40"/>
      <c r="AH102" s="56" t="str">
        <f t="shared" si="18"/>
        <v/>
      </c>
      <c r="AI102" s="54"/>
      <c r="AJ102" s="54"/>
      <c r="AK102" s="54"/>
      <c r="AL102" s="54"/>
      <c r="AM102" s="54"/>
    </row>
    <row r="103" spans="1:39">
      <c r="A103" s="45" t="str" cm="1">
        <f t="array" ref="A103">IF(H103="PROJECT", CHAR(10) &amp; "- " &amp; _xlfn.TEXTJOIN(CHAR(10) &amp; "- ", TRUE, _xlfn._xlws.FILTER($I$9:$I$1000, ($B$9:$B$1000=B103) * ($H$9:$H$1000="Topic"))), "")</f>
        <v/>
      </c>
      <c r="B103" s="45" t="str">
        <f t="shared" si="19"/>
        <v/>
      </c>
      <c r="C103" s="95"/>
      <c r="D103" s="46"/>
      <c r="E103" s="58"/>
      <c r="F103" s="67"/>
      <c r="G103" s="53"/>
      <c r="H103" s="53"/>
      <c r="I103" s="50"/>
      <c r="J103" s="51"/>
      <c r="K103" s="129" t="str">
        <f t="shared" si="20"/>
        <v/>
      </c>
      <c r="L103" s="103" t="str">
        <f t="shared" si="21"/>
        <v/>
      </c>
      <c r="M103" s="53">
        <v>0</v>
      </c>
      <c r="N103" s="102" t="str">
        <f t="shared" si="22"/>
        <v/>
      </c>
      <c r="O103" s="103" t="str">
        <f t="shared" si="23"/>
        <v/>
      </c>
      <c r="P103" s="53">
        <v>0</v>
      </c>
      <c r="Q103" s="102" t="str">
        <f t="shared" si="24"/>
        <v/>
      </c>
      <c r="R103" s="103" t="str">
        <f t="shared" si="25"/>
        <v/>
      </c>
      <c r="S103" s="53">
        <v>0</v>
      </c>
      <c r="T103" s="102" t="str">
        <f t="shared" si="26"/>
        <v/>
      </c>
      <c r="U103" s="103" t="str">
        <f t="shared" si="27"/>
        <v/>
      </c>
      <c r="V103" s="53">
        <v>0</v>
      </c>
      <c r="W103" s="87" t="str">
        <f t="shared" si="28"/>
        <v/>
      </c>
      <c r="X103" s="103" t="str">
        <f t="shared" si="29"/>
        <v/>
      </c>
      <c r="Y103" s="53">
        <v>0</v>
      </c>
      <c r="Z103" s="56" t="str">
        <f t="shared" si="30"/>
        <v/>
      </c>
      <c r="AA103" s="56" t="str">
        <f t="shared" si="31"/>
        <v/>
      </c>
      <c r="AB103" s="56" t="str">
        <f t="shared" si="32"/>
        <v/>
      </c>
      <c r="AC103" s="56" t="str">
        <f t="shared" si="33"/>
        <v/>
      </c>
      <c r="AD103" s="56" t="str">
        <f t="shared" si="34"/>
        <v/>
      </c>
      <c r="AE103" s="40"/>
      <c r="AF103" s="40"/>
      <c r="AG103" s="40"/>
      <c r="AH103" s="56" t="str">
        <f t="shared" si="18"/>
        <v/>
      </c>
      <c r="AI103" s="54"/>
      <c r="AJ103" s="54"/>
      <c r="AK103" s="54"/>
      <c r="AL103" s="54"/>
      <c r="AM103" s="54"/>
    </row>
    <row r="104" spans="1:39">
      <c r="A104" s="45" t="str" cm="1">
        <f t="array" ref="A104">IF(H104="PROJECT", CHAR(10) &amp; "- " &amp; _xlfn.TEXTJOIN(CHAR(10) &amp; "- ", TRUE, _xlfn._xlws.FILTER($I$9:$I$1000, ($B$9:$B$1000=B104) * ($H$9:$H$1000="Topic"))), "")</f>
        <v/>
      </c>
      <c r="B104" s="45" t="str">
        <f t="shared" si="19"/>
        <v/>
      </c>
      <c r="C104" s="95"/>
      <c r="D104" s="57"/>
      <c r="E104" s="58"/>
      <c r="F104" s="54"/>
      <c r="G104" s="52"/>
      <c r="H104" s="52"/>
      <c r="I104" s="61"/>
      <c r="J104" s="62"/>
      <c r="K104" s="129" t="str">
        <f t="shared" si="20"/>
        <v/>
      </c>
      <c r="L104" s="103" t="str">
        <f t="shared" si="21"/>
        <v/>
      </c>
      <c r="M104" s="52">
        <v>0</v>
      </c>
      <c r="N104" s="102" t="str">
        <f t="shared" si="22"/>
        <v/>
      </c>
      <c r="O104" s="103" t="str">
        <f t="shared" si="23"/>
        <v/>
      </c>
      <c r="P104" s="52">
        <v>0</v>
      </c>
      <c r="Q104" s="102" t="str">
        <f t="shared" si="24"/>
        <v/>
      </c>
      <c r="R104" s="103" t="str">
        <f t="shared" si="25"/>
        <v/>
      </c>
      <c r="S104" s="52">
        <v>0</v>
      </c>
      <c r="T104" s="102" t="str">
        <f t="shared" si="26"/>
        <v/>
      </c>
      <c r="U104" s="103" t="str">
        <f t="shared" si="27"/>
        <v/>
      </c>
      <c r="V104" s="52">
        <v>0</v>
      </c>
      <c r="W104" s="87" t="str">
        <f t="shared" si="28"/>
        <v/>
      </c>
      <c r="X104" s="103" t="str">
        <f t="shared" si="29"/>
        <v/>
      </c>
      <c r="Y104" s="52">
        <v>0</v>
      </c>
      <c r="Z104" s="56" t="str">
        <f t="shared" si="30"/>
        <v/>
      </c>
      <c r="AA104" s="56" t="str">
        <f t="shared" si="31"/>
        <v/>
      </c>
      <c r="AB104" s="56" t="str">
        <f t="shared" si="32"/>
        <v/>
      </c>
      <c r="AC104" s="56" t="str">
        <f t="shared" si="33"/>
        <v/>
      </c>
      <c r="AD104" s="56" t="str">
        <f t="shared" si="34"/>
        <v/>
      </c>
      <c r="AE104" s="40"/>
      <c r="AF104" s="40"/>
      <c r="AG104" s="40"/>
      <c r="AH104" s="56" t="str">
        <f t="shared" si="18"/>
        <v/>
      </c>
      <c r="AI104" s="54"/>
      <c r="AJ104" s="54"/>
      <c r="AK104" s="54"/>
      <c r="AL104" s="54"/>
      <c r="AM104" s="54"/>
    </row>
    <row r="105" spans="1:39">
      <c r="A105" s="45" t="str" cm="1">
        <f t="array" ref="A105">IF(H105="PROJECT", CHAR(10) &amp; "- " &amp; _xlfn.TEXTJOIN(CHAR(10) &amp; "- ", TRUE, _xlfn._xlws.FILTER($I$9:$I$1000, ($B$9:$B$1000=B105) * ($H$9:$H$1000="Topic"))), "")</f>
        <v/>
      </c>
      <c r="B105" s="45" t="str">
        <f t="shared" si="19"/>
        <v/>
      </c>
      <c r="C105" s="95"/>
      <c r="D105" s="46"/>
      <c r="E105" s="58"/>
      <c r="F105" s="67"/>
      <c r="G105" s="53"/>
      <c r="H105" s="53"/>
      <c r="I105" s="50"/>
      <c r="J105" s="51"/>
      <c r="K105" s="129" t="str">
        <f t="shared" si="20"/>
        <v/>
      </c>
      <c r="L105" s="103" t="str">
        <f t="shared" si="21"/>
        <v/>
      </c>
      <c r="M105" s="53">
        <v>0</v>
      </c>
      <c r="N105" s="102" t="str">
        <f t="shared" si="22"/>
        <v/>
      </c>
      <c r="O105" s="103" t="str">
        <f t="shared" si="23"/>
        <v/>
      </c>
      <c r="P105" s="53">
        <v>0</v>
      </c>
      <c r="Q105" s="102" t="str">
        <f t="shared" si="24"/>
        <v/>
      </c>
      <c r="R105" s="103" t="str">
        <f t="shared" si="25"/>
        <v/>
      </c>
      <c r="S105" s="53">
        <v>0</v>
      </c>
      <c r="T105" s="102" t="str">
        <f t="shared" si="26"/>
        <v/>
      </c>
      <c r="U105" s="103" t="str">
        <f t="shared" si="27"/>
        <v/>
      </c>
      <c r="V105" s="53">
        <v>0</v>
      </c>
      <c r="W105" s="87" t="str">
        <f t="shared" si="28"/>
        <v/>
      </c>
      <c r="X105" s="103" t="str">
        <f t="shared" si="29"/>
        <v/>
      </c>
      <c r="Y105" s="53">
        <v>0</v>
      </c>
      <c r="Z105" s="56" t="str">
        <f t="shared" si="30"/>
        <v/>
      </c>
      <c r="AA105" s="56" t="str">
        <f t="shared" si="31"/>
        <v/>
      </c>
      <c r="AB105" s="56" t="str">
        <f t="shared" si="32"/>
        <v/>
      </c>
      <c r="AC105" s="56" t="str">
        <f t="shared" si="33"/>
        <v/>
      </c>
      <c r="AD105" s="56" t="str">
        <f t="shared" si="34"/>
        <v/>
      </c>
      <c r="AE105" s="40"/>
      <c r="AF105" s="40"/>
      <c r="AG105" s="40"/>
      <c r="AH105" s="56" t="str">
        <f t="shared" ref="AH105:AH136" si="35">IF(AE105=$B$6,AG105,"")</f>
        <v/>
      </c>
      <c r="AI105" s="54"/>
      <c r="AJ105" s="54"/>
      <c r="AK105" s="54"/>
      <c r="AL105" s="54"/>
      <c r="AM105" s="54"/>
    </row>
    <row r="106" spans="1:39">
      <c r="A106" s="45" t="str" cm="1">
        <f t="array" ref="A106">IF(H106="PROJECT", CHAR(10) &amp; "- " &amp; _xlfn.TEXTJOIN(CHAR(10) &amp; "- ", TRUE, _xlfn._xlws.FILTER($I$9:$I$1000, ($B$9:$B$1000=B106) * ($H$9:$H$1000="Topic"))), "")</f>
        <v/>
      </c>
      <c r="B106" s="45" t="str">
        <f t="shared" si="19"/>
        <v/>
      </c>
      <c r="C106" s="95"/>
      <c r="D106" s="57"/>
      <c r="E106" s="58"/>
      <c r="F106" s="54"/>
      <c r="G106" s="52"/>
      <c r="H106" s="52"/>
      <c r="I106" s="61"/>
      <c r="J106" s="62"/>
      <c r="K106" s="129" t="str">
        <f t="shared" si="20"/>
        <v/>
      </c>
      <c r="L106" s="103" t="str">
        <f t="shared" si="21"/>
        <v/>
      </c>
      <c r="M106" s="52">
        <v>0</v>
      </c>
      <c r="N106" s="102" t="str">
        <f t="shared" si="22"/>
        <v/>
      </c>
      <c r="O106" s="103" t="str">
        <f t="shared" si="23"/>
        <v/>
      </c>
      <c r="P106" s="52">
        <v>0</v>
      </c>
      <c r="Q106" s="102" t="str">
        <f t="shared" si="24"/>
        <v/>
      </c>
      <c r="R106" s="103" t="str">
        <f t="shared" si="25"/>
        <v/>
      </c>
      <c r="S106" s="52">
        <v>0</v>
      </c>
      <c r="T106" s="102" t="str">
        <f t="shared" si="26"/>
        <v/>
      </c>
      <c r="U106" s="103" t="str">
        <f t="shared" si="27"/>
        <v/>
      </c>
      <c r="V106" s="52">
        <v>0</v>
      </c>
      <c r="W106" s="87" t="str">
        <f t="shared" si="28"/>
        <v/>
      </c>
      <c r="X106" s="103" t="str">
        <f t="shared" si="29"/>
        <v/>
      </c>
      <c r="Y106" s="52">
        <v>0</v>
      </c>
      <c r="Z106" s="56" t="str">
        <f t="shared" si="30"/>
        <v/>
      </c>
      <c r="AA106" s="56" t="str">
        <f t="shared" si="31"/>
        <v/>
      </c>
      <c r="AB106" s="56" t="str">
        <f t="shared" si="32"/>
        <v/>
      </c>
      <c r="AC106" s="56" t="str">
        <f t="shared" si="33"/>
        <v/>
      </c>
      <c r="AD106" s="56" t="str">
        <f t="shared" si="34"/>
        <v/>
      </c>
      <c r="AE106" s="40"/>
      <c r="AF106" s="40"/>
      <c r="AG106" s="40"/>
      <c r="AH106" s="56" t="str">
        <f t="shared" si="35"/>
        <v/>
      </c>
      <c r="AI106" s="54"/>
      <c r="AJ106" s="54"/>
      <c r="AK106" s="54"/>
      <c r="AL106" s="54"/>
      <c r="AM106" s="54"/>
    </row>
    <row r="107" spans="1:39">
      <c r="A107" s="45" t="str" cm="1">
        <f t="array" ref="A107">IF(H107="PROJECT", CHAR(10) &amp; "- " &amp; _xlfn.TEXTJOIN(CHAR(10) &amp; "- ", TRUE, _xlfn._xlws.FILTER($I$9:$I$1000, ($B$9:$B$1000=B107) * ($H$9:$H$1000="Topic"))), "")</f>
        <v/>
      </c>
      <c r="B107" s="45" t="str">
        <f t="shared" si="19"/>
        <v/>
      </c>
      <c r="C107" s="95"/>
      <c r="D107" s="46"/>
      <c r="E107" s="58"/>
      <c r="F107" s="67"/>
      <c r="G107" s="53"/>
      <c r="H107" s="53"/>
      <c r="I107" s="50"/>
      <c r="J107" s="51"/>
      <c r="K107" s="129" t="str">
        <f t="shared" si="20"/>
        <v/>
      </c>
      <c r="L107" s="103" t="str">
        <f t="shared" si="21"/>
        <v/>
      </c>
      <c r="M107" s="53">
        <v>0</v>
      </c>
      <c r="N107" s="102" t="str">
        <f t="shared" si="22"/>
        <v/>
      </c>
      <c r="O107" s="103" t="str">
        <f t="shared" si="23"/>
        <v/>
      </c>
      <c r="P107" s="53">
        <v>0</v>
      </c>
      <c r="Q107" s="102" t="str">
        <f t="shared" si="24"/>
        <v/>
      </c>
      <c r="R107" s="103" t="str">
        <f t="shared" si="25"/>
        <v/>
      </c>
      <c r="S107" s="53">
        <v>0</v>
      </c>
      <c r="T107" s="102" t="str">
        <f t="shared" si="26"/>
        <v/>
      </c>
      <c r="U107" s="103" t="str">
        <f t="shared" si="27"/>
        <v/>
      </c>
      <c r="V107" s="53">
        <v>0</v>
      </c>
      <c r="W107" s="87" t="str">
        <f t="shared" si="28"/>
        <v/>
      </c>
      <c r="X107" s="103" t="str">
        <f t="shared" si="29"/>
        <v/>
      </c>
      <c r="Y107" s="53">
        <v>0</v>
      </c>
      <c r="Z107" s="56" t="str">
        <f t="shared" si="30"/>
        <v/>
      </c>
      <c r="AA107" s="56" t="str">
        <f t="shared" si="31"/>
        <v/>
      </c>
      <c r="AB107" s="56" t="str">
        <f t="shared" si="32"/>
        <v/>
      </c>
      <c r="AC107" s="56" t="str">
        <f t="shared" si="33"/>
        <v/>
      </c>
      <c r="AD107" s="56" t="str">
        <f t="shared" si="34"/>
        <v/>
      </c>
      <c r="AE107" s="40"/>
      <c r="AF107" s="40"/>
      <c r="AG107" s="40"/>
      <c r="AH107" s="56" t="str">
        <f t="shared" si="35"/>
        <v/>
      </c>
      <c r="AI107" s="54"/>
      <c r="AJ107" s="54"/>
      <c r="AK107" s="54"/>
      <c r="AL107" s="54"/>
      <c r="AM107" s="54"/>
    </row>
    <row r="108" spans="1:39">
      <c r="A108" s="45" t="str" cm="1">
        <f t="array" ref="A108">IF(H108="PROJECT", CHAR(10) &amp; "- " &amp; _xlfn.TEXTJOIN(CHAR(10) &amp; "- ", TRUE, _xlfn._xlws.FILTER($I$9:$I$1000, ($B$9:$B$1000=B108) * ($H$9:$H$1000="Topic"))), "")</f>
        <v/>
      </c>
      <c r="B108" s="45" t="str">
        <f t="shared" si="19"/>
        <v/>
      </c>
      <c r="C108" s="95"/>
      <c r="D108" s="57"/>
      <c r="E108" s="58"/>
      <c r="F108" s="54"/>
      <c r="G108" s="52"/>
      <c r="H108" s="52"/>
      <c r="I108" s="61"/>
      <c r="J108" s="62"/>
      <c r="K108" s="129" t="str">
        <f t="shared" si="20"/>
        <v/>
      </c>
      <c r="L108" s="103" t="str">
        <f t="shared" si="21"/>
        <v/>
      </c>
      <c r="M108" s="52">
        <v>0</v>
      </c>
      <c r="N108" s="102" t="str">
        <f t="shared" si="22"/>
        <v/>
      </c>
      <c r="O108" s="103" t="str">
        <f t="shared" si="23"/>
        <v/>
      </c>
      <c r="P108" s="52">
        <v>0</v>
      </c>
      <c r="Q108" s="102" t="str">
        <f t="shared" si="24"/>
        <v/>
      </c>
      <c r="R108" s="103" t="str">
        <f t="shared" si="25"/>
        <v/>
      </c>
      <c r="S108" s="52">
        <v>0</v>
      </c>
      <c r="T108" s="102" t="str">
        <f t="shared" si="26"/>
        <v/>
      </c>
      <c r="U108" s="103" t="str">
        <f t="shared" si="27"/>
        <v/>
      </c>
      <c r="V108" s="52">
        <v>0</v>
      </c>
      <c r="W108" s="87" t="str">
        <f t="shared" si="28"/>
        <v/>
      </c>
      <c r="X108" s="103" t="str">
        <f t="shared" si="29"/>
        <v/>
      </c>
      <c r="Y108" s="52">
        <v>0</v>
      </c>
      <c r="Z108" s="56" t="str">
        <f t="shared" si="30"/>
        <v/>
      </c>
      <c r="AA108" s="56" t="str">
        <f t="shared" si="31"/>
        <v/>
      </c>
      <c r="AB108" s="56" t="str">
        <f t="shared" si="32"/>
        <v/>
      </c>
      <c r="AC108" s="56" t="str">
        <f t="shared" si="33"/>
        <v/>
      </c>
      <c r="AD108" s="56" t="str">
        <f t="shared" si="34"/>
        <v/>
      </c>
      <c r="AE108" s="40"/>
      <c r="AF108" s="40"/>
      <c r="AG108" s="40"/>
      <c r="AH108" s="56" t="str">
        <f t="shared" si="35"/>
        <v/>
      </c>
      <c r="AI108" s="54"/>
      <c r="AJ108" s="54"/>
      <c r="AK108" s="54"/>
      <c r="AL108" s="54"/>
      <c r="AM108" s="54"/>
    </row>
    <row r="109" spans="1:39">
      <c r="A109" s="45" t="str" cm="1">
        <f t="array" ref="A109">IF(H109="PROJECT", CHAR(10) &amp; "- " &amp; _xlfn.TEXTJOIN(CHAR(10) &amp; "- ", TRUE, _xlfn._xlws.FILTER($I$9:$I$1000, ($B$9:$B$1000=B109) * ($H$9:$H$1000="Topic"))), "")</f>
        <v/>
      </c>
      <c r="B109" s="45" t="str">
        <f t="shared" si="19"/>
        <v/>
      </c>
      <c r="C109" s="95"/>
      <c r="D109" s="46"/>
      <c r="E109" s="58"/>
      <c r="F109" s="67"/>
      <c r="G109" s="53"/>
      <c r="H109" s="53"/>
      <c r="I109" s="50"/>
      <c r="J109" s="51"/>
      <c r="K109" s="129" t="str">
        <f t="shared" si="20"/>
        <v/>
      </c>
      <c r="L109" s="103" t="str">
        <f t="shared" si="21"/>
        <v/>
      </c>
      <c r="M109" s="53">
        <v>0</v>
      </c>
      <c r="N109" s="102" t="str">
        <f t="shared" si="22"/>
        <v/>
      </c>
      <c r="O109" s="103" t="str">
        <f t="shared" si="23"/>
        <v/>
      </c>
      <c r="P109" s="53">
        <v>0</v>
      </c>
      <c r="Q109" s="102" t="str">
        <f t="shared" si="24"/>
        <v/>
      </c>
      <c r="R109" s="103" t="str">
        <f t="shared" si="25"/>
        <v/>
      </c>
      <c r="S109" s="53">
        <v>0</v>
      </c>
      <c r="T109" s="102" t="str">
        <f t="shared" si="26"/>
        <v/>
      </c>
      <c r="U109" s="103" t="str">
        <f t="shared" si="27"/>
        <v/>
      </c>
      <c r="V109" s="53">
        <v>0</v>
      </c>
      <c r="W109" s="87" t="str">
        <f t="shared" si="28"/>
        <v/>
      </c>
      <c r="X109" s="103" t="str">
        <f t="shared" si="29"/>
        <v/>
      </c>
      <c r="Y109" s="53">
        <v>0</v>
      </c>
      <c r="Z109" s="56" t="str">
        <f t="shared" si="30"/>
        <v/>
      </c>
      <c r="AA109" s="56" t="str">
        <f t="shared" si="31"/>
        <v/>
      </c>
      <c r="AB109" s="56" t="str">
        <f t="shared" si="32"/>
        <v/>
      </c>
      <c r="AC109" s="56" t="str">
        <f t="shared" si="33"/>
        <v/>
      </c>
      <c r="AD109" s="56" t="str">
        <f t="shared" si="34"/>
        <v/>
      </c>
      <c r="AE109" s="40"/>
      <c r="AF109" s="40"/>
      <c r="AG109" s="40"/>
      <c r="AH109" s="56" t="str">
        <f t="shared" si="35"/>
        <v/>
      </c>
      <c r="AI109" s="54"/>
      <c r="AJ109" s="54"/>
      <c r="AK109" s="54"/>
      <c r="AL109" s="54"/>
      <c r="AM109" s="54"/>
    </row>
    <row r="110" spans="1:39">
      <c r="A110" s="45" t="str" cm="1">
        <f t="array" ref="A110">IF(H110="PROJECT", CHAR(10) &amp; "- " &amp; _xlfn.TEXTJOIN(CHAR(10) &amp; "- ", TRUE, _xlfn._xlws.FILTER($I$9:$I$1000, ($B$9:$B$1000=B110) * ($H$9:$H$1000="Topic"))), "")</f>
        <v/>
      </c>
      <c r="B110" s="45" t="str">
        <f t="shared" si="19"/>
        <v/>
      </c>
      <c r="C110" s="95"/>
      <c r="D110" s="57"/>
      <c r="E110" s="58"/>
      <c r="F110" s="54"/>
      <c r="G110" s="52"/>
      <c r="H110" s="52"/>
      <c r="I110" s="61"/>
      <c r="J110" s="62"/>
      <c r="K110" s="129" t="str">
        <f t="shared" si="20"/>
        <v/>
      </c>
      <c r="L110" s="103" t="str">
        <f t="shared" si="21"/>
        <v/>
      </c>
      <c r="M110" s="52">
        <v>0</v>
      </c>
      <c r="N110" s="102" t="str">
        <f t="shared" si="22"/>
        <v/>
      </c>
      <c r="O110" s="103" t="str">
        <f t="shared" si="23"/>
        <v/>
      </c>
      <c r="P110" s="52">
        <v>0</v>
      </c>
      <c r="Q110" s="102" t="str">
        <f t="shared" si="24"/>
        <v/>
      </c>
      <c r="R110" s="103" t="str">
        <f t="shared" si="25"/>
        <v/>
      </c>
      <c r="S110" s="52">
        <v>0</v>
      </c>
      <c r="T110" s="102" t="str">
        <f t="shared" si="26"/>
        <v/>
      </c>
      <c r="U110" s="103" t="str">
        <f t="shared" si="27"/>
        <v/>
      </c>
      <c r="V110" s="52">
        <v>0</v>
      </c>
      <c r="W110" s="87" t="str">
        <f t="shared" si="28"/>
        <v/>
      </c>
      <c r="X110" s="103" t="str">
        <f t="shared" si="29"/>
        <v/>
      </c>
      <c r="Y110" s="52">
        <v>0</v>
      </c>
      <c r="Z110" s="56" t="str">
        <f t="shared" si="30"/>
        <v/>
      </c>
      <c r="AA110" s="56" t="str">
        <f t="shared" si="31"/>
        <v/>
      </c>
      <c r="AB110" s="56" t="str">
        <f t="shared" si="32"/>
        <v/>
      </c>
      <c r="AC110" s="56" t="str">
        <f t="shared" si="33"/>
        <v/>
      </c>
      <c r="AD110" s="56" t="str">
        <f t="shared" si="34"/>
        <v/>
      </c>
      <c r="AE110" s="40"/>
      <c r="AF110" s="40"/>
      <c r="AG110" s="40"/>
      <c r="AH110" s="56" t="str">
        <f t="shared" si="35"/>
        <v/>
      </c>
      <c r="AI110" s="54"/>
      <c r="AJ110" s="54"/>
      <c r="AK110" s="54"/>
      <c r="AL110" s="54"/>
      <c r="AM110" s="54"/>
    </row>
    <row r="111" spans="1:39">
      <c r="A111" s="45" t="str" cm="1">
        <f t="array" ref="A111">IF(H111="PROJECT", CHAR(10) &amp; "- " &amp; _xlfn.TEXTJOIN(CHAR(10) &amp; "- ", TRUE, _xlfn._xlws.FILTER($I$9:$I$1000, ($B$9:$B$1000=B111) * ($H$9:$H$1000="Topic"))), "")</f>
        <v/>
      </c>
      <c r="B111" s="45" t="str">
        <f t="shared" si="19"/>
        <v/>
      </c>
      <c r="C111" s="95"/>
      <c r="D111" s="46"/>
      <c r="E111" s="58"/>
      <c r="F111" s="67"/>
      <c r="G111" s="53"/>
      <c r="H111" s="53"/>
      <c r="I111" s="50"/>
      <c r="J111" s="51"/>
      <c r="K111" s="129" t="str">
        <f t="shared" si="20"/>
        <v/>
      </c>
      <c r="L111" s="103" t="str">
        <f t="shared" si="21"/>
        <v/>
      </c>
      <c r="M111" s="53">
        <v>0</v>
      </c>
      <c r="N111" s="102" t="str">
        <f t="shared" si="22"/>
        <v/>
      </c>
      <c r="O111" s="103" t="str">
        <f t="shared" si="23"/>
        <v/>
      </c>
      <c r="P111" s="53">
        <v>0</v>
      </c>
      <c r="Q111" s="102" t="str">
        <f t="shared" si="24"/>
        <v/>
      </c>
      <c r="R111" s="103" t="str">
        <f t="shared" si="25"/>
        <v/>
      </c>
      <c r="S111" s="53">
        <v>0</v>
      </c>
      <c r="T111" s="102" t="str">
        <f t="shared" si="26"/>
        <v/>
      </c>
      <c r="U111" s="103" t="str">
        <f t="shared" si="27"/>
        <v/>
      </c>
      <c r="V111" s="53">
        <v>0</v>
      </c>
      <c r="W111" s="87" t="str">
        <f t="shared" si="28"/>
        <v/>
      </c>
      <c r="X111" s="103" t="str">
        <f t="shared" si="29"/>
        <v/>
      </c>
      <c r="Y111" s="53">
        <v>0</v>
      </c>
      <c r="Z111" s="56" t="str">
        <f t="shared" si="30"/>
        <v/>
      </c>
      <c r="AA111" s="56" t="str">
        <f t="shared" si="31"/>
        <v/>
      </c>
      <c r="AB111" s="56" t="str">
        <f t="shared" si="32"/>
        <v/>
      </c>
      <c r="AC111" s="56" t="str">
        <f t="shared" si="33"/>
        <v/>
      </c>
      <c r="AD111" s="56" t="str">
        <f t="shared" si="34"/>
        <v/>
      </c>
      <c r="AE111" s="40"/>
      <c r="AF111" s="40"/>
      <c r="AG111" s="40"/>
      <c r="AH111" s="56" t="str">
        <f t="shared" si="35"/>
        <v/>
      </c>
      <c r="AI111" s="54"/>
      <c r="AJ111" s="54"/>
      <c r="AK111" s="54"/>
      <c r="AL111" s="54"/>
      <c r="AM111" s="54"/>
    </row>
    <row r="112" spans="1:39">
      <c r="A112" s="45" t="str" cm="1">
        <f t="array" ref="A112">IF(H112="PROJECT", CHAR(10) &amp; "- " &amp; _xlfn.TEXTJOIN(CHAR(10) &amp; "- ", TRUE, _xlfn._xlws.FILTER($I$9:$I$1000, ($B$9:$B$1000=B112) * ($H$9:$H$1000="Topic"))), "")</f>
        <v/>
      </c>
      <c r="B112" s="45" t="str">
        <f t="shared" si="19"/>
        <v/>
      </c>
      <c r="C112" s="95"/>
      <c r="D112" s="57"/>
      <c r="E112" s="58"/>
      <c r="F112" s="54"/>
      <c r="G112" s="52"/>
      <c r="H112" s="52"/>
      <c r="I112" s="61"/>
      <c r="J112" s="62"/>
      <c r="K112" s="129" t="str">
        <f t="shared" si="20"/>
        <v/>
      </c>
      <c r="L112" s="103" t="str">
        <f t="shared" si="21"/>
        <v/>
      </c>
      <c r="M112" s="52">
        <v>0</v>
      </c>
      <c r="N112" s="102" t="str">
        <f t="shared" si="22"/>
        <v/>
      </c>
      <c r="O112" s="103" t="str">
        <f t="shared" si="23"/>
        <v/>
      </c>
      <c r="P112" s="52">
        <v>0</v>
      </c>
      <c r="Q112" s="102" t="str">
        <f t="shared" si="24"/>
        <v/>
      </c>
      <c r="R112" s="103" t="str">
        <f t="shared" si="25"/>
        <v/>
      </c>
      <c r="S112" s="52">
        <v>0</v>
      </c>
      <c r="T112" s="102" t="str">
        <f t="shared" si="26"/>
        <v/>
      </c>
      <c r="U112" s="103" t="str">
        <f t="shared" si="27"/>
        <v/>
      </c>
      <c r="V112" s="52">
        <v>0</v>
      </c>
      <c r="W112" s="87" t="str">
        <f t="shared" si="28"/>
        <v/>
      </c>
      <c r="X112" s="103" t="str">
        <f t="shared" si="29"/>
        <v/>
      </c>
      <c r="Y112" s="52">
        <v>0</v>
      </c>
      <c r="Z112" s="56" t="str">
        <f t="shared" si="30"/>
        <v/>
      </c>
      <c r="AA112" s="56" t="str">
        <f t="shared" si="31"/>
        <v/>
      </c>
      <c r="AB112" s="56" t="str">
        <f t="shared" si="32"/>
        <v/>
      </c>
      <c r="AC112" s="56" t="str">
        <f t="shared" si="33"/>
        <v/>
      </c>
      <c r="AD112" s="56" t="str">
        <f t="shared" si="34"/>
        <v/>
      </c>
      <c r="AE112" s="40"/>
      <c r="AF112" s="40"/>
      <c r="AG112" s="40"/>
      <c r="AH112" s="56" t="str">
        <f t="shared" si="35"/>
        <v/>
      </c>
      <c r="AI112" s="54"/>
      <c r="AJ112" s="54"/>
      <c r="AK112" s="54"/>
      <c r="AL112" s="54"/>
      <c r="AM112" s="54"/>
    </row>
    <row r="113" spans="1:39">
      <c r="A113" s="45" t="str" cm="1">
        <f t="array" ref="A113">IF(H113="PROJECT", CHAR(10) &amp; "- " &amp; _xlfn.TEXTJOIN(CHAR(10) &amp; "- ", TRUE, _xlfn._xlws.FILTER($I$9:$I$1000, ($B$9:$B$1000=B113) * ($H$9:$H$1000="Topic"))), "")</f>
        <v/>
      </c>
      <c r="B113" s="45" t="str">
        <f t="shared" si="19"/>
        <v/>
      </c>
      <c r="C113" s="95"/>
      <c r="D113" s="46"/>
      <c r="E113" s="58"/>
      <c r="F113" s="67"/>
      <c r="G113" s="53"/>
      <c r="H113" s="53"/>
      <c r="I113" s="50"/>
      <c r="J113" s="51"/>
      <c r="K113" s="129" t="str">
        <f t="shared" si="20"/>
        <v/>
      </c>
      <c r="L113" s="103" t="str">
        <f t="shared" si="21"/>
        <v/>
      </c>
      <c r="M113" s="53">
        <v>0</v>
      </c>
      <c r="N113" s="102" t="str">
        <f t="shared" si="22"/>
        <v/>
      </c>
      <c r="O113" s="103" t="str">
        <f t="shared" si="23"/>
        <v/>
      </c>
      <c r="P113" s="53">
        <v>0</v>
      </c>
      <c r="Q113" s="102" t="str">
        <f t="shared" si="24"/>
        <v/>
      </c>
      <c r="R113" s="103" t="str">
        <f t="shared" si="25"/>
        <v/>
      </c>
      <c r="S113" s="53">
        <v>0</v>
      </c>
      <c r="T113" s="102" t="str">
        <f t="shared" si="26"/>
        <v/>
      </c>
      <c r="U113" s="103" t="str">
        <f t="shared" si="27"/>
        <v/>
      </c>
      <c r="V113" s="53">
        <v>0</v>
      </c>
      <c r="W113" s="87" t="str">
        <f t="shared" si="28"/>
        <v/>
      </c>
      <c r="X113" s="103" t="str">
        <f t="shared" si="29"/>
        <v/>
      </c>
      <c r="Y113" s="53">
        <v>0</v>
      </c>
      <c r="Z113" s="56" t="str">
        <f t="shared" si="30"/>
        <v/>
      </c>
      <c r="AA113" s="56" t="str">
        <f t="shared" si="31"/>
        <v/>
      </c>
      <c r="AB113" s="56" t="str">
        <f t="shared" si="32"/>
        <v/>
      </c>
      <c r="AC113" s="56" t="str">
        <f t="shared" si="33"/>
        <v/>
      </c>
      <c r="AD113" s="56" t="str">
        <f t="shared" si="34"/>
        <v/>
      </c>
      <c r="AE113" s="40"/>
      <c r="AF113" s="40"/>
      <c r="AG113" s="40"/>
      <c r="AH113" s="56" t="str">
        <f t="shared" si="35"/>
        <v/>
      </c>
      <c r="AI113" s="54"/>
      <c r="AJ113" s="54"/>
      <c r="AK113" s="54"/>
      <c r="AL113" s="54"/>
      <c r="AM113" s="54"/>
    </row>
    <row r="114" spans="1:39">
      <c r="A114" s="45" t="str" cm="1">
        <f t="array" ref="A114">IF(H114="PROJECT", CHAR(10) &amp; "- " &amp; _xlfn.TEXTJOIN(CHAR(10) &amp; "- ", TRUE, _xlfn._xlws.FILTER($I$9:$I$1000, ($B$9:$B$1000=B114) * ($H$9:$H$1000="Topic"))), "")</f>
        <v/>
      </c>
      <c r="B114" s="45" t="str">
        <f t="shared" si="19"/>
        <v/>
      </c>
      <c r="C114" s="95"/>
      <c r="D114" s="57"/>
      <c r="E114" s="58"/>
      <c r="F114" s="54"/>
      <c r="G114" s="52"/>
      <c r="H114" s="52"/>
      <c r="I114" s="61"/>
      <c r="J114" s="62"/>
      <c r="K114" s="129" t="str">
        <f t="shared" si="20"/>
        <v/>
      </c>
      <c r="L114" s="103" t="str">
        <f t="shared" si="21"/>
        <v/>
      </c>
      <c r="M114" s="52">
        <v>0</v>
      </c>
      <c r="N114" s="102" t="str">
        <f t="shared" si="22"/>
        <v/>
      </c>
      <c r="O114" s="103" t="str">
        <f t="shared" si="23"/>
        <v/>
      </c>
      <c r="P114" s="52">
        <v>0</v>
      </c>
      <c r="Q114" s="102" t="str">
        <f t="shared" si="24"/>
        <v/>
      </c>
      <c r="R114" s="103" t="str">
        <f t="shared" si="25"/>
        <v/>
      </c>
      <c r="S114" s="52">
        <v>0</v>
      </c>
      <c r="T114" s="102" t="str">
        <f t="shared" si="26"/>
        <v/>
      </c>
      <c r="U114" s="103" t="str">
        <f t="shared" si="27"/>
        <v/>
      </c>
      <c r="V114" s="52">
        <v>0</v>
      </c>
      <c r="W114" s="87" t="str">
        <f t="shared" si="28"/>
        <v/>
      </c>
      <c r="X114" s="103" t="str">
        <f t="shared" si="29"/>
        <v/>
      </c>
      <c r="Y114" s="52">
        <v>0</v>
      </c>
      <c r="Z114" s="56" t="str">
        <f t="shared" si="30"/>
        <v/>
      </c>
      <c r="AA114" s="56" t="str">
        <f t="shared" si="31"/>
        <v/>
      </c>
      <c r="AB114" s="56" t="str">
        <f t="shared" si="32"/>
        <v/>
      </c>
      <c r="AC114" s="56" t="str">
        <f t="shared" si="33"/>
        <v/>
      </c>
      <c r="AD114" s="56" t="str">
        <f t="shared" si="34"/>
        <v/>
      </c>
      <c r="AE114" s="40"/>
      <c r="AF114" s="40"/>
      <c r="AG114" s="40"/>
      <c r="AH114" s="56" t="str">
        <f t="shared" si="35"/>
        <v/>
      </c>
      <c r="AI114" s="54"/>
      <c r="AJ114" s="54"/>
      <c r="AK114" s="54"/>
      <c r="AL114" s="54"/>
      <c r="AM114" s="54"/>
    </row>
    <row r="115" spans="1:39">
      <c r="A115" s="45" t="str" cm="1">
        <f t="array" ref="A115">IF(H115="PROJECT", CHAR(10) &amp; "- " &amp; _xlfn.TEXTJOIN(CHAR(10) &amp; "- ", TRUE, _xlfn._xlws.FILTER($I$9:$I$1000, ($B$9:$B$1000=B115) * ($H$9:$H$1000="Topic"))), "")</f>
        <v/>
      </c>
      <c r="B115" s="45" t="str">
        <f t="shared" si="19"/>
        <v/>
      </c>
      <c r="C115" s="95"/>
      <c r="D115" s="46"/>
      <c r="E115" s="58"/>
      <c r="F115" s="67"/>
      <c r="G115" s="53"/>
      <c r="H115" s="53"/>
      <c r="I115" s="50"/>
      <c r="J115" s="51"/>
      <c r="K115" s="129" t="str">
        <f t="shared" si="20"/>
        <v/>
      </c>
      <c r="L115" s="103" t="str">
        <f t="shared" si="21"/>
        <v/>
      </c>
      <c r="M115" s="53">
        <v>0</v>
      </c>
      <c r="N115" s="102" t="str">
        <f t="shared" si="22"/>
        <v/>
      </c>
      <c r="O115" s="103" t="str">
        <f t="shared" si="23"/>
        <v/>
      </c>
      <c r="P115" s="53">
        <v>0</v>
      </c>
      <c r="Q115" s="102" t="str">
        <f t="shared" si="24"/>
        <v/>
      </c>
      <c r="R115" s="103" t="str">
        <f t="shared" si="25"/>
        <v/>
      </c>
      <c r="S115" s="53">
        <v>0</v>
      </c>
      <c r="T115" s="102" t="str">
        <f t="shared" si="26"/>
        <v/>
      </c>
      <c r="U115" s="103" t="str">
        <f t="shared" si="27"/>
        <v/>
      </c>
      <c r="V115" s="53">
        <v>0</v>
      </c>
      <c r="W115" s="87" t="str">
        <f t="shared" si="28"/>
        <v/>
      </c>
      <c r="X115" s="103" t="str">
        <f t="shared" si="29"/>
        <v/>
      </c>
      <c r="Y115" s="53">
        <v>0</v>
      </c>
      <c r="Z115" s="56" t="str">
        <f t="shared" si="30"/>
        <v/>
      </c>
      <c r="AA115" s="56" t="str">
        <f t="shared" si="31"/>
        <v/>
      </c>
      <c r="AB115" s="56" t="str">
        <f t="shared" si="32"/>
        <v/>
      </c>
      <c r="AC115" s="56" t="str">
        <f t="shared" si="33"/>
        <v/>
      </c>
      <c r="AD115" s="56" t="str">
        <f t="shared" si="34"/>
        <v/>
      </c>
      <c r="AE115" s="40"/>
      <c r="AF115" s="40"/>
      <c r="AG115" s="40"/>
      <c r="AH115" s="56" t="str">
        <f t="shared" si="35"/>
        <v/>
      </c>
      <c r="AI115" s="54"/>
      <c r="AJ115" s="54"/>
      <c r="AK115" s="54"/>
      <c r="AL115" s="54"/>
      <c r="AM115" s="54"/>
    </row>
    <row r="116" spans="1:39">
      <c r="A116" s="45" t="str" cm="1">
        <f t="array" ref="A116">IF(H116="PROJECT", CHAR(10) &amp; "- " &amp; _xlfn.TEXTJOIN(CHAR(10) &amp; "- ", TRUE, _xlfn._xlws.FILTER($I$9:$I$1000, ($B$9:$B$1000=B116) * ($H$9:$H$1000="Topic"))), "")</f>
        <v/>
      </c>
      <c r="B116" s="45" t="str">
        <f t="shared" si="19"/>
        <v/>
      </c>
      <c r="C116" s="95"/>
      <c r="D116" s="57"/>
      <c r="E116" s="58"/>
      <c r="F116" s="54"/>
      <c r="G116" s="52"/>
      <c r="H116" s="52"/>
      <c r="I116" s="61"/>
      <c r="J116" s="62"/>
      <c r="K116" s="129" t="str">
        <f t="shared" si="20"/>
        <v/>
      </c>
      <c r="L116" s="103" t="str">
        <f t="shared" si="21"/>
        <v/>
      </c>
      <c r="M116" s="52">
        <v>0</v>
      </c>
      <c r="N116" s="102" t="str">
        <f t="shared" si="22"/>
        <v/>
      </c>
      <c r="O116" s="103" t="str">
        <f t="shared" si="23"/>
        <v/>
      </c>
      <c r="P116" s="52">
        <v>0</v>
      </c>
      <c r="Q116" s="102" t="str">
        <f t="shared" si="24"/>
        <v/>
      </c>
      <c r="R116" s="103" t="str">
        <f t="shared" si="25"/>
        <v/>
      </c>
      <c r="S116" s="52">
        <v>0</v>
      </c>
      <c r="T116" s="102" t="str">
        <f t="shared" si="26"/>
        <v/>
      </c>
      <c r="U116" s="103" t="str">
        <f t="shared" si="27"/>
        <v/>
      </c>
      <c r="V116" s="52">
        <v>0</v>
      </c>
      <c r="W116" s="87" t="str">
        <f t="shared" si="28"/>
        <v/>
      </c>
      <c r="X116" s="103" t="str">
        <f t="shared" si="29"/>
        <v/>
      </c>
      <c r="Y116" s="52">
        <v>0</v>
      </c>
      <c r="Z116" s="56" t="str">
        <f t="shared" si="30"/>
        <v/>
      </c>
      <c r="AA116" s="56" t="str">
        <f t="shared" si="31"/>
        <v/>
      </c>
      <c r="AB116" s="56" t="str">
        <f t="shared" si="32"/>
        <v/>
      </c>
      <c r="AC116" s="56" t="str">
        <f t="shared" si="33"/>
        <v/>
      </c>
      <c r="AD116" s="56" t="str">
        <f t="shared" si="34"/>
        <v/>
      </c>
      <c r="AE116" s="40"/>
      <c r="AF116" s="40"/>
      <c r="AG116" s="40"/>
      <c r="AH116" s="56" t="str">
        <f t="shared" si="35"/>
        <v/>
      </c>
      <c r="AI116" s="54"/>
      <c r="AJ116" s="54"/>
      <c r="AK116" s="54"/>
      <c r="AL116" s="54"/>
      <c r="AM116" s="54"/>
    </row>
    <row r="117" spans="1:39">
      <c r="A117" s="45" t="str" cm="1">
        <f t="array" ref="A117">IF(H117="PROJECT", CHAR(10) &amp; "- " &amp; _xlfn.TEXTJOIN(CHAR(10) &amp; "- ", TRUE, _xlfn._xlws.FILTER($I$9:$I$1000, ($B$9:$B$1000=B117) * ($H$9:$H$1000="Topic"))), "")</f>
        <v/>
      </c>
      <c r="B117" s="45" t="str">
        <f t="shared" si="19"/>
        <v/>
      </c>
      <c r="C117" s="95"/>
      <c r="D117" s="46"/>
      <c r="E117" s="58"/>
      <c r="F117" s="67"/>
      <c r="G117" s="53"/>
      <c r="H117" s="53"/>
      <c r="I117" s="50"/>
      <c r="J117" s="51"/>
      <c r="K117" s="129" t="str">
        <f t="shared" si="20"/>
        <v/>
      </c>
      <c r="L117" s="103" t="str">
        <f t="shared" si="21"/>
        <v/>
      </c>
      <c r="M117" s="53">
        <v>0</v>
      </c>
      <c r="N117" s="102" t="str">
        <f t="shared" si="22"/>
        <v/>
      </c>
      <c r="O117" s="103" t="str">
        <f t="shared" si="23"/>
        <v/>
      </c>
      <c r="P117" s="53">
        <v>0</v>
      </c>
      <c r="Q117" s="102" t="str">
        <f t="shared" si="24"/>
        <v/>
      </c>
      <c r="R117" s="103" t="str">
        <f t="shared" si="25"/>
        <v/>
      </c>
      <c r="S117" s="53">
        <v>0</v>
      </c>
      <c r="T117" s="102" t="str">
        <f t="shared" si="26"/>
        <v/>
      </c>
      <c r="U117" s="103" t="str">
        <f t="shared" si="27"/>
        <v/>
      </c>
      <c r="V117" s="53">
        <v>0</v>
      </c>
      <c r="W117" s="87" t="str">
        <f t="shared" si="28"/>
        <v/>
      </c>
      <c r="X117" s="103" t="str">
        <f t="shared" si="29"/>
        <v/>
      </c>
      <c r="Y117" s="53">
        <v>0</v>
      </c>
      <c r="Z117" s="56" t="str">
        <f t="shared" si="30"/>
        <v/>
      </c>
      <c r="AA117" s="56" t="str">
        <f t="shared" si="31"/>
        <v/>
      </c>
      <c r="AB117" s="56" t="str">
        <f t="shared" si="32"/>
        <v/>
      </c>
      <c r="AC117" s="56" t="str">
        <f t="shared" si="33"/>
        <v/>
      </c>
      <c r="AD117" s="56" t="str">
        <f t="shared" si="34"/>
        <v/>
      </c>
      <c r="AE117" s="40"/>
      <c r="AF117" s="40"/>
      <c r="AG117" s="40"/>
      <c r="AH117" s="56" t="str">
        <f t="shared" si="35"/>
        <v/>
      </c>
      <c r="AI117" s="54"/>
      <c r="AJ117" s="54"/>
      <c r="AK117" s="54"/>
      <c r="AL117" s="54"/>
      <c r="AM117" s="54"/>
    </row>
    <row r="118" spans="1:39">
      <c r="A118" s="45" t="str" cm="1">
        <f t="array" ref="A118">IF(H118="PROJECT", CHAR(10) &amp; "- " &amp; _xlfn.TEXTJOIN(CHAR(10) &amp; "- ", TRUE, _xlfn._xlws.FILTER($I$9:$I$1000, ($B$9:$B$1000=B118) * ($H$9:$H$1000="Topic"))), "")</f>
        <v/>
      </c>
      <c r="B118" s="45" t="str">
        <f t="shared" si="19"/>
        <v/>
      </c>
      <c r="C118" s="95"/>
      <c r="D118" s="57"/>
      <c r="E118" s="58"/>
      <c r="F118" s="54"/>
      <c r="G118" s="52"/>
      <c r="H118" s="52"/>
      <c r="I118" s="61"/>
      <c r="J118" s="62"/>
      <c r="K118" s="129" t="str">
        <f t="shared" si="20"/>
        <v/>
      </c>
      <c r="L118" s="103" t="str">
        <f t="shared" si="21"/>
        <v/>
      </c>
      <c r="M118" s="52">
        <v>0</v>
      </c>
      <c r="N118" s="102" t="str">
        <f t="shared" si="22"/>
        <v/>
      </c>
      <c r="O118" s="103" t="str">
        <f t="shared" si="23"/>
        <v/>
      </c>
      <c r="P118" s="52">
        <v>0</v>
      </c>
      <c r="Q118" s="102" t="str">
        <f t="shared" si="24"/>
        <v/>
      </c>
      <c r="R118" s="103" t="str">
        <f t="shared" si="25"/>
        <v/>
      </c>
      <c r="S118" s="52">
        <v>0</v>
      </c>
      <c r="T118" s="102" t="str">
        <f t="shared" si="26"/>
        <v/>
      </c>
      <c r="U118" s="103" t="str">
        <f t="shared" si="27"/>
        <v/>
      </c>
      <c r="V118" s="52">
        <v>0</v>
      </c>
      <c r="W118" s="87" t="str">
        <f t="shared" si="28"/>
        <v/>
      </c>
      <c r="X118" s="103" t="str">
        <f t="shared" si="29"/>
        <v/>
      </c>
      <c r="Y118" s="52">
        <v>0</v>
      </c>
      <c r="Z118" s="56" t="str">
        <f t="shared" si="30"/>
        <v/>
      </c>
      <c r="AA118" s="56" t="str">
        <f t="shared" si="31"/>
        <v/>
      </c>
      <c r="AB118" s="56" t="str">
        <f t="shared" si="32"/>
        <v/>
      </c>
      <c r="AC118" s="56" t="str">
        <f t="shared" si="33"/>
        <v/>
      </c>
      <c r="AD118" s="56" t="str">
        <f t="shared" si="34"/>
        <v/>
      </c>
      <c r="AE118" s="40"/>
      <c r="AF118" s="40"/>
      <c r="AG118" s="40"/>
      <c r="AH118" s="56" t="str">
        <f t="shared" si="35"/>
        <v/>
      </c>
      <c r="AI118" s="54"/>
      <c r="AJ118" s="54"/>
      <c r="AK118" s="54"/>
      <c r="AL118" s="54"/>
      <c r="AM118" s="54"/>
    </row>
    <row r="119" spans="1:39">
      <c r="A119" s="45" t="str" cm="1">
        <f t="array" ref="A119">IF(H119="PROJECT", CHAR(10) &amp; "- " &amp; _xlfn.TEXTJOIN(CHAR(10) &amp; "- ", TRUE, _xlfn._xlws.FILTER($I$9:$I$1000, ($B$9:$B$1000=B119) * ($H$9:$H$1000="Topic"))), "")</f>
        <v/>
      </c>
      <c r="B119" s="45" t="str">
        <f t="shared" si="19"/>
        <v/>
      </c>
      <c r="C119" s="95"/>
      <c r="D119" s="46"/>
      <c r="E119" s="58"/>
      <c r="F119" s="67"/>
      <c r="G119" s="53"/>
      <c r="H119" s="53"/>
      <c r="I119" s="50"/>
      <c r="J119" s="51"/>
      <c r="K119" s="129" t="str">
        <f t="shared" si="20"/>
        <v/>
      </c>
      <c r="L119" s="103" t="str">
        <f t="shared" si="21"/>
        <v/>
      </c>
      <c r="M119" s="53">
        <v>0</v>
      </c>
      <c r="N119" s="102" t="str">
        <f t="shared" si="22"/>
        <v/>
      </c>
      <c r="O119" s="103" t="str">
        <f t="shared" si="23"/>
        <v/>
      </c>
      <c r="P119" s="53">
        <v>0</v>
      </c>
      <c r="Q119" s="102" t="str">
        <f t="shared" si="24"/>
        <v/>
      </c>
      <c r="R119" s="103" t="str">
        <f t="shared" si="25"/>
        <v/>
      </c>
      <c r="S119" s="53">
        <v>0</v>
      </c>
      <c r="T119" s="102" t="str">
        <f t="shared" si="26"/>
        <v/>
      </c>
      <c r="U119" s="103" t="str">
        <f t="shared" si="27"/>
        <v/>
      </c>
      <c r="V119" s="53">
        <v>0</v>
      </c>
      <c r="W119" s="87" t="str">
        <f t="shared" si="28"/>
        <v/>
      </c>
      <c r="X119" s="103" t="str">
        <f t="shared" si="29"/>
        <v/>
      </c>
      <c r="Y119" s="53">
        <v>0</v>
      </c>
      <c r="Z119" s="56" t="str">
        <f t="shared" si="30"/>
        <v/>
      </c>
      <c r="AA119" s="56" t="str">
        <f t="shared" si="31"/>
        <v/>
      </c>
      <c r="AB119" s="56" t="str">
        <f t="shared" si="32"/>
        <v/>
      </c>
      <c r="AC119" s="56" t="str">
        <f t="shared" si="33"/>
        <v/>
      </c>
      <c r="AD119" s="56" t="str">
        <f t="shared" si="34"/>
        <v/>
      </c>
      <c r="AE119" s="40"/>
      <c r="AF119" s="40"/>
      <c r="AG119" s="40"/>
      <c r="AH119" s="56" t="str">
        <f t="shared" si="35"/>
        <v/>
      </c>
      <c r="AI119" s="54"/>
      <c r="AJ119" s="54"/>
      <c r="AK119" s="54"/>
      <c r="AL119" s="54"/>
      <c r="AM119" s="54"/>
    </row>
    <row r="120" spans="1:39">
      <c r="A120" s="45" t="str" cm="1">
        <f t="array" ref="A120">IF(H120="PROJECT", CHAR(10) &amp; "- " &amp; _xlfn.TEXTJOIN(CHAR(10) &amp; "- ", TRUE, _xlfn._xlws.FILTER($I$9:$I$1000, ($B$9:$B$1000=B120) * ($H$9:$H$1000="Topic"))), "")</f>
        <v/>
      </c>
      <c r="B120" s="45" t="str">
        <f t="shared" si="19"/>
        <v/>
      </c>
      <c r="C120" s="95"/>
      <c r="D120" s="57"/>
      <c r="E120" s="58"/>
      <c r="F120" s="54"/>
      <c r="G120" s="52"/>
      <c r="H120" s="52"/>
      <c r="I120" s="61"/>
      <c r="J120" s="62"/>
      <c r="K120" s="129" t="str">
        <f t="shared" si="20"/>
        <v/>
      </c>
      <c r="L120" s="103" t="str">
        <f t="shared" si="21"/>
        <v/>
      </c>
      <c r="M120" s="52">
        <v>0</v>
      </c>
      <c r="N120" s="102" t="str">
        <f t="shared" si="22"/>
        <v/>
      </c>
      <c r="O120" s="103" t="str">
        <f t="shared" si="23"/>
        <v/>
      </c>
      <c r="P120" s="52">
        <v>0</v>
      </c>
      <c r="Q120" s="102" t="str">
        <f t="shared" si="24"/>
        <v/>
      </c>
      <c r="R120" s="103" t="str">
        <f t="shared" si="25"/>
        <v/>
      </c>
      <c r="S120" s="52">
        <v>0</v>
      </c>
      <c r="T120" s="102" t="str">
        <f t="shared" si="26"/>
        <v/>
      </c>
      <c r="U120" s="103" t="str">
        <f t="shared" si="27"/>
        <v/>
      </c>
      <c r="V120" s="52">
        <v>0</v>
      </c>
      <c r="W120" s="87" t="str">
        <f t="shared" si="28"/>
        <v/>
      </c>
      <c r="X120" s="103" t="str">
        <f t="shared" si="29"/>
        <v/>
      </c>
      <c r="Y120" s="52">
        <v>0</v>
      </c>
      <c r="Z120" s="56" t="str">
        <f t="shared" si="30"/>
        <v/>
      </c>
      <c r="AA120" s="56" t="str">
        <f t="shared" si="31"/>
        <v/>
      </c>
      <c r="AB120" s="56" t="str">
        <f t="shared" si="32"/>
        <v/>
      </c>
      <c r="AC120" s="56" t="str">
        <f t="shared" si="33"/>
        <v/>
      </c>
      <c r="AD120" s="56" t="str">
        <f t="shared" si="34"/>
        <v/>
      </c>
      <c r="AE120" s="40"/>
      <c r="AF120" s="40"/>
      <c r="AG120" s="40"/>
      <c r="AH120" s="56" t="str">
        <f t="shared" si="35"/>
        <v/>
      </c>
      <c r="AI120" s="54"/>
      <c r="AJ120" s="54"/>
      <c r="AK120" s="54"/>
      <c r="AL120" s="54"/>
      <c r="AM120" s="54"/>
    </row>
    <row r="121" spans="1:39">
      <c r="A121" s="45" t="str" cm="1">
        <f t="array" ref="A121">IF(H121="PROJECT", CHAR(10) &amp; "- " &amp; _xlfn.TEXTJOIN(CHAR(10) &amp; "- ", TRUE, _xlfn._xlws.FILTER($I$9:$I$1000, ($B$9:$B$1000=B121) * ($H$9:$H$1000="Topic"))), "")</f>
        <v/>
      </c>
      <c r="B121" s="45" t="str">
        <f t="shared" si="19"/>
        <v/>
      </c>
      <c r="C121" s="95"/>
      <c r="D121" s="46"/>
      <c r="E121" s="58"/>
      <c r="F121" s="67"/>
      <c r="G121" s="53"/>
      <c r="H121" s="53"/>
      <c r="I121" s="50"/>
      <c r="J121" s="51"/>
      <c r="K121" s="129" t="str">
        <f t="shared" si="20"/>
        <v/>
      </c>
      <c r="L121" s="103" t="str">
        <f t="shared" si="21"/>
        <v/>
      </c>
      <c r="M121" s="53">
        <v>0</v>
      </c>
      <c r="N121" s="102" t="str">
        <f t="shared" si="22"/>
        <v/>
      </c>
      <c r="O121" s="103" t="str">
        <f t="shared" si="23"/>
        <v/>
      </c>
      <c r="P121" s="53">
        <v>0</v>
      </c>
      <c r="Q121" s="102" t="str">
        <f t="shared" si="24"/>
        <v/>
      </c>
      <c r="R121" s="103" t="str">
        <f t="shared" si="25"/>
        <v/>
      </c>
      <c r="S121" s="53">
        <v>0</v>
      </c>
      <c r="T121" s="102" t="str">
        <f t="shared" si="26"/>
        <v/>
      </c>
      <c r="U121" s="103" t="str">
        <f t="shared" si="27"/>
        <v/>
      </c>
      <c r="V121" s="53">
        <v>0</v>
      </c>
      <c r="W121" s="87" t="str">
        <f t="shared" si="28"/>
        <v/>
      </c>
      <c r="X121" s="103" t="str">
        <f t="shared" si="29"/>
        <v/>
      </c>
      <c r="Y121" s="53">
        <v>0</v>
      </c>
      <c r="Z121" s="56" t="str">
        <f t="shared" si="30"/>
        <v/>
      </c>
      <c r="AA121" s="56" t="str">
        <f t="shared" si="31"/>
        <v/>
      </c>
      <c r="AB121" s="56" t="str">
        <f t="shared" si="32"/>
        <v/>
      </c>
      <c r="AC121" s="56" t="str">
        <f t="shared" si="33"/>
        <v/>
      </c>
      <c r="AD121" s="56" t="str">
        <f t="shared" si="34"/>
        <v/>
      </c>
      <c r="AE121" s="40"/>
      <c r="AF121" s="40"/>
      <c r="AG121" s="40"/>
      <c r="AH121" s="56" t="str">
        <f t="shared" si="35"/>
        <v/>
      </c>
      <c r="AI121" s="54"/>
      <c r="AJ121" s="54"/>
      <c r="AK121" s="54"/>
      <c r="AL121" s="54"/>
      <c r="AM121" s="54"/>
    </row>
    <row r="122" spans="1:39">
      <c r="A122" s="45" t="str" cm="1">
        <f t="array" ref="A122">IF(H122="PROJECT", CHAR(10) &amp; "- " &amp; _xlfn.TEXTJOIN(CHAR(10) &amp; "- ", TRUE, _xlfn._xlws.FILTER($I$9:$I$1000, ($B$9:$B$1000=B122) * ($H$9:$H$1000="Topic"))), "")</f>
        <v/>
      </c>
      <c r="B122" s="45" t="str">
        <f t="shared" si="19"/>
        <v/>
      </c>
      <c r="C122" s="95"/>
      <c r="D122" s="57"/>
      <c r="E122" s="58"/>
      <c r="F122" s="54"/>
      <c r="G122" s="52"/>
      <c r="H122" s="52"/>
      <c r="I122" s="61"/>
      <c r="J122" s="62"/>
      <c r="K122" s="129" t="str">
        <f t="shared" si="20"/>
        <v/>
      </c>
      <c r="L122" s="103" t="str">
        <f t="shared" si="21"/>
        <v/>
      </c>
      <c r="M122" s="52">
        <v>0</v>
      </c>
      <c r="N122" s="102" t="str">
        <f t="shared" si="22"/>
        <v/>
      </c>
      <c r="O122" s="103" t="str">
        <f t="shared" si="23"/>
        <v/>
      </c>
      <c r="P122" s="52">
        <v>0</v>
      </c>
      <c r="Q122" s="102" t="str">
        <f t="shared" si="24"/>
        <v/>
      </c>
      <c r="R122" s="103" t="str">
        <f t="shared" si="25"/>
        <v/>
      </c>
      <c r="S122" s="52">
        <v>0</v>
      </c>
      <c r="T122" s="102" t="str">
        <f t="shared" si="26"/>
        <v/>
      </c>
      <c r="U122" s="103" t="str">
        <f t="shared" si="27"/>
        <v/>
      </c>
      <c r="V122" s="52">
        <v>0</v>
      </c>
      <c r="W122" s="87" t="str">
        <f t="shared" si="28"/>
        <v/>
      </c>
      <c r="X122" s="103" t="str">
        <f t="shared" si="29"/>
        <v/>
      </c>
      <c r="Y122" s="52">
        <v>0</v>
      </c>
      <c r="Z122" s="56" t="str">
        <f t="shared" si="30"/>
        <v/>
      </c>
      <c r="AA122" s="56" t="str">
        <f t="shared" si="31"/>
        <v/>
      </c>
      <c r="AB122" s="56" t="str">
        <f t="shared" si="32"/>
        <v/>
      </c>
      <c r="AC122" s="56" t="str">
        <f t="shared" si="33"/>
        <v/>
      </c>
      <c r="AD122" s="56" t="str">
        <f t="shared" si="34"/>
        <v/>
      </c>
      <c r="AE122" s="40"/>
      <c r="AF122" s="40"/>
      <c r="AG122" s="40"/>
      <c r="AH122" s="56" t="str">
        <f t="shared" si="35"/>
        <v/>
      </c>
      <c r="AI122" s="54"/>
      <c r="AJ122" s="54"/>
      <c r="AK122" s="54"/>
      <c r="AL122" s="54"/>
      <c r="AM122" s="54"/>
    </row>
    <row r="123" spans="1:39">
      <c r="A123" s="45" t="str" cm="1">
        <f t="array" ref="A123">IF(H123="PROJECT", CHAR(10) &amp; "- " &amp; _xlfn.TEXTJOIN(CHAR(10) &amp; "- ", TRUE, _xlfn._xlws.FILTER($I$9:$I$1000, ($B$9:$B$1000=B123) * ($H$9:$H$1000="Topic"))), "")</f>
        <v/>
      </c>
      <c r="B123" s="45" t="str">
        <f t="shared" si="19"/>
        <v/>
      </c>
      <c r="C123" s="95"/>
      <c r="D123" s="46"/>
      <c r="E123" s="58"/>
      <c r="F123" s="67"/>
      <c r="G123" s="53"/>
      <c r="H123" s="53"/>
      <c r="I123" s="50"/>
      <c r="J123" s="51"/>
      <c r="K123" s="129" t="str">
        <f t="shared" si="20"/>
        <v/>
      </c>
      <c r="L123" s="103" t="str">
        <f t="shared" si="21"/>
        <v/>
      </c>
      <c r="M123" s="53">
        <v>0</v>
      </c>
      <c r="N123" s="102" t="str">
        <f t="shared" si="22"/>
        <v/>
      </c>
      <c r="O123" s="103" t="str">
        <f t="shared" si="23"/>
        <v/>
      </c>
      <c r="P123" s="53">
        <v>0</v>
      </c>
      <c r="Q123" s="102" t="str">
        <f t="shared" si="24"/>
        <v/>
      </c>
      <c r="R123" s="103" t="str">
        <f t="shared" si="25"/>
        <v/>
      </c>
      <c r="S123" s="53">
        <v>0</v>
      </c>
      <c r="T123" s="102" t="str">
        <f t="shared" si="26"/>
        <v/>
      </c>
      <c r="U123" s="103" t="str">
        <f t="shared" si="27"/>
        <v/>
      </c>
      <c r="V123" s="53">
        <v>0</v>
      </c>
      <c r="W123" s="87" t="str">
        <f t="shared" si="28"/>
        <v/>
      </c>
      <c r="X123" s="103" t="str">
        <f t="shared" si="29"/>
        <v/>
      </c>
      <c r="Y123" s="53">
        <v>0</v>
      </c>
      <c r="Z123" s="56" t="str">
        <f t="shared" si="30"/>
        <v/>
      </c>
      <c r="AA123" s="56" t="str">
        <f t="shared" si="31"/>
        <v/>
      </c>
      <c r="AB123" s="56" t="str">
        <f t="shared" si="32"/>
        <v/>
      </c>
      <c r="AC123" s="56" t="str">
        <f t="shared" si="33"/>
        <v/>
      </c>
      <c r="AD123" s="56" t="str">
        <f t="shared" si="34"/>
        <v/>
      </c>
      <c r="AE123" s="40"/>
      <c r="AF123" s="40"/>
      <c r="AG123" s="40"/>
      <c r="AH123" s="56" t="str">
        <f t="shared" si="35"/>
        <v/>
      </c>
      <c r="AI123" s="54"/>
      <c r="AJ123" s="54"/>
      <c r="AK123" s="54"/>
      <c r="AL123" s="54"/>
      <c r="AM123" s="54"/>
    </row>
    <row r="124" spans="1:39">
      <c r="A124" s="45" t="str" cm="1">
        <f t="array" ref="A124">IF(H124="PROJECT", CHAR(10) &amp; "- " &amp; _xlfn.TEXTJOIN(CHAR(10) &amp; "- ", TRUE, _xlfn._xlws.FILTER($I$9:$I$1000, ($B$9:$B$1000=B124) * ($H$9:$H$1000="Topic"))), "")</f>
        <v/>
      </c>
      <c r="B124" s="45" t="str">
        <f t="shared" si="19"/>
        <v/>
      </c>
      <c r="C124" s="95"/>
      <c r="D124" s="57"/>
      <c r="E124" s="58"/>
      <c r="F124" s="54"/>
      <c r="G124" s="52"/>
      <c r="H124" s="52"/>
      <c r="I124" s="61"/>
      <c r="J124" s="62"/>
      <c r="K124" s="129" t="str">
        <f t="shared" si="20"/>
        <v/>
      </c>
      <c r="L124" s="103" t="str">
        <f t="shared" si="21"/>
        <v/>
      </c>
      <c r="M124" s="52">
        <v>0</v>
      </c>
      <c r="N124" s="102" t="str">
        <f t="shared" si="22"/>
        <v/>
      </c>
      <c r="O124" s="103" t="str">
        <f t="shared" si="23"/>
        <v/>
      </c>
      <c r="P124" s="52">
        <v>0</v>
      </c>
      <c r="Q124" s="102" t="str">
        <f t="shared" si="24"/>
        <v/>
      </c>
      <c r="R124" s="103" t="str">
        <f t="shared" si="25"/>
        <v/>
      </c>
      <c r="S124" s="52">
        <v>0</v>
      </c>
      <c r="T124" s="102" t="str">
        <f t="shared" si="26"/>
        <v/>
      </c>
      <c r="U124" s="103" t="str">
        <f t="shared" si="27"/>
        <v/>
      </c>
      <c r="V124" s="52">
        <v>0</v>
      </c>
      <c r="W124" s="87" t="str">
        <f t="shared" si="28"/>
        <v/>
      </c>
      <c r="X124" s="103" t="str">
        <f t="shared" si="29"/>
        <v/>
      </c>
      <c r="Y124" s="52">
        <v>0</v>
      </c>
      <c r="Z124" s="56" t="str">
        <f t="shared" si="30"/>
        <v/>
      </c>
      <c r="AA124" s="56" t="str">
        <f t="shared" si="31"/>
        <v/>
      </c>
      <c r="AB124" s="56" t="str">
        <f t="shared" si="32"/>
        <v/>
      </c>
      <c r="AC124" s="56" t="str">
        <f t="shared" si="33"/>
        <v/>
      </c>
      <c r="AD124" s="56" t="str">
        <f t="shared" si="34"/>
        <v/>
      </c>
      <c r="AE124" s="40"/>
      <c r="AF124" s="40"/>
      <c r="AG124" s="40"/>
      <c r="AH124" s="56" t="str">
        <f t="shared" si="35"/>
        <v/>
      </c>
      <c r="AI124" s="54"/>
      <c r="AJ124" s="54"/>
      <c r="AK124" s="54"/>
      <c r="AL124" s="54"/>
      <c r="AM124" s="54"/>
    </row>
    <row r="125" spans="1:39">
      <c r="A125" s="45" t="str" cm="1">
        <f t="array" ref="A125">IF(H125="PROJECT", CHAR(10) &amp; "- " &amp; _xlfn.TEXTJOIN(CHAR(10) &amp; "- ", TRUE, _xlfn._xlws.FILTER($I$9:$I$1000, ($B$9:$B$1000=B125) * ($H$9:$H$1000="Topic"))), "")</f>
        <v/>
      </c>
      <c r="B125" s="45" t="str">
        <f t="shared" si="19"/>
        <v/>
      </c>
      <c r="C125" s="95"/>
      <c r="D125" s="46"/>
      <c r="E125" s="58"/>
      <c r="F125" s="67"/>
      <c r="G125" s="53"/>
      <c r="H125" s="53"/>
      <c r="I125" s="50"/>
      <c r="J125" s="51"/>
      <c r="K125" s="129" t="str">
        <f t="shared" si="20"/>
        <v/>
      </c>
      <c r="L125" s="103" t="str">
        <f t="shared" si="21"/>
        <v/>
      </c>
      <c r="M125" s="53">
        <v>0</v>
      </c>
      <c r="N125" s="102" t="str">
        <f t="shared" si="22"/>
        <v/>
      </c>
      <c r="O125" s="103" t="str">
        <f t="shared" si="23"/>
        <v/>
      </c>
      <c r="P125" s="53">
        <v>0</v>
      </c>
      <c r="Q125" s="102" t="str">
        <f t="shared" si="24"/>
        <v/>
      </c>
      <c r="R125" s="103" t="str">
        <f t="shared" si="25"/>
        <v/>
      </c>
      <c r="S125" s="53">
        <v>0</v>
      </c>
      <c r="T125" s="102" t="str">
        <f t="shared" si="26"/>
        <v/>
      </c>
      <c r="U125" s="103" t="str">
        <f t="shared" si="27"/>
        <v/>
      </c>
      <c r="V125" s="53">
        <v>0</v>
      </c>
      <c r="W125" s="87" t="str">
        <f t="shared" si="28"/>
        <v/>
      </c>
      <c r="X125" s="103" t="str">
        <f t="shared" si="29"/>
        <v/>
      </c>
      <c r="Y125" s="53">
        <v>0</v>
      </c>
      <c r="Z125" s="56" t="str">
        <f t="shared" si="30"/>
        <v/>
      </c>
      <c r="AA125" s="56" t="str">
        <f t="shared" si="31"/>
        <v/>
      </c>
      <c r="AB125" s="56" t="str">
        <f t="shared" si="32"/>
        <v/>
      </c>
      <c r="AC125" s="56" t="str">
        <f t="shared" si="33"/>
        <v/>
      </c>
      <c r="AD125" s="56" t="str">
        <f t="shared" si="34"/>
        <v/>
      </c>
      <c r="AE125" s="40"/>
      <c r="AF125" s="40"/>
      <c r="AG125" s="40"/>
      <c r="AH125" s="56" t="str">
        <f t="shared" si="35"/>
        <v/>
      </c>
      <c r="AI125" s="54"/>
      <c r="AJ125" s="54"/>
      <c r="AK125" s="54"/>
      <c r="AL125" s="54"/>
      <c r="AM125" s="54"/>
    </row>
    <row r="126" spans="1:39">
      <c r="A126" s="45" t="str" cm="1">
        <f t="array" ref="A126">IF(H126="PROJECT", CHAR(10) &amp; "- " &amp; _xlfn.TEXTJOIN(CHAR(10) &amp; "- ", TRUE, _xlfn._xlws.FILTER($I$9:$I$1000, ($B$9:$B$1000=B126) * ($H$9:$H$1000="Topic"))), "")</f>
        <v/>
      </c>
      <c r="B126" s="45" t="str">
        <f t="shared" si="19"/>
        <v/>
      </c>
      <c r="C126" s="95"/>
      <c r="D126" s="57"/>
      <c r="E126" s="58"/>
      <c r="F126" s="54"/>
      <c r="G126" s="52"/>
      <c r="H126" s="52"/>
      <c r="I126" s="61"/>
      <c r="J126" s="62"/>
      <c r="K126" s="129" t="str">
        <f t="shared" si="20"/>
        <v/>
      </c>
      <c r="L126" s="103" t="str">
        <f t="shared" si="21"/>
        <v/>
      </c>
      <c r="M126" s="52">
        <v>0</v>
      </c>
      <c r="N126" s="102" t="str">
        <f t="shared" si="22"/>
        <v/>
      </c>
      <c r="O126" s="103" t="str">
        <f t="shared" si="23"/>
        <v/>
      </c>
      <c r="P126" s="52">
        <v>0</v>
      </c>
      <c r="Q126" s="102" t="str">
        <f t="shared" si="24"/>
        <v/>
      </c>
      <c r="R126" s="103" t="str">
        <f t="shared" si="25"/>
        <v/>
      </c>
      <c r="S126" s="52">
        <v>0</v>
      </c>
      <c r="T126" s="102" t="str">
        <f t="shared" si="26"/>
        <v/>
      </c>
      <c r="U126" s="103" t="str">
        <f t="shared" si="27"/>
        <v/>
      </c>
      <c r="V126" s="52">
        <v>0</v>
      </c>
      <c r="W126" s="87" t="str">
        <f t="shared" si="28"/>
        <v/>
      </c>
      <c r="X126" s="103" t="str">
        <f t="shared" si="29"/>
        <v/>
      </c>
      <c r="Y126" s="52">
        <v>0</v>
      </c>
      <c r="Z126" s="56" t="str">
        <f t="shared" si="30"/>
        <v/>
      </c>
      <c r="AA126" s="56" t="str">
        <f t="shared" si="31"/>
        <v/>
      </c>
      <c r="AB126" s="56" t="str">
        <f t="shared" si="32"/>
        <v/>
      </c>
      <c r="AC126" s="56" t="str">
        <f t="shared" si="33"/>
        <v/>
      </c>
      <c r="AD126" s="56" t="str">
        <f t="shared" si="34"/>
        <v/>
      </c>
      <c r="AE126" s="40"/>
      <c r="AF126" s="40"/>
      <c r="AG126" s="40"/>
      <c r="AH126" s="56" t="str">
        <f t="shared" si="35"/>
        <v/>
      </c>
      <c r="AI126" s="54"/>
      <c r="AJ126" s="54"/>
      <c r="AK126" s="54"/>
      <c r="AL126" s="54"/>
      <c r="AM126" s="54"/>
    </row>
    <row r="127" spans="1:39">
      <c r="A127" s="45" t="str" cm="1">
        <f t="array" ref="A127">IF(H127="PROJECT", CHAR(10) &amp; "- " &amp; _xlfn.TEXTJOIN(CHAR(10) &amp; "- ", TRUE, _xlfn._xlws.FILTER($I$9:$I$1000, ($B$9:$B$1000=B127) * ($H$9:$H$1000="Topic"))), "")</f>
        <v/>
      </c>
      <c r="B127" s="45" t="str">
        <f t="shared" si="19"/>
        <v/>
      </c>
      <c r="C127" s="95"/>
      <c r="D127" s="46"/>
      <c r="E127" s="58"/>
      <c r="F127" s="67"/>
      <c r="G127" s="53"/>
      <c r="H127" s="53"/>
      <c r="I127" s="50"/>
      <c r="J127" s="51"/>
      <c r="K127" s="129" t="str">
        <f t="shared" si="20"/>
        <v/>
      </c>
      <c r="L127" s="103" t="str">
        <f t="shared" si="21"/>
        <v/>
      </c>
      <c r="M127" s="53">
        <v>0</v>
      </c>
      <c r="N127" s="102" t="str">
        <f t="shared" si="22"/>
        <v/>
      </c>
      <c r="O127" s="103" t="str">
        <f t="shared" si="23"/>
        <v/>
      </c>
      <c r="P127" s="53">
        <v>0</v>
      </c>
      <c r="Q127" s="102" t="str">
        <f t="shared" si="24"/>
        <v/>
      </c>
      <c r="R127" s="103" t="str">
        <f t="shared" si="25"/>
        <v/>
      </c>
      <c r="S127" s="53">
        <v>0</v>
      </c>
      <c r="T127" s="102" t="str">
        <f t="shared" si="26"/>
        <v/>
      </c>
      <c r="U127" s="103" t="str">
        <f t="shared" si="27"/>
        <v/>
      </c>
      <c r="V127" s="53">
        <v>0</v>
      </c>
      <c r="W127" s="87" t="str">
        <f t="shared" si="28"/>
        <v/>
      </c>
      <c r="X127" s="103" t="str">
        <f t="shared" si="29"/>
        <v/>
      </c>
      <c r="Y127" s="53">
        <v>0</v>
      </c>
      <c r="Z127" s="56" t="str">
        <f t="shared" si="30"/>
        <v/>
      </c>
      <c r="AA127" s="56" t="str">
        <f t="shared" si="31"/>
        <v/>
      </c>
      <c r="AB127" s="56" t="str">
        <f t="shared" si="32"/>
        <v/>
      </c>
      <c r="AC127" s="56" t="str">
        <f t="shared" si="33"/>
        <v/>
      </c>
      <c r="AD127" s="56" t="str">
        <f t="shared" si="34"/>
        <v/>
      </c>
      <c r="AE127" s="40"/>
      <c r="AF127" s="40"/>
      <c r="AG127" s="40"/>
      <c r="AH127" s="56" t="str">
        <f t="shared" si="35"/>
        <v/>
      </c>
      <c r="AI127" s="54"/>
      <c r="AJ127" s="54"/>
      <c r="AK127" s="54"/>
      <c r="AL127" s="54"/>
      <c r="AM127" s="54"/>
    </row>
    <row r="128" spans="1:39">
      <c r="A128" s="45" t="str" cm="1">
        <f t="array" ref="A128">IF(H128="PROJECT", CHAR(10) &amp; "- " &amp; _xlfn.TEXTJOIN(CHAR(10) &amp; "- ", TRUE, _xlfn._xlws.FILTER($I$9:$I$1000, ($B$9:$B$1000=B128) * ($H$9:$H$1000="Topic"))), "")</f>
        <v/>
      </c>
      <c r="B128" s="45" t="str">
        <f t="shared" si="19"/>
        <v/>
      </c>
      <c r="C128" s="95"/>
      <c r="D128" s="57"/>
      <c r="E128" s="58"/>
      <c r="F128" s="54"/>
      <c r="G128" s="52"/>
      <c r="H128" s="52"/>
      <c r="I128" s="61"/>
      <c r="J128" s="62"/>
      <c r="K128" s="129" t="str">
        <f t="shared" si="20"/>
        <v/>
      </c>
      <c r="L128" s="103" t="str">
        <f t="shared" si="21"/>
        <v/>
      </c>
      <c r="M128" s="52">
        <v>0</v>
      </c>
      <c r="N128" s="102" t="str">
        <f t="shared" si="22"/>
        <v/>
      </c>
      <c r="O128" s="103" t="str">
        <f t="shared" si="23"/>
        <v/>
      </c>
      <c r="P128" s="52">
        <v>0</v>
      </c>
      <c r="Q128" s="102" t="str">
        <f t="shared" si="24"/>
        <v/>
      </c>
      <c r="R128" s="103" t="str">
        <f t="shared" si="25"/>
        <v/>
      </c>
      <c r="S128" s="52">
        <v>0</v>
      </c>
      <c r="T128" s="102" t="str">
        <f t="shared" si="26"/>
        <v/>
      </c>
      <c r="U128" s="103" t="str">
        <f t="shared" si="27"/>
        <v/>
      </c>
      <c r="V128" s="52">
        <v>0</v>
      </c>
      <c r="W128" s="87" t="str">
        <f t="shared" si="28"/>
        <v/>
      </c>
      <c r="X128" s="103" t="str">
        <f t="shared" si="29"/>
        <v/>
      </c>
      <c r="Y128" s="52">
        <v>0</v>
      </c>
      <c r="Z128" s="56" t="str">
        <f t="shared" si="30"/>
        <v/>
      </c>
      <c r="AA128" s="56" t="str">
        <f t="shared" si="31"/>
        <v/>
      </c>
      <c r="AB128" s="56" t="str">
        <f t="shared" si="32"/>
        <v/>
      </c>
      <c r="AC128" s="56" t="str">
        <f t="shared" si="33"/>
        <v/>
      </c>
      <c r="AD128" s="56" t="str">
        <f t="shared" si="34"/>
        <v/>
      </c>
      <c r="AE128" s="40"/>
      <c r="AF128" s="40"/>
      <c r="AG128" s="40"/>
      <c r="AH128" s="56" t="str">
        <f t="shared" si="35"/>
        <v/>
      </c>
      <c r="AI128" s="54"/>
      <c r="AJ128" s="54"/>
      <c r="AK128" s="54"/>
      <c r="AL128" s="54"/>
      <c r="AM128" s="54"/>
    </row>
    <row r="129" spans="1:39">
      <c r="A129" s="45" t="str" cm="1">
        <f t="array" ref="A129">IF(H129="PROJECT", CHAR(10) &amp; "- " &amp; _xlfn.TEXTJOIN(CHAR(10) &amp; "- ", TRUE, _xlfn._xlws.FILTER($I$9:$I$1000, ($B$9:$B$1000=B129) * ($H$9:$H$1000="Topic"))), "")</f>
        <v/>
      </c>
      <c r="B129" s="45" t="str">
        <f t="shared" si="19"/>
        <v/>
      </c>
      <c r="C129" s="95"/>
      <c r="D129" s="46"/>
      <c r="E129" s="58"/>
      <c r="F129" s="67"/>
      <c r="G129" s="53"/>
      <c r="H129" s="53"/>
      <c r="I129" s="50"/>
      <c r="J129" s="51"/>
      <c r="K129" s="129" t="str">
        <f t="shared" si="20"/>
        <v/>
      </c>
      <c r="L129" s="103" t="str">
        <f t="shared" si="21"/>
        <v/>
      </c>
      <c r="M129" s="53">
        <v>0</v>
      </c>
      <c r="N129" s="102" t="str">
        <f t="shared" si="22"/>
        <v/>
      </c>
      <c r="O129" s="103" t="str">
        <f t="shared" si="23"/>
        <v/>
      </c>
      <c r="P129" s="53">
        <v>0</v>
      </c>
      <c r="Q129" s="102" t="str">
        <f t="shared" si="24"/>
        <v/>
      </c>
      <c r="R129" s="103" t="str">
        <f t="shared" si="25"/>
        <v/>
      </c>
      <c r="S129" s="53">
        <v>0</v>
      </c>
      <c r="T129" s="102" t="str">
        <f t="shared" si="26"/>
        <v/>
      </c>
      <c r="U129" s="103" t="str">
        <f t="shared" si="27"/>
        <v/>
      </c>
      <c r="V129" s="53">
        <v>0</v>
      </c>
      <c r="W129" s="87" t="str">
        <f t="shared" si="28"/>
        <v/>
      </c>
      <c r="X129" s="103" t="str">
        <f t="shared" si="29"/>
        <v/>
      </c>
      <c r="Y129" s="53">
        <v>0</v>
      </c>
      <c r="Z129" s="56" t="str">
        <f t="shared" si="30"/>
        <v/>
      </c>
      <c r="AA129" s="56" t="str">
        <f t="shared" si="31"/>
        <v/>
      </c>
      <c r="AB129" s="56" t="str">
        <f t="shared" si="32"/>
        <v/>
      </c>
      <c r="AC129" s="56" t="str">
        <f t="shared" si="33"/>
        <v/>
      </c>
      <c r="AD129" s="56" t="str">
        <f t="shared" si="34"/>
        <v/>
      </c>
      <c r="AE129" s="40"/>
      <c r="AF129" s="40"/>
      <c r="AG129" s="40"/>
      <c r="AH129" s="56" t="str">
        <f t="shared" si="35"/>
        <v/>
      </c>
      <c r="AI129" s="54"/>
      <c r="AJ129" s="54"/>
      <c r="AK129" s="54"/>
      <c r="AL129" s="54"/>
      <c r="AM129" s="54"/>
    </row>
    <row r="130" spans="1:39">
      <c r="A130" s="45" t="str" cm="1">
        <f t="array" ref="A130">IF(H130="PROJECT", CHAR(10) &amp; "- " &amp; _xlfn.TEXTJOIN(CHAR(10) &amp; "- ", TRUE, _xlfn._xlws.FILTER($I$9:$I$1000, ($B$9:$B$1000=B130) * ($H$9:$H$1000="Topic"))), "")</f>
        <v/>
      </c>
      <c r="B130" s="45" t="str">
        <f t="shared" si="19"/>
        <v/>
      </c>
      <c r="C130" s="95"/>
      <c r="D130" s="57"/>
      <c r="E130" s="58"/>
      <c r="F130" s="54"/>
      <c r="G130" s="52"/>
      <c r="H130" s="52"/>
      <c r="I130" s="61"/>
      <c r="J130" s="62"/>
      <c r="K130" s="129" t="str">
        <f t="shared" si="20"/>
        <v/>
      </c>
      <c r="L130" s="103" t="str">
        <f t="shared" si="21"/>
        <v/>
      </c>
      <c r="M130" s="52">
        <v>0</v>
      </c>
      <c r="N130" s="102" t="str">
        <f t="shared" si="22"/>
        <v/>
      </c>
      <c r="O130" s="103" t="str">
        <f t="shared" si="23"/>
        <v/>
      </c>
      <c r="P130" s="52">
        <v>0</v>
      </c>
      <c r="Q130" s="102" t="str">
        <f t="shared" si="24"/>
        <v/>
      </c>
      <c r="R130" s="103" t="str">
        <f t="shared" si="25"/>
        <v/>
      </c>
      <c r="S130" s="52">
        <v>0</v>
      </c>
      <c r="T130" s="102" t="str">
        <f t="shared" si="26"/>
        <v/>
      </c>
      <c r="U130" s="103" t="str">
        <f t="shared" si="27"/>
        <v/>
      </c>
      <c r="V130" s="52">
        <v>0</v>
      </c>
      <c r="W130" s="87" t="str">
        <f t="shared" si="28"/>
        <v/>
      </c>
      <c r="X130" s="103" t="str">
        <f t="shared" si="29"/>
        <v/>
      </c>
      <c r="Y130" s="52">
        <v>0</v>
      </c>
      <c r="Z130" s="56" t="str">
        <f t="shared" si="30"/>
        <v/>
      </c>
      <c r="AA130" s="56" t="str">
        <f t="shared" si="31"/>
        <v/>
      </c>
      <c r="AB130" s="56" t="str">
        <f t="shared" si="32"/>
        <v/>
      </c>
      <c r="AC130" s="56" t="str">
        <f t="shared" si="33"/>
        <v/>
      </c>
      <c r="AD130" s="56" t="str">
        <f t="shared" si="34"/>
        <v/>
      </c>
      <c r="AE130" s="40"/>
      <c r="AF130" s="40"/>
      <c r="AG130" s="40"/>
      <c r="AH130" s="56" t="str">
        <f t="shared" si="35"/>
        <v/>
      </c>
      <c r="AI130" s="54"/>
      <c r="AJ130" s="54"/>
      <c r="AK130" s="54"/>
      <c r="AL130" s="54"/>
      <c r="AM130" s="54"/>
    </row>
    <row r="131" spans="1:39">
      <c r="A131" s="45" t="str" cm="1">
        <f t="array" ref="A131">IF(H131="PROJECT", CHAR(10) &amp; "- " &amp; _xlfn.TEXTJOIN(CHAR(10) &amp; "- ", TRUE, _xlfn._xlws.FILTER($I$9:$I$1000, ($B$9:$B$1000=B131) * ($H$9:$H$1000="Topic"))), "")</f>
        <v/>
      </c>
      <c r="B131" s="45" t="str">
        <f t="shared" si="19"/>
        <v/>
      </c>
      <c r="C131" s="95"/>
      <c r="D131" s="46"/>
      <c r="E131" s="58"/>
      <c r="F131" s="67"/>
      <c r="G131" s="53"/>
      <c r="H131" s="53"/>
      <c r="I131" s="50"/>
      <c r="J131" s="51"/>
      <c r="K131" s="129" t="str">
        <f t="shared" si="20"/>
        <v/>
      </c>
      <c r="L131" s="103" t="str">
        <f t="shared" si="21"/>
        <v/>
      </c>
      <c r="M131" s="53">
        <v>0</v>
      </c>
      <c r="N131" s="102" t="str">
        <f t="shared" si="22"/>
        <v/>
      </c>
      <c r="O131" s="103" t="str">
        <f t="shared" si="23"/>
        <v/>
      </c>
      <c r="P131" s="53">
        <v>0</v>
      </c>
      <c r="Q131" s="102" t="str">
        <f t="shared" si="24"/>
        <v/>
      </c>
      <c r="R131" s="103" t="str">
        <f t="shared" si="25"/>
        <v/>
      </c>
      <c r="S131" s="53">
        <v>0</v>
      </c>
      <c r="T131" s="102" t="str">
        <f t="shared" si="26"/>
        <v/>
      </c>
      <c r="U131" s="103" t="str">
        <f t="shared" si="27"/>
        <v/>
      </c>
      <c r="V131" s="53">
        <v>0</v>
      </c>
      <c r="W131" s="87" t="str">
        <f t="shared" si="28"/>
        <v/>
      </c>
      <c r="X131" s="103" t="str">
        <f t="shared" si="29"/>
        <v/>
      </c>
      <c r="Y131" s="53">
        <v>0</v>
      </c>
      <c r="Z131" s="56" t="str">
        <f t="shared" si="30"/>
        <v/>
      </c>
      <c r="AA131" s="56" t="str">
        <f t="shared" si="31"/>
        <v/>
      </c>
      <c r="AB131" s="56" t="str">
        <f t="shared" si="32"/>
        <v/>
      </c>
      <c r="AC131" s="56" t="str">
        <f t="shared" si="33"/>
        <v/>
      </c>
      <c r="AD131" s="56" t="str">
        <f t="shared" si="34"/>
        <v/>
      </c>
      <c r="AE131" s="40"/>
      <c r="AF131" s="40"/>
      <c r="AG131" s="40"/>
      <c r="AH131" s="56" t="str">
        <f t="shared" si="35"/>
        <v/>
      </c>
      <c r="AI131" s="54"/>
      <c r="AJ131" s="54"/>
      <c r="AK131" s="54"/>
      <c r="AL131" s="54"/>
      <c r="AM131" s="54"/>
    </row>
    <row r="132" spans="1:39">
      <c r="A132" s="45" t="str" cm="1">
        <f t="array" ref="A132">IF(H132="PROJECT", CHAR(10) &amp; "- " &amp; _xlfn.TEXTJOIN(CHAR(10) &amp; "- ", TRUE, _xlfn._xlws.FILTER($I$9:$I$1000, ($B$9:$B$1000=B132) * ($H$9:$H$1000="Topic"))), "")</f>
        <v/>
      </c>
      <c r="B132" s="45" t="str">
        <f t="shared" si="19"/>
        <v/>
      </c>
      <c r="C132" s="95"/>
      <c r="D132" s="57"/>
      <c r="E132" s="58"/>
      <c r="F132" s="54"/>
      <c r="G132" s="52"/>
      <c r="H132" s="52"/>
      <c r="I132" s="61"/>
      <c r="J132" s="62"/>
      <c r="K132" s="129" t="str">
        <f t="shared" si="20"/>
        <v/>
      </c>
      <c r="L132" s="103" t="str">
        <f t="shared" si="21"/>
        <v/>
      </c>
      <c r="M132" s="52">
        <v>0</v>
      </c>
      <c r="N132" s="102" t="str">
        <f t="shared" si="22"/>
        <v/>
      </c>
      <c r="O132" s="103" t="str">
        <f t="shared" si="23"/>
        <v/>
      </c>
      <c r="P132" s="52">
        <v>0</v>
      </c>
      <c r="Q132" s="102" t="str">
        <f t="shared" si="24"/>
        <v/>
      </c>
      <c r="R132" s="103" t="str">
        <f t="shared" si="25"/>
        <v/>
      </c>
      <c r="S132" s="52">
        <v>0</v>
      </c>
      <c r="T132" s="102" t="str">
        <f t="shared" si="26"/>
        <v/>
      </c>
      <c r="U132" s="103" t="str">
        <f t="shared" si="27"/>
        <v/>
      </c>
      <c r="V132" s="52">
        <v>0</v>
      </c>
      <c r="W132" s="87" t="str">
        <f t="shared" si="28"/>
        <v/>
      </c>
      <c r="X132" s="103" t="str">
        <f t="shared" si="29"/>
        <v/>
      </c>
      <c r="Y132" s="52">
        <v>0</v>
      </c>
      <c r="Z132" s="56" t="str">
        <f t="shared" si="30"/>
        <v/>
      </c>
      <c r="AA132" s="56" t="str">
        <f t="shared" si="31"/>
        <v/>
      </c>
      <c r="AB132" s="56" t="str">
        <f t="shared" si="32"/>
        <v/>
      </c>
      <c r="AC132" s="56" t="str">
        <f t="shared" si="33"/>
        <v/>
      </c>
      <c r="AD132" s="56" t="str">
        <f t="shared" si="34"/>
        <v/>
      </c>
      <c r="AE132" s="40"/>
      <c r="AF132" s="40"/>
      <c r="AG132" s="40"/>
      <c r="AH132" s="56" t="str">
        <f t="shared" si="35"/>
        <v/>
      </c>
      <c r="AI132" s="54"/>
      <c r="AJ132" s="54"/>
      <c r="AK132" s="54"/>
      <c r="AL132" s="54"/>
      <c r="AM132" s="54"/>
    </row>
    <row r="133" spans="1:39">
      <c r="A133" s="45" t="str" cm="1">
        <f t="array" ref="A133">IF(H133="PROJECT", CHAR(10) &amp; "- " &amp; _xlfn.TEXTJOIN(CHAR(10) &amp; "- ", TRUE, _xlfn._xlws.FILTER($I$9:$I$1000, ($B$9:$B$1000=B133) * ($H$9:$H$1000="Topic"))), "")</f>
        <v/>
      </c>
      <c r="B133" s="45" t="str">
        <f t="shared" si="19"/>
        <v/>
      </c>
      <c r="C133" s="95"/>
      <c r="D133" s="46"/>
      <c r="E133" s="58"/>
      <c r="F133" s="67"/>
      <c r="G133" s="53"/>
      <c r="H133" s="53"/>
      <c r="I133" s="50"/>
      <c r="J133" s="51"/>
      <c r="K133" s="129" t="str">
        <f t="shared" si="20"/>
        <v/>
      </c>
      <c r="L133" s="103" t="str">
        <f t="shared" si="21"/>
        <v/>
      </c>
      <c r="M133" s="53">
        <v>0</v>
      </c>
      <c r="N133" s="102" t="str">
        <f t="shared" si="22"/>
        <v/>
      </c>
      <c r="O133" s="103" t="str">
        <f t="shared" si="23"/>
        <v/>
      </c>
      <c r="P133" s="53">
        <v>0</v>
      </c>
      <c r="Q133" s="102" t="str">
        <f t="shared" si="24"/>
        <v/>
      </c>
      <c r="R133" s="103" t="str">
        <f t="shared" si="25"/>
        <v/>
      </c>
      <c r="S133" s="53">
        <v>0</v>
      </c>
      <c r="T133" s="102" t="str">
        <f t="shared" si="26"/>
        <v/>
      </c>
      <c r="U133" s="103" t="str">
        <f t="shared" si="27"/>
        <v/>
      </c>
      <c r="V133" s="53">
        <v>0</v>
      </c>
      <c r="W133" s="87" t="str">
        <f t="shared" si="28"/>
        <v/>
      </c>
      <c r="X133" s="103" t="str">
        <f t="shared" si="29"/>
        <v/>
      </c>
      <c r="Y133" s="53">
        <v>0</v>
      </c>
      <c r="Z133" s="56" t="str">
        <f t="shared" si="30"/>
        <v/>
      </c>
      <c r="AA133" s="56" t="str">
        <f t="shared" si="31"/>
        <v/>
      </c>
      <c r="AB133" s="56" t="str">
        <f t="shared" si="32"/>
        <v/>
      </c>
      <c r="AC133" s="56" t="str">
        <f t="shared" si="33"/>
        <v/>
      </c>
      <c r="AD133" s="56" t="str">
        <f t="shared" si="34"/>
        <v/>
      </c>
      <c r="AE133" s="40"/>
      <c r="AF133" s="40"/>
      <c r="AG133" s="40"/>
      <c r="AH133" s="56" t="str">
        <f t="shared" si="35"/>
        <v/>
      </c>
      <c r="AI133" s="54"/>
      <c r="AJ133" s="54"/>
      <c r="AK133" s="54"/>
      <c r="AL133" s="54"/>
      <c r="AM133" s="54"/>
    </row>
    <row r="134" spans="1:39">
      <c r="A134" s="45" t="str" cm="1">
        <f t="array" ref="A134">IF(H134="PROJECT", CHAR(10) &amp; "- " &amp; _xlfn.TEXTJOIN(CHAR(10) &amp; "- ", TRUE, _xlfn._xlws.FILTER($I$9:$I$1000, ($B$9:$B$1000=B134) * ($H$9:$H$1000="Topic"))), "")</f>
        <v/>
      </c>
      <c r="B134" s="45" t="str">
        <f t="shared" si="19"/>
        <v/>
      </c>
      <c r="C134" s="95"/>
      <c r="D134" s="57"/>
      <c r="E134" s="58"/>
      <c r="F134" s="54"/>
      <c r="G134" s="52"/>
      <c r="H134" s="52"/>
      <c r="I134" s="61"/>
      <c r="J134" s="62"/>
      <c r="K134" s="129" t="str">
        <f t="shared" si="20"/>
        <v/>
      </c>
      <c r="L134" s="103" t="str">
        <f t="shared" si="21"/>
        <v/>
      </c>
      <c r="M134" s="52">
        <v>0</v>
      </c>
      <c r="N134" s="102" t="str">
        <f t="shared" si="22"/>
        <v/>
      </c>
      <c r="O134" s="103" t="str">
        <f t="shared" si="23"/>
        <v/>
      </c>
      <c r="P134" s="52">
        <v>0</v>
      </c>
      <c r="Q134" s="102" t="str">
        <f t="shared" si="24"/>
        <v/>
      </c>
      <c r="R134" s="103" t="str">
        <f t="shared" si="25"/>
        <v/>
      </c>
      <c r="S134" s="52">
        <v>0</v>
      </c>
      <c r="T134" s="102" t="str">
        <f t="shared" si="26"/>
        <v/>
      </c>
      <c r="U134" s="103" t="str">
        <f t="shared" si="27"/>
        <v/>
      </c>
      <c r="V134" s="52">
        <v>0</v>
      </c>
      <c r="W134" s="87" t="str">
        <f t="shared" si="28"/>
        <v/>
      </c>
      <c r="X134" s="103" t="str">
        <f t="shared" si="29"/>
        <v/>
      </c>
      <c r="Y134" s="52">
        <v>0</v>
      </c>
      <c r="Z134" s="56" t="str">
        <f t="shared" si="30"/>
        <v/>
      </c>
      <c r="AA134" s="56" t="str">
        <f t="shared" si="31"/>
        <v/>
      </c>
      <c r="AB134" s="56" t="str">
        <f t="shared" si="32"/>
        <v/>
      </c>
      <c r="AC134" s="56" t="str">
        <f t="shared" si="33"/>
        <v/>
      </c>
      <c r="AD134" s="56" t="str">
        <f t="shared" si="34"/>
        <v/>
      </c>
      <c r="AE134" s="40"/>
      <c r="AF134" s="40"/>
      <c r="AG134" s="40"/>
      <c r="AH134" s="56" t="str">
        <f t="shared" si="35"/>
        <v/>
      </c>
      <c r="AI134" s="54"/>
      <c r="AJ134" s="54"/>
      <c r="AK134" s="54"/>
      <c r="AL134" s="54"/>
      <c r="AM134" s="54"/>
    </row>
    <row r="135" spans="1:39">
      <c r="A135" s="45" t="str" cm="1">
        <f t="array" ref="A135">IF(H135="PROJECT", CHAR(10) &amp; "- " &amp; _xlfn.TEXTJOIN(CHAR(10) &amp; "- ", TRUE, _xlfn._xlws.FILTER($I$9:$I$1000, ($B$9:$B$1000=B135) * ($H$9:$H$1000="Topic"))), "")</f>
        <v/>
      </c>
      <c r="B135" s="45" t="str">
        <f t="shared" si="19"/>
        <v/>
      </c>
      <c r="C135" s="95"/>
      <c r="D135" s="46"/>
      <c r="E135" s="58"/>
      <c r="F135" s="67"/>
      <c r="G135" s="53"/>
      <c r="H135" s="53"/>
      <c r="I135" s="50"/>
      <c r="J135" s="51"/>
      <c r="K135" s="129" t="str">
        <f t="shared" si="20"/>
        <v/>
      </c>
      <c r="L135" s="103" t="str">
        <f t="shared" si="21"/>
        <v/>
      </c>
      <c r="M135" s="53">
        <v>0</v>
      </c>
      <c r="N135" s="102" t="str">
        <f t="shared" si="22"/>
        <v/>
      </c>
      <c r="O135" s="103" t="str">
        <f t="shared" si="23"/>
        <v/>
      </c>
      <c r="P135" s="53">
        <v>0</v>
      </c>
      <c r="Q135" s="102" t="str">
        <f t="shared" si="24"/>
        <v/>
      </c>
      <c r="R135" s="103" t="str">
        <f t="shared" si="25"/>
        <v/>
      </c>
      <c r="S135" s="53">
        <v>0</v>
      </c>
      <c r="T135" s="102" t="str">
        <f t="shared" si="26"/>
        <v/>
      </c>
      <c r="U135" s="103" t="str">
        <f t="shared" si="27"/>
        <v/>
      </c>
      <c r="V135" s="53">
        <v>0</v>
      </c>
      <c r="W135" s="87" t="str">
        <f t="shared" si="28"/>
        <v/>
      </c>
      <c r="X135" s="103" t="str">
        <f t="shared" si="29"/>
        <v/>
      </c>
      <c r="Y135" s="53">
        <v>0</v>
      </c>
      <c r="Z135" s="56" t="str">
        <f t="shared" si="30"/>
        <v/>
      </c>
      <c r="AA135" s="56" t="str">
        <f t="shared" si="31"/>
        <v/>
      </c>
      <c r="AB135" s="56" t="str">
        <f t="shared" si="32"/>
        <v/>
      </c>
      <c r="AC135" s="56" t="str">
        <f t="shared" si="33"/>
        <v/>
      </c>
      <c r="AD135" s="56" t="str">
        <f t="shared" si="34"/>
        <v/>
      </c>
      <c r="AE135" s="40"/>
      <c r="AF135" s="40"/>
      <c r="AG135" s="40"/>
      <c r="AH135" s="56" t="str">
        <f t="shared" si="35"/>
        <v/>
      </c>
      <c r="AI135" s="54"/>
      <c r="AJ135" s="54"/>
      <c r="AK135" s="54"/>
      <c r="AL135" s="54"/>
      <c r="AM135" s="54"/>
    </row>
    <row r="136" spans="1:39">
      <c r="A136" s="45" t="str" cm="1">
        <f t="array" ref="A136">IF(H136="PROJECT", CHAR(10) &amp; "- " &amp; _xlfn.TEXTJOIN(CHAR(10) &amp; "- ", TRUE, _xlfn._xlws.FILTER($I$9:$I$1000, ($B$9:$B$1000=B136) * ($H$9:$H$1000="Topic"))), "")</f>
        <v/>
      </c>
      <c r="B136" s="45" t="str">
        <f t="shared" si="19"/>
        <v/>
      </c>
      <c r="C136" s="95"/>
      <c r="D136" s="57"/>
      <c r="E136" s="58"/>
      <c r="F136" s="54"/>
      <c r="G136" s="52"/>
      <c r="H136" s="52"/>
      <c r="I136" s="61"/>
      <c r="J136" s="62"/>
      <c r="K136" s="129" t="str">
        <f t="shared" si="20"/>
        <v/>
      </c>
      <c r="L136" s="103" t="str">
        <f t="shared" si="21"/>
        <v/>
      </c>
      <c r="M136" s="52">
        <v>0</v>
      </c>
      <c r="N136" s="102" t="str">
        <f t="shared" si="22"/>
        <v/>
      </c>
      <c r="O136" s="103" t="str">
        <f t="shared" si="23"/>
        <v/>
      </c>
      <c r="P136" s="52">
        <v>0</v>
      </c>
      <c r="Q136" s="102" t="str">
        <f t="shared" si="24"/>
        <v/>
      </c>
      <c r="R136" s="103" t="str">
        <f t="shared" si="25"/>
        <v/>
      </c>
      <c r="S136" s="52">
        <v>0</v>
      </c>
      <c r="T136" s="102" t="str">
        <f t="shared" si="26"/>
        <v/>
      </c>
      <c r="U136" s="103" t="str">
        <f t="shared" si="27"/>
        <v/>
      </c>
      <c r="V136" s="52">
        <v>0</v>
      </c>
      <c r="W136" s="87" t="str">
        <f t="shared" si="28"/>
        <v/>
      </c>
      <c r="X136" s="103" t="str">
        <f t="shared" si="29"/>
        <v/>
      </c>
      <c r="Y136" s="52">
        <v>0</v>
      </c>
      <c r="Z136" s="56" t="str">
        <f t="shared" si="30"/>
        <v/>
      </c>
      <c r="AA136" s="56" t="str">
        <f t="shared" si="31"/>
        <v/>
      </c>
      <c r="AB136" s="56" t="str">
        <f t="shared" si="32"/>
        <v/>
      </c>
      <c r="AC136" s="56" t="str">
        <f t="shared" si="33"/>
        <v/>
      </c>
      <c r="AD136" s="56" t="str">
        <f t="shared" si="34"/>
        <v/>
      </c>
      <c r="AE136" s="40"/>
      <c r="AF136" s="40"/>
      <c r="AG136" s="40"/>
      <c r="AH136" s="56" t="str">
        <f t="shared" si="35"/>
        <v/>
      </c>
      <c r="AI136" s="54"/>
      <c r="AJ136" s="54"/>
      <c r="AK136" s="54"/>
      <c r="AL136" s="54"/>
      <c r="AM136" s="54"/>
    </row>
    <row r="137" spans="1:39">
      <c r="A137" s="45" t="str" cm="1">
        <f t="array" ref="A137">IF(H137="PROJECT", CHAR(10) &amp; "- " &amp; _xlfn.TEXTJOIN(CHAR(10) &amp; "- ", TRUE, _xlfn._xlws.FILTER($I$9:$I$1000, ($B$9:$B$1000=B137) * ($H$9:$H$1000="Topic"))), "")</f>
        <v/>
      </c>
      <c r="B137" s="45" t="str">
        <f t="shared" si="19"/>
        <v/>
      </c>
      <c r="C137" s="95"/>
      <c r="D137" s="46"/>
      <c r="E137" s="58"/>
      <c r="F137" s="67"/>
      <c r="G137" s="53"/>
      <c r="H137" s="53"/>
      <c r="I137" s="50"/>
      <c r="J137" s="51"/>
      <c r="K137" s="129" t="str">
        <f t="shared" si="20"/>
        <v/>
      </c>
      <c r="L137" s="103" t="str">
        <f t="shared" si="21"/>
        <v/>
      </c>
      <c r="M137" s="53">
        <v>0</v>
      </c>
      <c r="N137" s="102" t="str">
        <f t="shared" si="22"/>
        <v/>
      </c>
      <c r="O137" s="103" t="str">
        <f t="shared" si="23"/>
        <v/>
      </c>
      <c r="P137" s="53">
        <v>0</v>
      </c>
      <c r="Q137" s="102" t="str">
        <f t="shared" si="24"/>
        <v/>
      </c>
      <c r="R137" s="103" t="str">
        <f t="shared" si="25"/>
        <v/>
      </c>
      <c r="S137" s="53">
        <v>0</v>
      </c>
      <c r="T137" s="102" t="str">
        <f t="shared" si="26"/>
        <v/>
      </c>
      <c r="U137" s="103" t="str">
        <f t="shared" si="27"/>
        <v/>
      </c>
      <c r="V137" s="53">
        <v>0</v>
      </c>
      <c r="W137" s="87" t="str">
        <f t="shared" si="28"/>
        <v/>
      </c>
      <c r="X137" s="103" t="str">
        <f t="shared" si="29"/>
        <v/>
      </c>
      <c r="Y137" s="53">
        <v>0</v>
      </c>
      <c r="Z137" s="56" t="str">
        <f t="shared" si="30"/>
        <v/>
      </c>
      <c r="AA137" s="56" t="str">
        <f t="shared" si="31"/>
        <v/>
      </c>
      <c r="AB137" s="56" t="str">
        <f t="shared" si="32"/>
        <v/>
      </c>
      <c r="AC137" s="56" t="str">
        <f t="shared" si="33"/>
        <v/>
      </c>
      <c r="AD137" s="56" t="str">
        <f t="shared" si="34"/>
        <v/>
      </c>
      <c r="AE137" s="40"/>
      <c r="AF137" s="40"/>
      <c r="AG137" s="40"/>
      <c r="AH137" s="56" t="str">
        <f t="shared" ref="AH137:AH168" si="36">IF(AE137=$B$6,AG137,"")</f>
        <v/>
      </c>
      <c r="AI137" s="54"/>
      <c r="AJ137" s="54"/>
      <c r="AK137" s="54"/>
      <c r="AL137" s="54"/>
      <c r="AM137" s="54"/>
    </row>
    <row r="138" spans="1:39">
      <c r="A138" s="45" t="str" cm="1">
        <f t="array" ref="A138">IF(H138="PROJECT", CHAR(10) &amp; "- " &amp; _xlfn.TEXTJOIN(CHAR(10) &amp; "- ", TRUE, _xlfn._xlws.FILTER($I$9:$I$1000, ($B$9:$B$1000=B138) * ($H$9:$H$1000="Topic"))), "")</f>
        <v/>
      </c>
      <c r="B138" s="45" t="str">
        <f t="shared" ref="B138:B200" si="37">IF(H138="","",IF(AND(H138="Topic",H137="PROJECT"),B137+1,IF(H138="PROJECT",B137,IF(AND(H138="Topic",H137="Topic"),B137,B137+1))))</f>
        <v/>
      </c>
      <c r="C138" s="95"/>
      <c r="D138" s="57"/>
      <c r="E138" s="58"/>
      <c r="F138" s="54"/>
      <c r="G138" s="52"/>
      <c r="H138" s="52"/>
      <c r="I138" s="61"/>
      <c r="J138" s="62"/>
      <c r="K138" s="129" t="str">
        <f t="shared" ref="K138:K200" si="38">IF(H138="Topic",
"[ROLE] Friendly tutor specializing in " &amp; $I$2 &amp; " | " &amp;
"[TOPIC] " &amp; I138 &amp; " | " &amp;
"[LEVEL] " &amp; G138 &amp; " | " &amp;
"[COUNT] " &amp; D138 &amp; " examples | " &amp;
"[LIBRARY BEING LEARNED] " &amp; $I$3 &amp; " | " &amp;
"[ECOSYSTEM ORIENTATION RULE] If a data manipulation library, external package, or ecosystem like Pandas or NumPy is specified in " &amp; $I$3 &amp; _xlfn._LONGTEXT(",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$C138 &amp; " lines of EXECUTABLE code (STRICT: Do NOT count comments or blank lines). - NEVER exceed this limit. | " &amp;
"[FUNCTION RULE] Rule: " &amp; IF(G138="Beginner","Focus strictly on basic class definitions, constructors, properties, and object instantiation inside main(). DO NOT use procedural scripts.", IF(G138="Intermediate", "STRICT REQUIREMENT: Integrate custom class definitions ('class'), constructors, instance methods, and getters/setters in EVERY example.", "Advanced OOP &amp; patterns: abstract classes, mixins, factory/named constructors, interfaces ('implements'), extensions, and overriding ('@override').")) &amp; " | " &amp;
_xlfn._LONGTEXT("[CODE_CONSTRAINTS_RULE]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 &amp;
"[I_O_PARADIGM] Use Basic primitive types (int, double, String, bool) or simple List/Map structures within classes. and gracefully handle print() statements with string interpolation to display outputs clearly. when applicable. | " &amp;
"[INLINE_PACKAGE_MANAGER] If using external packages, use Dart native classes, constructors, OOP patterns, and standard core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F138 &amp; " | Stage 1 📖 Practice | " &amp; IF($I$3="", $I$2, $I$2&amp; " - " &amp;$I$3) &amp; " | 📊 Level: " &amp; G138 &amp; " | 🌐 Coding5s.com" &amp; CHAR(10) &amp; "**Concept:** " &amp; J138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D138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IF(AJ138&lt;&gt;"", AJ138,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IF(H138="PROJECT", Z138, ""))</f>
        <v/>
      </c>
      <c r="L138" s="103" t="str">
        <f t="shared" ref="L138:L200" si="39">IF(OR(H138="Topic", UPPER(H138)="PROJECT"),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IF(UPPER(H138)="PROJECT", "building a PROJECT: " &amp; I138 &amp; ". Topics applied in this project: " &amp; A138 &amp; ". Project objective: " &amp; J138, "learning: " &amp; I138 &amp; ". Topic details: " &amp; J138)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IF(G138="Beginner", "Evaluate based on basic class instantiation, constructors, and property access inside main(). Do NOT expect advanced mixins or factories unless explicitly demanded.", IF(G138="Intermediate", "Expect clean class definitions, proper encapsulation (using '_'), named constructors, and correct 'this' usage. Enforce solid OOP principles.", "Expect advanced OOP architecture using abstract classes, mixins, factory constructors, interfaces, overriding, and composition.")) &amp; " | " &amp;
_xlfn._LONGTEXT("[CODE_QUALITY_POLICIES]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&amp; IF(AJ138&lt;&gt;"", "[MENTOR CONTEXT ALERT] Be aware of the following infrastructure limitation for this exercise: " &amp; AJ138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IF(UPPER(H138)="PROJECT",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IF(UPPER(H138)="PROJECT",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IF(UPPER(H138)="PROJECT", "Project #", "Topic #") &amp; F138 &amp; " | Practice | " &amp; IF($I$3="", $I$2, $I$2&amp; " - " &amp;$I$3) &amp; " | 📊 Level: " &amp; G138 &amp; CHAR(10) &amp; "**" &amp; IF(UPPER(H138)="PROJECT", "Project", "Topic") &amp; ":** " &amp; I138 &amp; CHAR(10) &amp; "---" &amp; CHAR(10) &amp; " | " &amp;
"[FOOTER RULE - STRICT] End your response with: '--- ⚡ *Coding5s Mentor System — Eliminating Epistemic Debt*' | ","")</f>
        <v/>
      </c>
      <c r="M138" s="52">
        <v>0</v>
      </c>
      <c r="N138" s="102" t="str">
        <f t="shared" ref="N138:N200" si="40">IF(H138="Topic",
"[ROLE] Careless " &amp; $I$2 &amp; " Developer | " &amp;
"[TASK] Generate debugging challenges in " &amp; $I$2 &amp; " | | " &amp;
"[TOPIC] " &amp; I138 &amp; " | | " &amp;
"[LEVEL] " &amp; G138 &amp; "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
"[HEADER RULE - STRICT] You MUST start your entire response EXACTLY with this markdown block (do not print anything before it):" &amp; CHAR(10) &amp; "### 🔹 Topic #" &amp; F138 &amp; " | Stage 2 🐛 Debug | " &amp; IF($I$3="", $I$2, $I$2&amp; " - " &amp;$I$3) &amp; " | 📊 Level: " &amp; G138 &amp; " | 🌐 Coding5s.com" &amp; CHAR(10) &amp; "Concept: " &amp; J138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complex dart test suites; keep object validation inside main(). | " &amp;
"[DEPENDENCY_MANAGEMENT_RULE] Standard Dart runtime context. If external packages are needed, specify them strictly in pubspec.yaml support files. | " &amp;
"[CODE CONSTRAINTS] Each challenge MUST include: internal data OR collection usage, at least 1 print statement, at least 1 loop (when applicable), EXACTLY 1 class definition, 1 constructor, and EXACTLY 1 class instantiation within main(). - " &amp; IF(G138="Beginner", "5–15", IF(G138="Intermediate", "10–25", "15–35")) &amp; " lines of EXECUTABLE broken Dart code per challenge (STRICT: Do NOT count blank lines). All logic MUST be encapsulated inside class methods and executed via main().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D138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IF(H138="PROJECT", AA138, ""))</f>
        <v/>
      </c>
      <c r="O138" s="103" t="str">
        <f t="shared" ref="O138:O200" si="41">IF(OR(H138="Topic", UPPER(H138)="PROJECT"),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IF(UPPER(H138)="PROJECT", "PROJECT: " &amp; I138 &amp; ". Topics involved: " &amp; A138 &amp; ". Project objective: " &amp; J138, "TOPIC: " &amp; I138 &amp; ". Topic details: " &amp; J138)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IF(UPPER(H138)="PROJECT", "Project #", "Topic #") &amp; F138 &amp; " | Debug | " &amp; IF($I$3="", $I$2, $I$2&amp; " - " &amp;$I$3) &amp; " | 📊 Level: " &amp; G138 &amp; CHAR(10) &amp; "**" &amp; IF(UPPER(H138)="PROJECT", "Project", "Topic") &amp; ":** " &amp; I138 &amp; CHAR(10) &amp; "---" &amp; CHAR(10) &amp; " | " &amp;
_xlfn._LONGTEXT("[CORE_QUALITY_POLICY]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38" s="52">
        <v>0</v>
      </c>
      <c r="Q138" s="102" t="str">
        <f t="shared" ref="Q138:Q200" si="42">IF(H138="Topic",
"[ROLE] Tech Lead | " &amp;
"[TASK] Assign incomplete " &amp; $I$2 &amp; " script challenges | " &amp;
"[TOPIC] " &amp; I138 &amp; " | " &amp;
"[LEVEL] " &amp; G138 &amp;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
"[HEADER RULE - STRICT] You MUST start your entire response EXACTLY with this markdown block (do not print anything before it):" &amp; CHAR(10) &amp; "### 🔹 Topic #" &amp; F138 &amp; " | Stage 3 🧩 Complete | " &amp; IF($I$3="", $I$2, $I$2&amp; " - " &amp;$I$3) &amp; " | 📊 Level: " &amp; G138 &amp; " | 🌐 Coding5s.com" &amp; CHAR(10) &amp; "**Concept:** " &amp; J138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Strictly ZERO external pub.dev packages required for beginner topics. | " &amp;
"[TESTING_FRAMEWORK_PROTOCOL] Simple console output verification via standard print() statements. | " &amp;
"[CHALLENGE_CONSTRAINTS_POLICY] For Beginner level, // TODO MUST be atomic (1-2 simple lines max, e.g., basic property assignment, method call, or direct comparison). NO complex buffer redirections or string parsing. - " &amp; IF(G138="Beginner","5–15", IF(G138="Intermediate","10–25","15–35")) &amp; " 5-15 lines of EXECUTABLE base code with a main() entry point. Code outside // TODO MUST be 100% valid and readable. All code MUST be encapsulated within a class structure.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D138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I138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IF(G138="Beginner", "Clear explicit hint (no code) | ", IF(G138="Intermediate",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IF(H138="PROJECT", AB138, ""))</f>
        <v/>
      </c>
      <c r="R138" s="103" t="str">
        <f t="shared" ref="R138:R200" si="43">IF(OR(H138="Topic", UPPER(H138)="PROJECT"),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IF(UPPER(H138)="PROJECT", "PROJECT: " &amp; I138 &amp; ". Topics involved: " &amp; A138 &amp; ". Project objective: " &amp; J138, "TOPIC: " &amp; I138 &amp; ". Topic details: " &amp; J138)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IF(UPPER(H138)="PROJECT", "Project #", "Topic #") &amp; F138 &amp; " | Complete | " &amp; IF($I$3="", $I$2, $I$2&amp; " - " &amp;$I$3) &amp; " | 📊 Level: " &amp; G138 &amp; CHAR(10) &amp; "**" &amp; IF(UPPER(H138)="PROJECT", "Project", "Topic") &amp; ":** " &amp; I138 &amp; CHAR(10) &amp; "---" &amp; CHAR(10) &amp; " | " &amp;
_xlfn._LONGTEXT("[CORE_QUALITY_POLICY]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38" s="52">
        <v>0</v>
      </c>
      <c r="T138" s="102" t="str">
        <f t="shared" ref="T138:T200" si="44">IF(H138="Topic",
"[ROLE] Tech Lead | " &amp;
"[TASK] Provide intentionally messy but functional code for learning debugging and improvement | " &amp;
"[TOPIC] " &amp; I138 &amp; " | " &amp;
"[LEVEL] " &amp; G138 &amp; " | " &amp;
"[COUNT] " &amp; D138 &amp; " challenges | " &amp;
"[LIBRARY BEING LEARNED] " &amp; $I$3 &amp; " | " &amp;
_xlfn._LONGTEXT("[ECOSYSTEM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F138 &amp; " | Stage 4 🧹 Refactor | " &amp; IF($I$3="", $I$2, $I$2&amp; " - " &amp;$I$3) &amp; " | 📊 Level: " &amp; G138 &amp; " | 🌐 Coding5s.com" &amp; CHAR(10) &amp; "**Concept:** " &amp; J138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D138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IF(G138="Beginner", "5–15", IF(G138="Intermediate",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IF(H138="PROJECT", AC138, ""))</f>
        <v/>
      </c>
      <c r="U138" s="103" t="str">
        <f t="shared" ref="U138:U200" si="45">IF(OR(H138="Topic", UPPER(H138)="PROJECT"),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IF(UPPER(H138)="PROJECT", "PROJECT: " &amp; I138 &amp; ". Topics involved: " &amp; A138 &amp; ". Project objective: " &amp; J138, "TOPIC: " &amp; I138 &amp; ". Topic details: " &amp; J138)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IF(UPPER(H138)="PROJECT", "Project #", "Topic #") &amp; F138 &amp; " | Refactor | " &amp; IF($I$3="", $I$2, $I$2&amp; " - " &amp;$I$3) &amp; " | 📊 Level: " &amp; G138 &amp; CHAR(10) &amp; "**" &amp; IF(UPPER(H138)="PROJECT", "Project", "Topic") &amp; ":** " &amp; I138 &amp; CHAR(10) &amp; "---" &amp; CHAR(10) &amp; " | " &amp;
_xlfn._LONGTEXT("[PYTHON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38" s="52">
        <v>0</v>
      </c>
      <c r="W138" s="87" t="str">
        <f t="shared" ref="W138:W200" si="46">IF(H138="Topic",
"[ROLE] Tech Product Manager assigning a " &amp; $I$2 &amp; " Jira Ticket | " &amp;
"[TASK] Provide a guided implementation exercise with full solution for learning purposes | " &amp;
"[TOPIC] " &amp; I138 &amp; " | " &amp;
"[LEVEL] " &amp; G138 &amp; " | " &amp;
"[LIBRARY BEING LEARNED] " &amp; $I$3 &amp; " | " &amp;
_xlfn._LONGTEXT("[ECOSYSTEM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F138 &amp; " | Stage 5 | " &amp; IF($I$3="", $I$2, $I$2&amp; " - " &amp;$I$3) &amp; " | 📊 Level: " &amp; G138 &amp; " | 🌐 Coding5s.com" &amp; CHAR(10) &amp; "**Concept:** " &amp; J138 &amp; CHAR(10) &amp; "---" &amp; CHAR(10) &amp; " | " &amp;
"[FUNCTIONAL_STRUCTURE_POLICY] Rule: " &amp; IF(G138="Beginner", "Use simple scripts or minimal functions. ", IF(G138="Intermediate",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IF(G138="Beginner", "10–20", IF(G138="Intermediate", "15–30", "25–40")) &amp; " lines of EXECUTABLE code (STRICT) - V1.1 MUST be between " &amp; IF(G138="Beginner", "15–30", IF(G138="Intermediate",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IF(H138="PROJECT", AD138, ""))</f>
        <v/>
      </c>
      <c r="X138" s="103" t="str">
        <f t="shared" ref="X138:X200" si="47">IF(OR(H138="Topic", UPPER(H138)="PROJECT"),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IF(UPPER(H138)="PROJECT", "PROJECT: " &amp; I138 &amp; ". Topics integrated: " &amp; A138 &amp; ". Business Goal: " &amp; J138, "TOPIC: " &amp; I138 &amp; ". Goal: " &amp; J138)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IF(UPPER(H138)="PROJECT", "Project #", "Topic #") &amp; F138 &amp; " | Extend | " &amp; IF($I$3="", $I$2, $I$2&amp; " - " &amp;$I$3) &amp; " | 📊 Level: " &amp; G138 &amp; CHAR(10) &amp; "**" &amp; IF(UPPER(H138)="PROJECT", "Project", "Topic") &amp; ":** " &amp; I138 &amp; CHAR(10) &amp; "---" &amp; CHAR(10) &amp; " | " &amp;
_xlfn._LONGTEXT("[CODE_QUALITY_PROTOCOL]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38" s="52">
        <v>0</v>
      </c>
      <c r="Z138" s="56" t="str">
        <f t="shared" ref="Z138:Z200" si="48">IF(H138&lt;&gt;"PROJECT","",
"[TASK] Teach through a practical " &amp; $I$2 &amp; " - " &amp; $I$3 &amp; " project following the micro-learning methodology, acting as a supportive tutor, creating a project about  " &amp; I138 &amp; " | " &amp;
"[TOPICS USED] " &amp; A138 &amp; " | " &amp;
"[LEVEL] " &amp; G138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Dart native classes, constructors, OOP patterns, and standard core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script sections (e.g., '// --- BLOQUE 1: [NAME] ---') to map code to the planning phase. 2. Use comprehensive doc comments using triple slashes ('///') explaining class purposes, parameter","s, return types, and exceptions. 3. CRITICAL: NO comment or docstring line may exceed 80 characters (Effective Dart standard) in width. | ") &amp;
"[DATA ROBUSTNESS RULE] Handle real-world data safely | " &amp;
"[CODE CONSTRAINTS] MUST be between " &amp; IF(G138="Beginner", "25–40", IF(G138="Intermediate",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F138 &amp; " | Stage 1 | " &amp; IF($I$3="", $I$2, $I$2&amp; " - " &amp;$I$3) &amp; " | 📊 Level: " &amp; G138 &amp; " | 🌐 Coding5s.com" &amp; CHAR(10) &amp; "**Project:** " &amp; J138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38" s="56" t="str">
        <f t="shared" ref="AA138:AA200" si="49">IF(H138&lt;&gt;"PROJECT","",
"[ROLE] Careless " &amp; $I$2 &amp; " Developer | " &amp;
"[TASK] Generate debugging project in " &amp; $I$2 &amp; " | " &amp;
"[PROJECT] " &amp; I138 &amp; " | " &amp;
"[TOPICS USED] " &amp; A138 &amp; " | " &amp;
"[LEVEL] " &amp; G138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F138 &amp; " | Stage 2 | " &amp; IF($I$3="", $I$2, $I$2&amp; " - " &amp;$I$3) &amp; " | 📊 Level: " &amp; G138 &amp; " | 🌐 Coding5s.com" &amp; CHAR(10) &amp; "Project: " &amp; J138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AE136 &amp; " | " &amp;
"[LANGUAGE SEED CONTEXT] " &amp; IF($AE$7 = "", "Language Seed Not Necessary", "You MUST strictly follow this seed context to enhance, adapt, and naturalize your tone, vocabulary, and instructional quality in " &amp; $B$6 &amp; ": " &amp; $AE$7) &amp; " | " &amp;
_xlfn._LONGTEXT("[BUG RULE] Simulate a messy Dart OOP script. The project MUST contain EXACTLY 2-5 bugs mixing Syntax errors, Null-safety errors, OOP/Encapsulation logic errors, and Runtime Exceptions. 1. Syntax &amp; Type Errors (e.g., missing semicolons/brackets, type misma","tches, constructor syntax errors, unhandled null access violating strict null safety), 2. Logic Errors (e.g., incorrect calculations, faulty comparison operators, improper encapsulation/getters, wrong return values), AND 3. Runtime Exceptions (e.g., State","Error, RangeError, FormatException, NoSuchMethodError due to bad casting).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IF(G138="Beginner", "25–40", IF(G138="Intermediate", "30–60", "40–100")) &amp; " lines of EXECUTABLE code (STRICT: Do NOT count blank lines towards this limit) - Multi-step flow - 2–4 functions ONLY - main() as entry point " &amp; IF(G138&lt;&gt;"Advanced",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38" s="56" t="str">
        <f t="shared" ref="AB138:AB200" si="50">IF(H138&lt;&gt;"PROJECT","",
"[ROLE] Tech Lead | " &amp;
"[TASK] Assign incomplete project script | " &amp;
"[PROJECT] " &amp; I138 &amp; " | " &amp;
"[TOPICS USED] " &amp; A138 &amp; " | " &amp;
"[LEVEL] " &amp; G138 &amp; " | " &amp;
"[LIBRARY BEING LEARNED] " &amp; $I$3 &amp; " | " &amp;
"[ECOSYSTEM ORIENTATION RULE] If a data manipulation library, external package, or ecosystem like Pandas or NumPy is specified in " &amp; $I$3 &amp; _xlfn._LONGTEXT(",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F138 &amp; " | Stage 3 | " &amp; IF($I$3="", $I$2, $I$2&amp; " - " &amp;$I$3) &amp; " | 📊 Level: " &amp; G138 &amp; " | 🌐 Coding5s.com" &amp; CHAR(10) &amp; "**Project:** " &amp; J138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IF(G138="Beginner","25–40", IF(G138="Intermediate","30–60","40–100")) &amp; " Class-based object architecture. Require at least 1 class with internal state management.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38" s="56" t="str">
        <f t="shared" ref="AC138:AC200" si="51">IF(H138&lt;&gt;"PROJECT","",
"[ROLE] Tech Lead | " &amp;
"[TASK] Provide a messy but functional project for refactoring | " &amp;
"[PROJECT] " &amp; I138 &amp; " | " &amp;
"[TOPICS USED] " &amp; A138 &amp; " | " &amp;
"[LEVEL] " &amp; G138 &amp; " | " &amp;
"[PERSONA RULE] Act as a Tech Lead. A junior wrote this working but messy code. Tone: professional but exhausted | " &amp;
"[HEADER RULE - STRICT] You MUST start your entire response EXACTLY with this markdown block (do not print anything before it):" &amp; CHAR(10) &amp; "### 🚀 Project #" &amp; F138 &amp; " | Stage 4 | " &amp; IF($I$3="", $I$2, $I$2&amp; " - " &amp;$I$3) &amp; " | 📊 Level: " &amp; G138 &amp; " | 🌐 Coding5s.com" &amp; CHAR(10) &amp; "**Project:** " &amp; J138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IF(G138="Beginner", "25–40", IF(G138="Intermediate",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38" s="56" t="str">
        <f t="shared" ref="AD138:AD200" si="52">IF(H138&lt;&gt;"PROJECT","",
"[ROLE] Tech Product Manager assigning a " &amp; $I$2 &amp; " Jira Ticket | " &amp;
"[TASK] Provide a guided project implementation with full solution | " &amp;
"[PROJECT] " &amp; I138 &amp; " | " &amp;
"[TOPICS USED] " &amp; A138 &amp; " | " &amp;
"[LEVEL] " &amp; G138 &amp; " | " &amp;
"[PERSONA RULE] Act as a professional Tech Product Manager defining a project ticket | " &amp;
"[LIBRARY BEING LEARNED] " &amp; $I$3 &amp; " | " &amp;
_xlfn._LONGTEXT("[ECOSYSTEM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 &amp;
"[HEADER RULE - STRICT] You MUST start your entire response EXACTLY with this markdown block (do not print anything before it):" &amp; CHAR(10) &amp; "### 🚀 Project #" &amp; F138 &amp; " | Stage 5 | " &amp; IF($I$3="", $I$2, $I$2&amp; " - " &amp;$I$3) &amp; " | 📊 Level: " &amp; G138 &amp; " | 🌐 Coding5s.com" &amp; CHAR(10) &amp; "**Project:** " &amp; J138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IF(G138="Beginner", "20–35", IF(G138="Intermediate", "30–50", "45–70")) &amp; " lines of EXECUTABLE code (STRICT) - V1.1 MUST be between " &amp; IF(G138="Beginner", "30–50", IF(G138="Intermediate",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IF(G138="Beginner", "Avoid complex structure. ", IF(G138="Intermediate",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38" s="40"/>
      <c r="AF138" s="40"/>
      <c r="AG138" s="40"/>
      <c r="AH138" s="56" t="str">
        <f t="shared" si="36"/>
        <v/>
      </c>
      <c r="AI138" s="54"/>
      <c r="AJ138" s="54"/>
      <c r="AK138" s="54"/>
      <c r="AL138" s="54"/>
      <c r="AM138" s="54"/>
    </row>
    <row r="139" spans="1:39">
      <c r="A139" s="45" t="str" cm="1">
        <f t="array" ref="A139">IF(H139="PROJECT", CHAR(10) &amp; "- " &amp; _xlfn.TEXTJOIN(CHAR(10) &amp; "- ", TRUE, _xlfn._xlws.FILTER($I$9:$I$1000, ($B$9:$B$1000=B139) * ($H$9:$H$1000="Topic"))), "")</f>
        <v/>
      </c>
      <c r="B139" s="45" t="str">
        <f t="shared" si="37"/>
        <v/>
      </c>
      <c r="C139" s="95"/>
      <c r="D139" s="46"/>
      <c r="E139" s="58"/>
      <c r="F139" s="67"/>
      <c r="G139" s="53"/>
      <c r="H139" s="53"/>
      <c r="I139" s="50"/>
      <c r="J139" s="51"/>
      <c r="K139" s="129" t="str">
        <f t="shared" si="38"/>
        <v/>
      </c>
      <c r="L139" s="103" t="str">
        <f t="shared" si="39"/>
        <v/>
      </c>
      <c r="M139" s="53">
        <v>0</v>
      </c>
      <c r="N139" s="102" t="str">
        <f t="shared" si="40"/>
        <v/>
      </c>
      <c r="O139" s="103" t="str">
        <f t="shared" si="41"/>
        <v/>
      </c>
      <c r="P139" s="53">
        <v>0</v>
      </c>
      <c r="Q139" s="102" t="str">
        <f t="shared" si="42"/>
        <v/>
      </c>
      <c r="R139" s="103" t="str">
        <f t="shared" si="43"/>
        <v/>
      </c>
      <c r="S139" s="53">
        <v>0</v>
      </c>
      <c r="T139" s="102" t="str">
        <f t="shared" si="44"/>
        <v/>
      </c>
      <c r="U139" s="103" t="str">
        <f t="shared" si="45"/>
        <v/>
      </c>
      <c r="V139" s="53">
        <v>0</v>
      </c>
      <c r="W139" s="87" t="str">
        <f t="shared" si="46"/>
        <v/>
      </c>
      <c r="X139" s="103" t="str">
        <f t="shared" si="47"/>
        <v/>
      </c>
      <c r="Y139" s="53">
        <v>0</v>
      </c>
      <c r="Z139" s="56" t="str">
        <f t="shared" si="48"/>
        <v/>
      </c>
      <c r="AA139" s="56" t="str">
        <f t="shared" si="49"/>
        <v/>
      </c>
      <c r="AB139" s="56" t="str">
        <f t="shared" si="50"/>
        <v/>
      </c>
      <c r="AC139" s="56" t="str">
        <f t="shared" si="51"/>
        <v/>
      </c>
      <c r="AD139" s="56" t="str">
        <f t="shared" si="52"/>
        <v/>
      </c>
      <c r="AE139" s="40"/>
      <c r="AF139" s="40"/>
      <c r="AG139" s="40"/>
      <c r="AH139" s="56" t="str">
        <f t="shared" si="36"/>
        <v/>
      </c>
      <c r="AI139" s="54"/>
      <c r="AJ139" s="54"/>
      <c r="AK139" s="54"/>
      <c r="AL139" s="54"/>
      <c r="AM139" s="54"/>
    </row>
    <row r="140" spans="1:39">
      <c r="A140" s="45" t="str" cm="1">
        <f t="array" ref="A140">IF(H140="PROJECT", CHAR(10) &amp; "- " &amp; _xlfn.TEXTJOIN(CHAR(10) &amp; "- ", TRUE, _xlfn._xlws.FILTER($I$9:$I$1000, ($B$9:$B$1000=B140) * ($H$9:$H$1000="Topic"))), "")</f>
        <v/>
      </c>
      <c r="B140" s="45" t="str">
        <f t="shared" si="37"/>
        <v/>
      </c>
      <c r="C140" s="95"/>
      <c r="D140" s="57"/>
      <c r="E140" s="58"/>
      <c r="F140" s="54"/>
      <c r="G140" s="52"/>
      <c r="H140" s="52"/>
      <c r="I140" s="61"/>
      <c r="J140" s="62"/>
      <c r="K140" s="129" t="str">
        <f t="shared" si="38"/>
        <v/>
      </c>
      <c r="L140" s="103" t="str">
        <f t="shared" si="39"/>
        <v/>
      </c>
      <c r="M140" s="52">
        <v>0</v>
      </c>
      <c r="N140" s="102" t="str">
        <f t="shared" si="40"/>
        <v/>
      </c>
      <c r="O140" s="103" t="str">
        <f t="shared" si="41"/>
        <v/>
      </c>
      <c r="P140" s="52">
        <v>0</v>
      </c>
      <c r="Q140" s="102" t="str">
        <f t="shared" si="42"/>
        <v/>
      </c>
      <c r="R140" s="103" t="str">
        <f t="shared" si="43"/>
        <v/>
      </c>
      <c r="S140" s="52">
        <v>0</v>
      </c>
      <c r="T140" s="102" t="str">
        <f t="shared" si="44"/>
        <v/>
      </c>
      <c r="U140" s="103" t="str">
        <f t="shared" si="45"/>
        <v/>
      </c>
      <c r="V140" s="52">
        <v>0</v>
      </c>
      <c r="W140" s="87" t="str">
        <f t="shared" si="46"/>
        <v/>
      </c>
      <c r="X140" s="103" t="str">
        <f t="shared" si="47"/>
        <v/>
      </c>
      <c r="Y140" s="52">
        <v>0</v>
      </c>
      <c r="Z140" s="56" t="str">
        <f t="shared" si="48"/>
        <v/>
      </c>
      <c r="AA140" s="56" t="str">
        <f t="shared" si="49"/>
        <v/>
      </c>
      <c r="AB140" s="56" t="str">
        <f t="shared" si="50"/>
        <v/>
      </c>
      <c r="AC140" s="56" t="str">
        <f t="shared" si="51"/>
        <v/>
      </c>
      <c r="AD140" s="56" t="str">
        <f t="shared" si="52"/>
        <v/>
      </c>
      <c r="AE140" s="40"/>
      <c r="AF140" s="40"/>
      <c r="AG140" s="40"/>
      <c r="AH140" s="56" t="str">
        <f t="shared" si="36"/>
        <v/>
      </c>
      <c r="AI140" s="54"/>
      <c r="AJ140" s="54"/>
      <c r="AK140" s="54"/>
      <c r="AL140" s="54"/>
      <c r="AM140" s="54"/>
    </row>
    <row r="141" spans="1:39">
      <c r="A141" s="45" t="str" cm="1">
        <f t="array" ref="A141">IF(H141="PROJECT", CHAR(10) &amp; "- " &amp; _xlfn.TEXTJOIN(CHAR(10) &amp; "- ", TRUE, _xlfn._xlws.FILTER($I$9:$I$1000, ($B$9:$B$1000=B141) * ($H$9:$H$1000="Topic"))), "")</f>
        <v/>
      </c>
      <c r="B141" s="45" t="str">
        <f t="shared" si="37"/>
        <v/>
      </c>
      <c r="C141" s="95"/>
      <c r="D141" s="46"/>
      <c r="E141" s="58"/>
      <c r="F141" s="67"/>
      <c r="G141" s="53"/>
      <c r="H141" s="53"/>
      <c r="I141" s="50"/>
      <c r="J141" s="51"/>
      <c r="K141" s="129" t="str">
        <f t="shared" si="38"/>
        <v/>
      </c>
      <c r="L141" s="103" t="str">
        <f t="shared" si="39"/>
        <v/>
      </c>
      <c r="M141" s="53">
        <v>0</v>
      </c>
      <c r="N141" s="102" t="str">
        <f t="shared" si="40"/>
        <v/>
      </c>
      <c r="O141" s="103" t="str">
        <f t="shared" si="41"/>
        <v/>
      </c>
      <c r="P141" s="53">
        <v>0</v>
      </c>
      <c r="Q141" s="102" t="str">
        <f t="shared" si="42"/>
        <v/>
      </c>
      <c r="R141" s="103" t="str">
        <f t="shared" si="43"/>
        <v/>
      </c>
      <c r="S141" s="53">
        <v>0</v>
      </c>
      <c r="T141" s="102" t="str">
        <f t="shared" si="44"/>
        <v/>
      </c>
      <c r="U141" s="103" t="str">
        <f t="shared" si="45"/>
        <v/>
      </c>
      <c r="V141" s="53">
        <v>0</v>
      </c>
      <c r="W141" s="87" t="str">
        <f t="shared" si="46"/>
        <v/>
      </c>
      <c r="X141" s="103" t="str">
        <f t="shared" si="47"/>
        <v/>
      </c>
      <c r="Y141" s="53">
        <v>0</v>
      </c>
      <c r="Z141" s="56" t="str">
        <f t="shared" si="48"/>
        <v/>
      </c>
      <c r="AA141" s="56" t="str">
        <f t="shared" si="49"/>
        <v/>
      </c>
      <c r="AB141" s="56" t="str">
        <f t="shared" si="50"/>
        <v/>
      </c>
      <c r="AC141" s="56" t="str">
        <f t="shared" si="51"/>
        <v/>
      </c>
      <c r="AD141" s="56" t="str">
        <f t="shared" si="52"/>
        <v/>
      </c>
      <c r="AE141" s="40"/>
      <c r="AF141" s="40"/>
      <c r="AG141" s="40"/>
      <c r="AH141" s="56" t="str">
        <f t="shared" si="36"/>
        <v/>
      </c>
      <c r="AI141" s="54"/>
      <c r="AJ141" s="54"/>
      <c r="AK141" s="54"/>
      <c r="AL141" s="54"/>
      <c r="AM141" s="54"/>
    </row>
    <row r="142" spans="1:39">
      <c r="A142" s="45" t="str" cm="1">
        <f t="array" ref="A142">IF(H142="PROJECT", CHAR(10) &amp; "- " &amp; _xlfn.TEXTJOIN(CHAR(10) &amp; "- ", TRUE, _xlfn._xlws.FILTER($I$9:$I$1000, ($B$9:$B$1000=B142) * ($H$9:$H$1000="Topic"))), "")</f>
        <v/>
      </c>
      <c r="B142" s="45" t="str">
        <f t="shared" si="37"/>
        <v/>
      </c>
      <c r="C142" s="95"/>
      <c r="D142" s="57"/>
      <c r="E142" s="58"/>
      <c r="F142" s="54"/>
      <c r="G142" s="52"/>
      <c r="H142" s="52"/>
      <c r="I142" s="61"/>
      <c r="J142" s="62"/>
      <c r="K142" s="129" t="str">
        <f t="shared" si="38"/>
        <v/>
      </c>
      <c r="L142" s="103" t="str">
        <f t="shared" si="39"/>
        <v/>
      </c>
      <c r="M142" s="52">
        <v>0</v>
      </c>
      <c r="N142" s="102" t="str">
        <f t="shared" si="40"/>
        <v/>
      </c>
      <c r="O142" s="103" t="str">
        <f t="shared" si="41"/>
        <v/>
      </c>
      <c r="P142" s="52">
        <v>0</v>
      </c>
      <c r="Q142" s="102" t="str">
        <f t="shared" si="42"/>
        <v/>
      </c>
      <c r="R142" s="103" t="str">
        <f t="shared" si="43"/>
        <v/>
      </c>
      <c r="S142" s="52">
        <v>0</v>
      </c>
      <c r="T142" s="102" t="str">
        <f t="shared" si="44"/>
        <v/>
      </c>
      <c r="U142" s="103" t="str">
        <f t="shared" si="45"/>
        <v/>
      </c>
      <c r="V142" s="52">
        <v>0</v>
      </c>
      <c r="W142" s="87" t="str">
        <f t="shared" si="46"/>
        <v/>
      </c>
      <c r="X142" s="103" t="str">
        <f t="shared" si="47"/>
        <v/>
      </c>
      <c r="Y142" s="52">
        <v>0</v>
      </c>
      <c r="Z142" s="56" t="str">
        <f t="shared" si="48"/>
        <v/>
      </c>
      <c r="AA142" s="56" t="str">
        <f t="shared" si="49"/>
        <v/>
      </c>
      <c r="AB142" s="56" t="str">
        <f t="shared" si="50"/>
        <v/>
      </c>
      <c r="AC142" s="56" t="str">
        <f t="shared" si="51"/>
        <v/>
      </c>
      <c r="AD142" s="56" t="str">
        <f t="shared" si="52"/>
        <v/>
      </c>
      <c r="AE142" s="40"/>
      <c r="AF142" s="40"/>
      <c r="AG142" s="40"/>
      <c r="AH142" s="56" t="str">
        <f t="shared" si="36"/>
        <v/>
      </c>
      <c r="AI142" s="54"/>
      <c r="AJ142" s="54"/>
      <c r="AK142" s="54"/>
      <c r="AL142" s="54"/>
      <c r="AM142" s="54"/>
    </row>
    <row r="143" spans="1:39">
      <c r="A143" s="45" t="str" cm="1">
        <f t="array" ref="A143">IF(H143="PROJECT", CHAR(10) &amp; "- " &amp; _xlfn.TEXTJOIN(CHAR(10) &amp; "- ", TRUE, _xlfn._xlws.FILTER($I$9:$I$1000, ($B$9:$B$1000=B143) * ($H$9:$H$1000="Topic"))), "")</f>
        <v/>
      </c>
      <c r="B143" s="45" t="str">
        <f t="shared" si="37"/>
        <v/>
      </c>
      <c r="C143" s="95"/>
      <c r="D143" s="46"/>
      <c r="E143" s="58"/>
      <c r="F143" s="67"/>
      <c r="G143" s="53"/>
      <c r="H143" s="53"/>
      <c r="I143" s="50"/>
      <c r="J143" s="51"/>
      <c r="K143" s="129" t="str">
        <f t="shared" si="38"/>
        <v/>
      </c>
      <c r="L143" s="103" t="str">
        <f t="shared" si="39"/>
        <v/>
      </c>
      <c r="M143" s="53">
        <v>0</v>
      </c>
      <c r="N143" s="102" t="str">
        <f t="shared" si="40"/>
        <v/>
      </c>
      <c r="O143" s="103" t="str">
        <f t="shared" si="41"/>
        <v/>
      </c>
      <c r="P143" s="53">
        <v>0</v>
      </c>
      <c r="Q143" s="102" t="str">
        <f t="shared" si="42"/>
        <v/>
      </c>
      <c r="R143" s="103" t="str">
        <f t="shared" si="43"/>
        <v/>
      </c>
      <c r="S143" s="53">
        <v>0</v>
      </c>
      <c r="T143" s="102" t="str">
        <f t="shared" si="44"/>
        <v/>
      </c>
      <c r="U143" s="103" t="str">
        <f t="shared" si="45"/>
        <v/>
      </c>
      <c r="V143" s="53">
        <v>0</v>
      </c>
      <c r="W143" s="87" t="str">
        <f t="shared" si="46"/>
        <v/>
      </c>
      <c r="X143" s="103" t="str">
        <f t="shared" si="47"/>
        <v/>
      </c>
      <c r="Y143" s="53">
        <v>0</v>
      </c>
      <c r="Z143" s="56" t="str">
        <f t="shared" si="48"/>
        <v/>
      </c>
      <c r="AA143" s="56" t="str">
        <f t="shared" si="49"/>
        <v/>
      </c>
      <c r="AB143" s="56" t="str">
        <f t="shared" si="50"/>
        <v/>
      </c>
      <c r="AC143" s="56" t="str">
        <f t="shared" si="51"/>
        <v/>
      </c>
      <c r="AD143" s="56" t="str">
        <f t="shared" si="52"/>
        <v/>
      </c>
      <c r="AE143" s="40"/>
      <c r="AF143" s="40"/>
      <c r="AG143" s="40"/>
      <c r="AH143" s="56" t="str">
        <f t="shared" si="36"/>
        <v/>
      </c>
      <c r="AI143" s="54"/>
      <c r="AJ143" s="54"/>
      <c r="AK143" s="54"/>
      <c r="AL143" s="54"/>
      <c r="AM143" s="54"/>
    </row>
    <row r="144" spans="1:39">
      <c r="A144" s="45" t="str" cm="1">
        <f t="array" ref="A144">IF(H144="PROJECT", CHAR(10) &amp; "- " &amp; _xlfn.TEXTJOIN(CHAR(10) &amp; "- ", TRUE, _xlfn._xlws.FILTER($I$9:$I$1000, ($B$9:$B$1000=B144) * ($H$9:$H$1000="Topic"))), "")</f>
        <v/>
      </c>
      <c r="B144" s="45" t="str">
        <f t="shared" si="37"/>
        <v/>
      </c>
      <c r="C144" s="95"/>
      <c r="D144" s="57"/>
      <c r="E144" s="58"/>
      <c r="F144" s="54"/>
      <c r="G144" s="52"/>
      <c r="H144" s="52"/>
      <c r="I144" s="61"/>
      <c r="J144" s="62"/>
      <c r="K144" s="129" t="str">
        <f t="shared" si="38"/>
        <v/>
      </c>
      <c r="L144" s="103" t="str">
        <f t="shared" si="39"/>
        <v/>
      </c>
      <c r="M144" s="52">
        <v>0</v>
      </c>
      <c r="N144" s="102" t="str">
        <f t="shared" si="40"/>
        <v/>
      </c>
      <c r="O144" s="103" t="str">
        <f t="shared" si="41"/>
        <v/>
      </c>
      <c r="P144" s="52">
        <v>0</v>
      </c>
      <c r="Q144" s="102" t="str">
        <f t="shared" si="42"/>
        <v/>
      </c>
      <c r="R144" s="103" t="str">
        <f t="shared" si="43"/>
        <v/>
      </c>
      <c r="S144" s="52">
        <v>0</v>
      </c>
      <c r="T144" s="102" t="str">
        <f t="shared" si="44"/>
        <v/>
      </c>
      <c r="U144" s="103" t="str">
        <f t="shared" si="45"/>
        <v/>
      </c>
      <c r="V144" s="52">
        <v>0</v>
      </c>
      <c r="W144" s="87" t="str">
        <f t="shared" si="46"/>
        <v/>
      </c>
      <c r="X144" s="103" t="str">
        <f t="shared" si="47"/>
        <v/>
      </c>
      <c r="Y144" s="52">
        <v>0</v>
      </c>
      <c r="Z144" s="56" t="str">
        <f t="shared" si="48"/>
        <v/>
      </c>
      <c r="AA144" s="56" t="str">
        <f t="shared" si="49"/>
        <v/>
      </c>
      <c r="AB144" s="56" t="str">
        <f t="shared" si="50"/>
        <v/>
      </c>
      <c r="AC144" s="56" t="str">
        <f t="shared" si="51"/>
        <v/>
      </c>
      <c r="AD144" s="56" t="str">
        <f t="shared" si="52"/>
        <v/>
      </c>
      <c r="AE144" s="40"/>
      <c r="AF144" s="40"/>
      <c r="AG144" s="40"/>
      <c r="AH144" s="56" t="str">
        <f t="shared" si="36"/>
        <v/>
      </c>
      <c r="AI144" s="54"/>
      <c r="AJ144" s="54"/>
      <c r="AK144" s="54"/>
      <c r="AL144" s="54"/>
      <c r="AM144" s="54"/>
    </row>
    <row r="145" spans="1:39">
      <c r="A145" s="45" t="str" cm="1">
        <f t="array" ref="A145">IF(H145="PROJECT", CHAR(10) &amp; "- " &amp; _xlfn.TEXTJOIN(CHAR(10) &amp; "- ", TRUE, _xlfn._xlws.FILTER($I$9:$I$1000, ($B$9:$B$1000=B145) * ($H$9:$H$1000="Topic"))), "")</f>
        <v/>
      </c>
      <c r="B145" s="45" t="str">
        <f t="shared" si="37"/>
        <v/>
      </c>
      <c r="C145" s="95"/>
      <c r="D145" s="46"/>
      <c r="E145" s="58"/>
      <c r="F145" s="67"/>
      <c r="G145" s="53"/>
      <c r="H145" s="53"/>
      <c r="I145" s="50"/>
      <c r="J145" s="51"/>
      <c r="K145" s="129" t="str">
        <f t="shared" si="38"/>
        <v/>
      </c>
      <c r="L145" s="103" t="str">
        <f t="shared" si="39"/>
        <v/>
      </c>
      <c r="M145" s="53">
        <v>0</v>
      </c>
      <c r="N145" s="102" t="str">
        <f t="shared" si="40"/>
        <v/>
      </c>
      <c r="O145" s="103" t="str">
        <f t="shared" si="41"/>
        <v/>
      </c>
      <c r="P145" s="53">
        <v>0</v>
      </c>
      <c r="Q145" s="102" t="str">
        <f t="shared" si="42"/>
        <v/>
      </c>
      <c r="R145" s="103" t="str">
        <f t="shared" si="43"/>
        <v/>
      </c>
      <c r="S145" s="53">
        <v>0</v>
      </c>
      <c r="T145" s="102" t="str">
        <f t="shared" si="44"/>
        <v/>
      </c>
      <c r="U145" s="103" t="str">
        <f t="shared" si="45"/>
        <v/>
      </c>
      <c r="V145" s="53">
        <v>0</v>
      </c>
      <c r="W145" s="87" t="str">
        <f t="shared" si="46"/>
        <v/>
      </c>
      <c r="X145" s="103" t="str">
        <f t="shared" si="47"/>
        <v/>
      </c>
      <c r="Y145" s="53">
        <v>0</v>
      </c>
      <c r="Z145" s="56" t="str">
        <f t="shared" si="48"/>
        <v/>
      </c>
      <c r="AA145" s="56" t="str">
        <f t="shared" si="49"/>
        <v/>
      </c>
      <c r="AB145" s="56" t="str">
        <f t="shared" si="50"/>
        <v/>
      </c>
      <c r="AC145" s="56" t="str">
        <f t="shared" si="51"/>
        <v/>
      </c>
      <c r="AD145" s="56" t="str">
        <f t="shared" si="52"/>
        <v/>
      </c>
      <c r="AE145" s="40"/>
      <c r="AF145" s="40"/>
      <c r="AG145" s="40"/>
      <c r="AH145" s="56" t="str">
        <f t="shared" si="36"/>
        <v/>
      </c>
      <c r="AI145" s="54"/>
      <c r="AJ145" s="54"/>
      <c r="AK145" s="54"/>
      <c r="AL145" s="54"/>
      <c r="AM145" s="54"/>
    </row>
    <row r="146" spans="1:39">
      <c r="A146" s="45" t="str" cm="1">
        <f t="array" ref="A146">IF(H146="PROJECT", CHAR(10) &amp; "- " &amp; _xlfn.TEXTJOIN(CHAR(10) &amp; "- ", TRUE, _xlfn._xlws.FILTER($I$9:$I$1000, ($B$9:$B$1000=B146) * ($H$9:$H$1000="Topic"))), "")</f>
        <v/>
      </c>
      <c r="B146" s="45" t="str">
        <f t="shared" si="37"/>
        <v/>
      </c>
      <c r="C146" s="95"/>
      <c r="D146" s="57"/>
      <c r="E146" s="58"/>
      <c r="F146" s="54"/>
      <c r="G146" s="52"/>
      <c r="H146" s="52"/>
      <c r="I146" s="61"/>
      <c r="J146" s="62"/>
      <c r="K146" s="129" t="str">
        <f t="shared" si="38"/>
        <v/>
      </c>
      <c r="L146" s="103" t="str">
        <f t="shared" si="39"/>
        <v/>
      </c>
      <c r="M146" s="52">
        <v>0</v>
      </c>
      <c r="N146" s="102" t="str">
        <f t="shared" si="40"/>
        <v/>
      </c>
      <c r="O146" s="103" t="str">
        <f t="shared" si="41"/>
        <v/>
      </c>
      <c r="P146" s="52">
        <v>0</v>
      </c>
      <c r="Q146" s="102" t="str">
        <f t="shared" si="42"/>
        <v/>
      </c>
      <c r="R146" s="103" t="str">
        <f t="shared" si="43"/>
        <v/>
      </c>
      <c r="S146" s="52">
        <v>0</v>
      </c>
      <c r="T146" s="102" t="str">
        <f t="shared" si="44"/>
        <v/>
      </c>
      <c r="U146" s="103" t="str">
        <f t="shared" si="45"/>
        <v/>
      </c>
      <c r="V146" s="52">
        <v>0</v>
      </c>
      <c r="W146" s="87" t="str">
        <f t="shared" si="46"/>
        <v/>
      </c>
      <c r="X146" s="103" t="str">
        <f t="shared" si="47"/>
        <v/>
      </c>
      <c r="Y146" s="52">
        <v>0</v>
      </c>
      <c r="Z146" s="56" t="str">
        <f t="shared" si="48"/>
        <v/>
      </c>
      <c r="AA146" s="56" t="str">
        <f t="shared" si="49"/>
        <v/>
      </c>
      <c r="AB146" s="56" t="str">
        <f t="shared" si="50"/>
        <v/>
      </c>
      <c r="AC146" s="56" t="str">
        <f t="shared" si="51"/>
        <v/>
      </c>
      <c r="AD146" s="56" t="str">
        <f t="shared" si="52"/>
        <v/>
      </c>
      <c r="AE146" s="40"/>
      <c r="AF146" s="40"/>
      <c r="AG146" s="40"/>
      <c r="AH146" s="56" t="str">
        <f t="shared" si="36"/>
        <v/>
      </c>
      <c r="AI146" s="54"/>
      <c r="AJ146" s="54"/>
      <c r="AK146" s="54"/>
      <c r="AL146" s="54"/>
      <c r="AM146" s="54"/>
    </row>
    <row r="147" spans="1:39">
      <c r="A147" s="45" t="str" cm="1">
        <f t="array" ref="A147">IF(H147="PROJECT", CHAR(10) &amp; "- " &amp; _xlfn.TEXTJOIN(CHAR(10) &amp; "- ", TRUE, _xlfn._xlws.FILTER($I$9:$I$1000, ($B$9:$B$1000=B147) * ($H$9:$H$1000="Topic"))), "")</f>
        <v/>
      </c>
      <c r="B147" s="45" t="str">
        <f t="shared" si="37"/>
        <v/>
      </c>
      <c r="C147" s="95"/>
      <c r="D147" s="46"/>
      <c r="E147" s="58"/>
      <c r="F147" s="67"/>
      <c r="G147" s="53"/>
      <c r="H147" s="53"/>
      <c r="I147" s="50"/>
      <c r="J147" s="51"/>
      <c r="K147" s="129" t="str">
        <f t="shared" si="38"/>
        <v/>
      </c>
      <c r="L147" s="103" t="str">
        <f t="shared" si="39"/>
        <v/>
      </c>
      <c r="M147" s="53">
        <v>0</v>
      </c>
      <c r="N147" s="102" t="str">
        <f t="shared" si="40"/>
        <v/>
      </c>
      <c r="O147" s="103" t="str">
        <f t="shared" si="41"/>
        <v/>
      </c>
      <c r="P147" s="53">
        <v>0</v>
      </c>
      <c r="Q147" s="102" t="str">
        <f t="shared" si="42"/>
        <v/>
      </c>
      <c r="R147" s="103" t="str">
        <f t="shared" si="43"/>
        <v/>
      </c>
      <c r="S147" s="53">
        <v>0</v>
      </c>
      <c r="T147" s="102" t="str">
        <f t="shared" si="44"/>
        <v/>
      </c>
      <c r="U147" s="103" t="str">
        <f t="shared" si="45"/>
        <v/>
      </c>
      <c r="V147" s="53">
        <v>0</v>
      </c>
      <c r="W147" s="87" t="str">
        <f t="shared" si="46"/>
        <v/>
      </c>
      <c r="X147" s="103" t="str">
        <f t="shared" si="47"/>
        <v/>
      </c>
      <c r="Y147" s="53">
        <v>0</v>
      </c>
      <c r="Z147" s="56" t="str">
        <f t="shared" si="48"/>
        <v/>
      </c>
      <c r="AA147" s="56" t="str">
        <f t="shared" si="49"/>
        <v/>
      </c>
      <c r="AB147" s="56" t="str">
        <f t="shared" si="50"/>
        <v/>
      </c>
      <c r="AC147" s="56" t="str">
        <f t="shared" si="51"/>
        <v/>
      </c>
      <c r="AD147" s="56" t="str">
        <f t="shared" si="52"/>
        <v/>
      </c>
      <c r="AE147" s="40"/>
      <c r="AF147" s="40"/>
      <c r="AG147" s="40"/>
      <c r="AH147" s="56" t="str">
        <f t="shared" si="36"/>
        <v/>
      </c>
      <c r="AI147" s="54"/>
      <c r="AJ147" s="54"/>
      <c r="AK147" s="54"/>
      <c r="AL147" s="54"/>
      <c r="AM147" s="54"/>
    </row>
    <row r="148" spans="1:39">
      <c r="A148" s="45" t="str" cm="1">
        <f t="array" ref="A148">IF(H148="PROJECT", CHAR(10) &amp; "- " &amp; _xlfn.TEXTJOIN(CHAR(10) &amp; "- ", TRUE, _xlfn._xlws.FILTER($I$9:$I$1000, ($B$9:$B$1000=B148) * ($H$9:$H$1000="Topic"))), "")</f>
        <v/>
      </c>
      <c r="B148" s="45" t="str">
        <f t="shared" si="37"/>
        <v/>
      </c>
      <c r="C148" s="95"/>
      <c r="D148" s="57"/>
      <c r="E148" s="58"/>
      <c r="F148" s="54"/>
      <c r="G148" s="52"/>
      <c r="H148" s="52"/>
      <c r="I148" s="61"/>
      <c r="J148" s="62"/>
      <c r="K148" s="129" t="str">
        <f t="shared" si="38"/>
        <v/>
      </c>
      <c r="L148" s="103" t="str">
        <f t="shared" si="39"/>
        <v/>
      </c>
      <c r="M148" s="52">
        <v>0</v>
      </c>
      <c r="N148" s="102" t="str">
        <f t="shared" si="40"/>
        <v/>
      </c>
      <c r="O148" s="103" t="str">
        <f t="shared" si="41"/>
        <v/>
      </c>
      <c r="P148" s="52">
        <v>0</v>
      </c>
      <c r="Q148" s="102" t="str">
        <f t="shared" si="42"/>
        <v/>
      </c>
      <c r="R148" s="103" t="str">
        <f t="shared" si="43"/>
        <v/>
      </c>
      <c r="S148" s="52">
        <v>0</v>
      </c>
      <c r="T148" s="102" t="str">
        <f t="shared" si="44"/>
        <v/>
      </c>
      <c r="U148" s="103" t="str">
        <f t="shared" si="45"/>
        <v/>
      </c>
      <c r="V148" s="52">
        <v>0</v>
      </c>
      <c r="W148" s="87" t="str">
        <f t="shared" si="46"/>
        <v/>
      </c>
      <c r="X148" s="103" t="str">
        <f t="shared" si="47"/>
        <v/>
      </c>
      <c r="Y148" s="52">
        <v>0</v>
      </c>
      <c r="Z148" s="56" t="str">
        <f t="shared" si="48"/>
        <v/>
      </c>
      <c r="AA148" s="56" t="str">
        <f t="shared" si="49"/>
        <v/>
      </c>
      <c r="AB148" s="56" t="str">
        <f t="shared" si="50"/>
        <v/>
      </c>
      <c r="AC148" s="56" t="str">
        <f t="shared" si="51"/>
        <v/>
      </c>
      <c r="AD148" s="56" t="str">
        <f t="shared" si="52"/>
        <v/>
      </c>
      <c r="AE148" s="40"/>
      <c r="AF148" s="40"/>
      <c r="AG148" s="40"/>
      <c r="AH148" s="56" t="str">
        <f t="shared" si="36"/>
        <v/>
      </c>
      <c r="AI148" s="54"/>
      <c r="AJ148" s="54"/>
      <c r="AK148" s="54"/>
      <c r="AL148" s="54"/>
      <c r="AM148" s="54"/>
    </row>
    <row r="149" spans="1:39">
      <c r="A149" s="45" t="str" cm="1">
        <f t="array" ref="A149">IF(H149="PROJECT", CHAR(10) &amp; "- " &amp; _xlfn.TEXTJOIN(CHAR(10) &amp; "- ", TRUE, _xlfn._xlws.FILTER($I$9:$I$1000, ($B$9:$B$1000=B149) * ($H$9:$H$1000="Topic"))), "")</f>
        <v/>
      </c>
      <c r="B149" s="45" t="str">
        <f t="shared" si="37"/>
        <v/>
      </c>
      <c r="C149" s="95"/>
      <c r="D149" s="46"/>
      <c r="E149" s="58"/>
      <c r="F149" s="67"/>
      <c r="G149" s="53"/>
      <c r="H149" s="53"/>
      <c r="I149" s="50"/>
      <c r="J149" s="51"/>
      <c r="K149" s="129" t="str">
        <f t="shared" si="38"/>
        <v/>
      </c>
      <c r="L149" s="103" t="str">
        <f t="shared" si="39"/>
        <v/>
      </c>
      <c r="M149" s="53">
        <v>0</v>
      </c>
      <c r="N149" s="102" t="str">
        <f t="shared" si="40"/>
        <v/>
      </c>
      <c r="O149" s="103" t="str">
        <f t="shared" si="41"/>
        <v/>
      </c>
      <c r="P149" s="53">
        <v>0</v>
      </c>
      <c r="Q149" s="102" t="str">
        <f t="shared" si="42"/>
        <v/>
      </c>
      <c r="R149" s="103" t="str">
        <f t="shared" si="43"/>
        <v/>
      </c>
      <c r="S149" s="53">
        <v>0</v>
      </c>
      <c r="T149" s="102" t="str">
        <f t="shared" si="44"/>
        <v/>
      </c>
      <c r="U149" s="103" t="str">
        <f t="shared" si="45"/>
        <v/>
      </c>
      <c r="V149" s="53">
        <v>0</v>
      </c>
      <c r="W149" s="87" t="str">
        <f t="shared" si="46"/>
        <v/>
      </c>
      <c r="X149" s="103" t="str">
        <f t="shared" si="47"/>
        <v/>
      </c>
      <c r="Y149" s="53">
        <v>0</v>
      </c>
      <c r="Z149" s="56" t="str">
        <f t="shared" si="48"/>
        <v/>
      </c>
      <c r="AA149" s="56" t="str">
        <f t="shared" si="49"/>
        <v/>
      </c>
      <c r="AB149" s="56" t="str">
        <f t="shared" si="50"/>
        <v/>
      </c>
      <c r="AC149" s="56" t="str">
        <f t="shared" si="51"/>
        <v/>
      </c>
      <c r="AD149" s="56" t="str">
        <f t="shared" si="52"/>
        <v/>
      </c>
      <c r="AE149" s="40"/>
      <c r="AF149" s="40"/>
      <c r="AG149" s="40"/>
      <c r="AH149" s="56" t="str">
        <f t="shared" si="36"/>
        <v/>
      </c>
      <c r="AI149" s="54"/>
      <c r="AJ149" s="54"/>
      <c r="AK149" s="54"/>
      <c r="AL149" s="54"/>
      <c r="AM149" s="54"/>
    </row>
    <row r="150" spans="1:39">
      <c r="A150" s="45" t="str" cm="1">
        <f t="array" ref="A150">IF(H150="PROJECT", CHAR(10) &amp; "- " &amp; _xlfn.TEXTJOIN(CHAR(10) &amp; "- ", TRUE, _xlfn._xlws.FILTER($I$9:$I$1000, ($B$9:$B$1000=B150) * ($H$9:$H$1000="Topic"))), "")</f>
        <v/>
      </c>
      <c r="B150" s="45" t="str">
        <f t="shared" si="37"/>
        <v/>
      </c>
      <c r="C150" s="95"/>
      <c r="D150" s="57"/>
      <c r="E150" s="58"/>
      <c r="F150" s="54"/>
      <c r="G150" s="52"/>
      <c r="H150" s="52"/>
      <c r="I150" s="61"/>
      <c r="J150" s="62"/>
      <c r="K150" s="129" t="str">
        <f t="shared" si="38"/>
        <v/>
      </c>
      <c r="L150" s="103" t="str">
        <f t="shared" si="39"/>
        <v/>
      </c>
      <c r="M150" s="52">
        <v>0</v>
      </c>
      <c r="N150" s="102" t="str">
        <f t="shared" si="40"/>
        <v/>
      </c>
      <c r="O150" s="103" t="str">
        <f t="shared" si="41"/>
        <v/>
      </c>
      <c r="P150" s="52">
        <v>0</v>
      </c>
      <c r="Q150" s="102" t="str">
        <f t="shared" si="42"/>
        <v/>
      </c>
      <c r="R150" s="103" t="str">
        <f t="shared" si="43"/>
        <v/>
      </c>
      <c r="S150" s="52">
        <v>0</v>
      </c>
      <c r="T150" s="102" t="str">
        <f t="shared" si="44"/>
        <v/>
      </c>
      <c r="U150" s="103" t="str">
        <f t="shared" si="45"/>
        <v/>
      </c>
      <c r="V150" s="52">
        <v>0</v>
      </c>
      <c r="W150" s="87" t="str">
        <f t="shared" si="46"/>
        <v/>
      </c>
      <c r="X150" s="103" t="str">
        <f t="shared" si="47"/>
        <v/>
      </c>
      <c r="Y150" s="52">
        <v>0</v>
      </c>
      <c r="Z150" s="56" t="str">
        <f t="shared" si="48"/>
        <v/>
      </c>
      <c r="AA150" s="56" t="str">
        <f t="shared" si="49"/>
        <v/>
      </c>
      <c r="AB150" s="56" t="str">
        <f t="shared" si="50"/>
        <v/>
      </c>
      <c r="AC150" s="56" t="str">
        <f t="shared" si="51"/>
        <v/>
      </c>
      <c r="AD150" s="56" t="str">
        <f t="shared" si="52"/>
        <v/>
      </c>
      <c r="AE150" s="40"/>
      <c r="AF150" s="40"/>
      <c r="AG150" s="40"/>
      <c r="AH150" s="56" t="str">
        <f t="shared" si="36"/>
        <v/>
      </c>
      <c r="AI150" s="54"/>
      <c r="AJ150" s="54"/>
      <c r="AK150" s="54"/>
      <c r="AL150" s="54"/>
      <c r="AM150" s="54"/>
    </row>
    <row r="151" spans="1:39">
      <c r="A151" s="45" t="str" cm="1">
        <f t="array" ref="A151">IF(H151="PROJECT", CHAR(10) &amp; "- " &amp; _xlfn.TEXTJOIN(CHAR(10) &amp; "- ", TRUE, _xlfn._xlws.FILTER($I$9:$I$1000, ($B$9:$B$1000=B151) * ($H$9:$H$1000="Topic"))), "")</f>
        <v/>
      </c>
      <c r="B151" s="45" t="str">
        <f t="shared" si="37"/>
        <v/>
      </c>
      <c r="C151" s="95"/>
      <c r="D151" s="46"/>
      <c r="E151" s="58"/>
      <c r="F151" s="67"/>
      <c r="G151" s="53"/>
      <c r="H151" s="53"/>
      <c r="I151" s="50"/>
      <c r="J151" s="51"/>
      <c r="K151" s="129" t="str">
        <f t="shared" si="38"/>
        <v/>
      </c>
      <c r="L151" s="103" t="str">
        <f t="shared" si="39"/>
        <v/>
      </c>
      <c r="M151" s="53">
        <v>0</v>
      </c>
      <c r="N151" s="102" t="str">
        <f t="shared" si="40"/>
        <v/>
      </c>
      <c r="O151" s="103" t="str">
        <f t="shared" si="41"/>
        <v/>
      </c>
      <c r="P151" s="53">
        <v>0</v>
      </c>
      <c r="Q151" s="102" t="str">
        <f t="shared" si="42"/>
        <v/>
      </c>
      <c r="R151" s="103" t="str">
        <f t="shared" si="43"/>
        <v/>
      </c>
      <c r="S151" s="53">
        <v>0</v>
      </c>
      <c r="T151" s="102" t="str">
        <f t="shared" si="44"/>
        <v/>
      </c>
      <c r="U151" s="103" t="str">
        <f t="shared" si="45"/>
        <v/>
      </c>
      <c r="V151" s="53">
        <v>0</v>
      </c>
      <c r="W151" s="87" t="str">
        <f t="shared" si="46"/>
        <v/>
      </c>
      <c r="X151" s="103" t="str">
        <f t="shared" si="47"/>
        <v/>
      </c>
      <c r="Y151" s="53">
        <v>0</v>
      </c>
      <c r="Z151" s="56" t="str">
        <f t="shared" si="48"/>
        <v/>
      </c>
      <c r="AA151" s="56" t="str">
        <f t="shared" si="49"/>
        <v/>
      </c>
      <c r="AB151" s="56" t="str">
        <f t="shared" si="50"/>
        <v/>
      </c>
      <c r="AC151" s="56" t="str">
        <f t="shared" si="51"/>
        <v/>
      </c>
      <c r="AD151" s="56" t="str">
        <f t="shared" si="52"/>
        <v/>
      </c>
      <c r="AE151" s="40"/>
      <c r="AF151" s="40"/>
      <c r="AG151" s="40"/>
      <c r="AH151" s="56" t="str">
        <f t="shared" si="36"/>
        <v/>
      </c>
      <c r="AI151" s="54"/>
      <c r="AJ151" s="54"/>
      <c r="AK151" s="54"/>
      <c r="AL151" s="54"/>
      <c r="AM151" s="54"/>
    </row>
    <row r="152" spans="1:39">
      <c r="A152" s="45" t="str" cm="1">
        <f t="array" ref="A152">IF(H152="PROJECT", CHAR(10) &amp; "- " &amp; _xlfn.TEXTJOIN(CHAR(10) &amp; "- ", TRUE, _xlfn._xlws.FILTER($I$9:$I$1000, ($B$9:$B$1000=B152) * ($H$9:$H$1000="Topic"))), "")</f>
        <v/>
      </c>
      <c r="B152" s="45" t="str">
        <f t="shared" si="37"/>
        <v/>
      </c>
      <c r="C152" s="95"/>
      <c r="D152" s="57"/>
      <c r="E152" s="58"/>
      <c r="F152" s="54"/>
      <c r="G152" s="52"/>
      <c r="H152" s="52"/>
      <c r="I152" s="61"/>
      <c r="J152" s="62"/>
      <c r="K152" s="129" t="str">
        <f t="shared" si="38"/>
        <v/>
      </c>
      <c r="L152" s="103" t="str">
        <f t="shared" si="39"/>
        <v/>
      </c>
      <c r="M152" s="52">
        <v>0</v>
      </c>
      <c r="N152" s="102" t="str">
        <f t="shared" si="40"/>
        <v/>
      </c>
      <c r="O152" s="103" t="str">
        <f t="shared" si="41"/>
        <v/>
      </c>
      <c r="P152" s="52">
        <v>0</v>
      </c>
      <c r="Q152" s="102" t="str">
        <f t="shared" si="42"/>
        <v/>
      </c>
      <c r="R152" s="103" t="str">
        <f t="shared" si="43"/>
        <v/>
      </c>
      <c r="S152" s="52">
        <v>0</v>
      </c>
      <c r="T152" s="102" t="str">
        <f t="shared" si="44"/>
        <v/>
      </c>
      <c r="U152" s="103" t="str">
        <f t="shared" si="45"/>
        <v/>
      </c>
      <c r="V152" s="52">
        <v>0</v>
      </c>
      <c r="W152" s="87" t="str">
        <f t="shared" si="46"/>
        <v/>
      </c>
      <c r="X152" s="103" t="str">
        <f t="shared" si="47"/>
        <v/>
      </c>
      <c r="Y152" s="52">
        <v>0</v>
      </c>
      <c r="Z152" s="56" t="str">
        <f t="shared" si="48"/>
        <v/>
      </c>
      <c r="AA152" s="56" t="str">
        <f t="shared" si="49"/>
        <v/>
      </c>
      <c r="AB152" s="56" t="str">
        <f t="shared" si="50"/>
        <v/>
      </c>
      <c r="AC152" s="56" t="str">
        <f t="shared" si="51"/>
        <v/>
      </c>
      <c r="AD152" s="56" t="str">
        <f t="shared" si="52"/>
        <v/>
      </c>
      <c r="AE152" s="40"/>
      <c r="AF152" s="40"/>
      <c r="AG152" s="40"/>
      <c r="AH152" s="56" t="str">
        <f t="shared" si="36"/>
        <v/>
      </c>
      <c r="AI152" s="54"/>
      <c r="AJ152" s="54"/>
      <c r="AK152" s="54"/>
      <c r="AL152" s="54"/>
      <c r="AM152" s="54"/>
    </row>
    <row r="153" spans="1:39">
      <c r="A153" s="45" t="str" cm="1">
        <f t="array" ref="A153">IF(H153="PROJECT", CHAR(10) &amp; "- " &amp; _xlfn.TEXTJOIN(CHAR(10) &amp; "- ", TRUE, _xlfn._xlws.FILTER($I$9:$I$1000, ($B$9:$B$1000=B153) * ($H$9:$H$1000="Topic"))), "")</f>
        <v/>
      </c>
      <c r="B153" s="45" t="str">
        <f t="shared" si="37"/>
        <v/>
      </c>
      <c r="C153" s="95"/>
      <c r="D153" s="46"/>
      <c r="E153" s="58"/>
      <c r="F153" s="67"/>
      <c r="G153" s="53"/>
      <c r="H153" s="53"/>
      <c r="I153" s="50"/>
      <c r="J153" s="51"/>
      <c r="K153" s="129" t="str">
        <f t="shared" si="38"/>
        <v/>
      </c>
      <c r="L153" s="103" t="str">
        <f t="shared" si="39"/>
        <v/>
      </c>
      <c r="M153" s="53">
        <v>0</v>
      </c>
      <c r="N153" s="102" t="str">
        <f t="shared" si="40"/>
        <v/>
      </c>
      <c r="O153" s="103" t="str">
        <f t="shared" si="41"/>
        <v/>
      </c>
      <c r="P153" s="53">
        <v>0</v>
      </c>
      <c r="Q153" s="102" t="str">
        <f t="shared" si="42"/>
        <v/>
      </c>
      <c r="R153" s="103" t="str">
        <f t="shared" si="43"/>
        <v/>
      </c>
      <c r="S153" s="53">
        <v>0</v>
      </c>
      <c r="T153" s="102" t="str">
        <f t="shared" si="44"/>
        <v/>
      </c>
      <c r="U153" s="103" t="str">
        <f t="shared" si="45"/>
        <v/>
      </c>
      <c r="V153" s="53">
        <v>0</v>
      </c>
      <c r="W153" s="87" t="str">
        <f t="shared" si="46"/>
        <v/>
      </c>
      <c r="X153" s="103" t="str">
        <f t="shared" si="47"/>
        <v/>
      </c>
      <c r="Y153" s="53">
        <v>0</v>
      </c>
      <c r="Z153" s="56" t="str">
        <f t="shared" si="48"/>
        <v/>
      </c>
      <c r="AA153" s="56" t="str">
        <f t="shared" si="49"/>
        <v/>
      </c>
      <c r="AB153" s="56" t="str">
        <f t="shared" si="50"/>
        <v/>
      </c>
      <c r="AC153" s="56" t="str">
        <f t="shared" si="51"/>
        <v/>
      </c>
      <c r="AD153" s="56" t="str">
        <f t="shared" si="52"/>
        <v/>
      </c>
      <c r="AE153" s="40"/>
      <c r="AF153" s="40"/>
      <c r="AG153" s="40"/>
      <c r="AH153" s="56" t="str">
        <f t="shared" si="36"/>
        <v/>
      </c>
      <c r="AI153" s="54"/>
      <c r="AJ153" s="54"/>
      <c r="AK153" s="54"/>
      <c r="AL153" s="54"/>
      <c r="AM153" s="54"/>
    </row>
    <row r="154" spans="1:39">
      <c r="A154" s="45" t="str" cm="1">
        <f t="array" ref="A154">IF(H154="PROJECT", CHAR(10) &amp; "- " &amp; _xlfn.TEXTJOIN(CHAR(10) &amp; "- ", TRUE, _xlfn._xlws.FILTER($I$9:$I$1000, ($B$9:$B$1000=B154) * ($H$9:$H$1000="Topic"))), "")</f>
        <v/>
      </c>
      <c r="B154" s="45" t="str">
        <f t="shared" si="37"/>
        <v/>
      </c>
      <c r="C154" s="95"/>
      <c r="D154" s="57"/>
      <c r="E154" s="58"/>
      <c r="F154" s="54"/>
      <c r="G154" s="52"/>
      <c r="H154" s="52"/>
      <c r="I154" s="61"/>
      <c r="J154" s="62"/>
      <c r="K154" s="129" t="str">
        <f t="shared" si="38"/>
        <v/>
      </c>
      <c r="L154" s="103" t="str">
        <f t="shared" si="39"/>
        <v/>
      </c>
      <c r="M154" s="52">
        <v>0</v>
      </c>
      <c r="N154" s="102" t="str">
        <f t="shared" si="40"/>
        <v/>
      </c>
      <c r="O154" s="103" t="str">
        <f t="shared" si="41"/>
        <v/>
      </c>
      <c r="P154" s="52">
        <v>0</v>
      </c>
      <c r="Q154" s="102" t="str">
        <f t="shared" si="42"/>
        <v/>
      </c>
      <c r="R154" s="103" t="str">
        <f t="shared" si="43"/>
        <v/>
      </c>
      <c r="S154" s="52">
        <v>0</v>
      </c>
      <c r="T154" s="102" t="str">
        <f t="shared" si="44"/>
        <v/>
      </c>
      <c r="U154" s="103" t="str">
        <f t="shared" si="45"/>
        <v/>
      </c>
      <c r="V154" s="52">
        <v>0</v>
      </c>
      <c r="W154" s="87" t="str">
        <f t="shared" si="46"/>
        <v/>
      </c>
      <c r="X154" s="103" t="str">
        <f t="shared" si="47"/>
        <v/>
      </c>
      <c r="Y154" s="52">
        <v>0</v>
      </c>
      <c r="Z154" s="56" t="str">
        <f t="shared" si="48"/>
        <v/>
      </c>
      <c r="AA154" s="56" t="str">
        <f t="shared" si="49"/>
        <v/>
      </c>
      <c r="AB154" s="56" t="str">
        <f t="shared" si="50"/>
        <v/>
      </c>
      <c r="AC154" s="56" t="str">
        <f t="shared" si="51"/>
        <v/>
      </c>
      <c r="AD154" s="56" t="str">
        <f t="shared" si="52"/>
        <v/>
      </c>
      <c r="AE154" s="40"/>
      <c r="AF154" s="40"/>
      <c r="AG154" s="40"/>
      <c r="AH154" s="56" t="str">
        <f t="shared" si="36"/>
        <v/>
      </c>
      <c r="AI154" s="54"/>
      <c r="AJ154" s="54"/>
      <c r="AK154" s="54"/>
      <c r="AL154" s="54"/>
      <c r="AM154" s="54"/>
    </row>
    <row r="155" spans="1:39">
      <c r="A155" s="45" t="str" cm="1">
        <f t="array" ref="A155">IF(H155="PROJECT", CHAR(10) &amp; "- " &amp; _xlfn.TEXTJOIN(CHAR(10) &amp; "- ", TRUE, _xlfn._xlws.FILTER($I$9:$I$1000, ($B$9:$B$1000=B155) * ($H$9:$H$1000="Topic"))), "")</f>
        <v/>
      </c>
      <c r="B155" s="45" t="str">
        <f t="shared" si="37"/>
        <v/>
      </c>
      <c r="C155" s="95"/>
      <c r="D155" s="46"/>
      <c r="E155" s="58"/>
      <c r="F155" s="67"/>
      <c r="G155" s="53"/>
      <c r="H155" s="53"/>
      <c r="I155" s="50"/>
      <c r="J155" s="51"/>
      <c r="K155" s="129" t="str">
        <f t="shared" si="38"/>
        <v/>
      </c>
      <c r="L155" s="103" t="str">
        <f t="shared" si="39"/>
        <v/>
      </c>
      <c r="M155" s="53">
        <v>0</v>
      </c>
      <c r="N155" s="102" t="str">
        <f t="shared" si="40"/>
        <v/>
      </c>
      <c r="O155" s="103" t="str">
        <f t="shared" si="41"/>
        <v/>
      </c>
      <c r="P155" s="53">
        <v>0</v>
      </c>
      <c r="Q155" s="102" t="str">
        <f t="shared" si="42"/>
        <v/>
      </c>
      <c r="R155" s="103" t="str">
        <f t="shared" si="43"/>
        <v/>
      </c>
      <c r="S155" s="53">
        <v>0</v>
      </c>
      <c r="T155" s="102" t="str">
        <f t="shared" si="44"/>
        <v/>
      </c>
      <c r="U155" s="103" t="str">
        <f t="shared" si="45"/>
        <v/>
      </c>
      <c r="V155" s="53">
        <v>0</v>
      </c>
      <c r="W155" s="87" t="str">
        <f t="shared" si="46"/>
        <v/>
      </c>
      <c r="X155" s="103" t="str">
        <f t="shared" si="47"/>
        <v/>
      </c>
      <c r="Y155" s="53">
        <v>0</v>
      </c>
      <c r="Z155" s="56" t="str">
        <f t="shared" si="48"/>
        <v/>
      </c>
      <c r="AA155" s="56" t="str">
        <f t="shared" si="49"/>
        <v/>
      </c>
      <c r="AB155" s="56" t="str">
        <f t="shared" si="50"/>
        <v/>
      </c>
      <c r="AC155" s="56" t="str">
        <f t="shared" si="51"/>
        <v/>
      </c>
      <c r="AD155" s="56" t="str">
        <f t="shared" si="52"/>
        <v/>
      </c>
      <c r="AE155" s="40"/>
      <c r="AF155" s="40"/>
      <c r="AG155" s="40"/>
      <c r="AH155" s="56" t="str">
        <f t="shared" si="36"/>
        <v/>
      </c>
      <c r="AI155" s="54"/>
      <c r="AJ155" s="54"/>
      <c r="AK155" s="54"/>
      <c r="AL155" s="54"/>
      <c r="AM155" s="54"/>
    </row>
    <row r="156" spans="1:39">
      <c r="A156" s="45" t="str" cm="1">
        <f t="array" ref="A156">IF(H156="PROJECT", CHAR(10) &amp; "- " &amp; _xlfn.TEXTJOIN(CHAR(10) &amp; "- ", TRUE, _xlfn._xlws.FILTER($I$9:$I$1000, ($B$9:$B$1000=B156) * ($H$9:$H$1000="Topic"))), "")</f>
        <v/>
      </c>
      <c r="B156" s="45" t="str">
        <f t="shared" si="37"/>
        <v/>
      </c>
      <c r="C156" s="95"/>
      <c r="D156" s="57"/>
      <c r="E156" s="58"/>
      <c r="F156" s="54"/>
      <c r="G156" s="52"/>
      <c r="H156" s="52"/>
      <c r="I156" s="61"/>
      <c r="J156" s="62"/>
      <c r="K156" s="129" t="str">
        <f t="shared" si="38"/>
        <v/>
      </c>
      <c r="L156" s="103" t="str">
        <f t="shared" si="39"/>
        <v/>
      </c>
      <c r="M156" s="52">
        <v>0</v>
      </c>
      <c r="N156" s="102" t="str">
        <f t="shared" si="40"/>
        <v/>
      </c>
      <c r="O156" s="103" t="str">
        <f t="shared" si="41"/>
        <v/>
      </c>
      <c r="P156" s="52">
        <v>0</v>
      </c>
      <c r="Q156" s="102" t="str">
        <f t="shared" si="42"/>
        <v/>
      </c>
      <c r="R156" s="103" t="str">
        <f t="shared" si="43"/>
        <v/>
      </c>
      <c r="S156" s="52">
        <v>0</v>
      </c>
      <c r="T156" s="102" t="str">
        <f t="shared" si="44"/>
        <v/>
      </c>
      <c r="U156" s="103" t="str">
        <f t="shared" si="45"/>
        <v/>
      </c>
      <c r="V156" s="52">
        <v>0</v>
      </c>
      <c r="W156" s="87" t="str">
        <f t="shared" si="46"/>
        <v/>
      </c>
      <c r="X156" s="103" t="str">
        <f t="shared" si="47"/>
        <v/>
      </c>
      <c r="Y156" s="52">
        <v>0</v>
      </c>
      <c r="Z156" s="56" t="str">
        <f t="shared" si="48"/>
        <v/>
      </c>
      <c r="AA156" s="56" t="str">
        <f t="shared" si="49"/>
        <v/>
      </c>
      <c r="AB156" s="56" t="str">
        <f t="shared" si="50"/>
        <v/>
      </c>
      <c r="AC156" s="56" t="str">
        <f t="shared" si="51"/>
        <v/>
      </c>
      <c r="AD156" s="56" t="str">
        <f t="shared" si="52"/>
        <v/>
      </c>
      <c r="AE156" s="40"/>
      <c r="AF156" s="40"/>
      <c r="AG156" s="40"/>
      <c r="AH156" s="56" t="str">
        <f t="shared" si="36"/>
        <v/>
      </c>
      <c r="AI156" s="54"/>
      <c r="AJ156" s="54"/>
      <c r="AK156" s="54"/>
      <c r="AL156" s="54"/>
      <c r="AM156" s="54"/>
    </row>
    <row r="157" spans="1:39">
      <c r="A157" s="45" t="str" cm="1">
        <f t="array" ref="A157">IF(H157="PROJECT", CHAR(10) &amp; "- " &amp; _xlfn.TEXTJOIN(CHAR(10) &amp; "- ", TRUE, _xlfn._xlws.FILTER($I$9:$I$1000, ($B$9:$B$1000=B157) * ($H$9:$H$1000="Topic"))), "")</f>
        <v/>
      </c>
      <c r="B157" s="45" t="str">
        <f t="shared" si="37"/>
        <v/>
      </c>
      <c r="C157" s="95"/>
      <c r="D157" s="46"/>
      <c r="E157" s="58"/>
      <c r="F157" s="67"/>
      <c r="G157" s="53"/>
      <c r="H157" s="53"/>
      <c r="I157" s="50"/>
      <c r="J157" s="51"/>
      <c r="K157" s="129" t="str">
        <f t="shared" si="38"/>
        <v/>
      </c>
      <c r="L157" s="103" t="str">
        <f t="shared" si="39"/>
        <v/>
      </c>
      <c r="M157" s="53">
        <v>0</v>
      </c>
      <c r="N157" s="102" t="str">
        <f t="shared" si="40"/>
        <v/>
      </c>
      <c r="O157" s="103" t="str">
        <f t="shared" si="41"/>
        <v/>
      </c>
      <c r="P157" s="53">
        <v>0</v>
      </c>
      <c r="Q157" s="102" t="str">
        <f t="shared" si="42"/>
        <v/>
      </c>
      <c r="R157" s="103" t="str">
        <f t="shared" si="43"/>
        <v/>
      </c>
      <c r="S157" s="53">
        <v>0</v>
      </c>
      <c r="T157" s="102" t="str">
        <f t="shared" si="44"/>
        <v/>
      </c>
      <c r="U157" s="103" t="str">
        <f t="shared" si="45"/>
        <v/>
      </c>
      <c r="V157" s="53">
        <v>0</v>
      </c>
      <c r="W157" s="87" t="str">
        <f t="shared" si="46"/>
        <v/>
      </c>
      <c r="X157" s="103" t="str">
        <f t="shared" si="47"/>
        <v/>
      </c>
      <c r="Y157" s="53">
        <v>0</v>
      </c>
      <c r="Z157" s="56" t="str">
        <f t="shared" si="48"/>
        <v/>
      </c>
      <c r="AA157" s="56" t="str">
        <f t="shared" si="49"/>
        <v/>
      </c>
      <c r="AB157" s="56" t="str">
        <f t="shared" si="50"/>
        <v/>
      </c>
      <c r="AC157" s="56" t="str">
        <f t="shared" si="51"/>
        <v/>
      </c>
      <c r="AD157" s="56" t="str">
        <f t="shared" si="52"/>
        <v/>
      </c>
      <c r="AE157" s="40"/>
      <c r="AF157" s="40"/>
      <c r="AG157" s="40"/>
      <c r="AH157" s="56" t="str">
        <f t="shared" si="36"/>
        <v/>
      </c>
      <c r="AI157" s="54"/>
      <c r="AJ157" s="54"/>
      <c r="AK157" s="54"/>
      <c r="AL157" s="54"/>
      <c r="AM157" s="54"/>
    </row>
    <row r="158" spans="1:39">
      <c r="A158" s="45" t="str" cm="1">
        <f t="array" ref="A158">IF(H158="PROJECT", CHAR(10) &amp; "- " &amp; _xlfn.TEXTJOIN(CHAR(10) &amp; "- ", TRUE, _xlfn._xlws.FILTER($I$9:$I$1000, ($B$9:$B$1000=B158) * ($H$9:$H$1000="Topic"))), "")</f>
        <v/>
      </c>
      <c r="B158" s="45" t="str">
        <f t="shared" si="37"/>
        <v/>
      </c>
      <c r="C158" s="95"/>
      <c r="D158" s="57"/>
      <c r="E158" s="58"/>
      <c r="F158" s="54"/>
      <c r="G158" s="52"/>
      <c r="H158" s="52"/>
      <c r="I158" s="61"/>
      <c r="J158" s="62"/>
      <c r="K158" s="129" t="str">
        <f t="shared" si="38"/>
        <v/>
      </c>
      <c r="L158" s="103" t="str">
        <f t="shared" si="39"/>
        <v/>
      </c>
      <c r="M158" s="52">
        <v>0</v>
      </c>
      <c r="N158" s="102" t="str">
        <f t="shared" si="40"/>
        <v/>
      </c>
      <c r="O158" s="103" t="str">
        <f t="shared" si="41"/>
        <v/>
      </c>
      <c r="P158" s="52">
        <v>0</v>
      </c>
      <c r="Q158" s="102" t="str">
        <f t="shared" si="42"/>
        <v/>
      </c>
      <c r="R158" s="103" t="str">
        <f t="shared" si="43"/>
        <v/>
      </c>
      <c r="S158" s="52">
        <v>0</v>
      </c>
      <c r="T158" s="102" t="str">
        <f t="shared" si="44"/>
        <v/>
      </c>
      <c r="U158" s="103" t="str">
        <f t="shared" si="45"/>
        <v/>
      </c>
      <c r="V158" s="52">
        <v>0</v>
      </c>
      <c r="W158" s="87" t="str">
        <f t="shared" si="46"/>
        <v/>
      </c>
      <c r="X158" s="103" t="str">
        <f t="shared" si="47"/>
        <v/>
      </c>
      <c r="Y158" s="52">
        <v>0</v>
      </c>
      <c r="Z158" s="56" t="str">
        <f t="shared" si="48"/>
        <v/>
      </c>
      <c r="AA158" s="56" t="str">
        <f t="shared" si="49"/>
        <v/>
      </c>
      <c r="AB158" s="56" t="str">
        <f t="shared" si="50"/>
        <v/>
      </c>
      <c r="AC158" s="56" t="str">
        <f t="shared" si="51"/>
        <v/>
      </c>
      <c r="AD158" s="56" t="str">
        <f t="shared" si="52"/>
        <v/>
      </c>
      <c r="AE158" s="40"/>
      <c r="AF158" s="40"/>
      <c r="AG158" s="40"/>
      <c r="AH158" s="56" t="str">
        <f t="shared" si="36"/>
        <v/>
      </c>
      <c r="AI158" s="54"/>
      <c r="AJ158" s="54"/>
      <c r="AK158" s="54"/>
      <c r="AL158" s="54"/>
      <c r="AM158" s="54"/>
    </row>
    <row r="159" spans="1:39">
      <c r="A159" s="45" t="str" cm="1">
        <f t="array" ref="A159">IF(H159="PROJECT", CHAR(10) &amp; "- " &amp; _xlfn.TEXTJOIN(CHAR(10) &amp; "- ", TRUE, _xlfn._xlws.FILTER($I$9:$I$1000, ($B$9:$B$1000=B159) * ($H$9:$H$1000="Topic"))), "")</f>
        <v/>
      </c>
      <c r="B159" s="45" t="str">
        <f t="shared" si="37"/>
        <v/>
      </c>
      <c r="C159" s="95"/>
      <c r="D159" s="46"/>
      <c r="E159" s="58"/>
      <c r="F159" s="67"/>
      <c r="G159" s="53"/>
      <c r="H159" s="53"/>
      <c r="I159" s="50"/>
      <c r="J159" s="51"/>
      <c r="K159" s="129" t="str">
        <f t="shared" si="38"/>
        <v/>
      </c>
      <c r="L159" s="103" t="str">
        <f t="shared" si="39"/>
        <v/>
      </c>
      <c r="M159" s="53">
        <v>0</v>
      </c>
      <c r="N159" s="102" t="str">
        <f t="shared" si="40"/>
        <v/>
      </c>
      <c r="O159" s="103" t="str">
        <f t="shared" si="41"/>
        <v/>
      </c>
      <c r="P159" s="53">
        <v>0</v>
      </c>
      <c r="Q159" s="102" t="str">
        <f t="shared" si="42"/>
        <v/>
      </c>
      <c r="R159" s="103" t="str">
        <f t="shared" si="43"/>
        <v/>
      </c>
      <c r="S159" s="53">
        <v>0</v>
      </c>
      <c r="T159" s="102" t="str">
        <f t="shared" si="44"/>
        <v/>
      </c>
      <c r="U159" s="103" t="str">
        <f t="shared" si="45"/>
        <v/>
      </c>
      <c r="V159" s="53">
        <v>0</v>
      </c>
      <c r="W159" s="87" t="str">
        <f t="shared" si="46"/>
        <v/>
      </c>
      <c r="X159" s="103" t="str">
        <f t="shared" si="47"/>
        <v/>
      </c>
      <c r="Y159" s="53">
        <v>0</v>
      </c>
      <c r="Z159" s="56" t="str">
        <f t="shared" si="48"/>
        <v/>
      </c>
      <c r="AA159" s="56" t="str">
        <f t="shared" si="49"/>
        <v/>
      </c>
      <c r="AB159" s="56" t="str">
        <f t="shared" si="50"/>
        <v/>
      </c>
      <c r="AC159" s="56" t="str">
        <f t="shared" si="51"/>
        <v/>
      </c>
      <c r="AD159" s="56" t="str">
        <f t="shared" si="52"/>
        <v/>
      </c>
      <c r="AE159" s="40"/>
      <c r="AF159" s="40"/>
      <c r="AG159" s="40"/>
      <c r="AH159" s="56" t="str">
        <f t="shared" si="36"/>
        <v/>
      </c>
      <c r="AI159" s="54"/>
      <c r="AJ159" s="54"/>
      <c r="AK159" s="54"/>
      <c r="AL159" s="54"/>
      <c r="AM159" s="54"/>
    </row>
    <row r="160" spans="1:39">
      <c r="A160" s="45" t="str" cm="1">
        <f t="array" ref="A160">IF(H160="PROJECT", CHAR(10) &amp; "- " &amp; _xlfn.TEXTJOIN(CHAR(10) &amp; "- ", TRUE, _xlfn._xlws.FILTER($I$9:$I$1000, ($B$9:$B$1000=B160) * ($H$9:$H$1000="Topic"))), "")</f>
        <v/>
      </c>
      <c r="B160" s="45" t="str">
        <f t="shared" si="37"/>
        <v/>
      </c>
      <c r="C160" s="95"/>
      <c r="D160" s="57"/>
      <c r="E160" s="58"/>
      <c r="F160" s="54"/>
      <c r="G160" s="52"/>
      <c r="H160" s="52"/>
      <c r="I160" s="61"/>
      <c r="J160" s="62"/>
      <c r="K160" s="129" t="str">
        <f t="shared" si="38"/>
        <v/>
      </c>
      <c r="L160" s="103" t="str">
        <f t="shared" si="39"/>
        <v/>
      </c>
      <c r="M160" s="52">
        <v>0</v>
      </c>
      <c r="N160" s="102" t="str">
        <f t="shared" si="40"/>
        <v/>
      </c>
      <c r="O160" s="103" t="str">
        <f t="shared" si="41"/>
        <v/>
      </c>
      <c r="P160" s="52">
        <v>0</v>
      </c>
      <c r="Q160" s="102" t="str">
        <f t="shared" si="42"/>
        <v/>
      </c>
      <c r="R160" s="103" t="str">
        <f t="shared" si="43"/>
        <v/>
      </c>
      <c r="S160" s="52">
        <v>0</v>
      </c>
      <c r="T160" s="102" t="str">
        <f t="shared" si="44"/>
        <v/>
      </c>
      <c r="U160" s="103" t="str">
        <f t="shared" si="45"/>
        <v/>
      </c>
      <c r="V160" s="52">
        <v>0</v>
      </c>
      <c r="W160" s="87" t="str">
        <f t="shared" si="46"/>
        <v/>
      </c>
      <c r="X160" s="103" t="str">
        <f t="shared" si="47"/>
        <v/>
      </c>
      <c r="Y160" s="52">
        <v>0</v>
      </c>
      <c r="Z160" s="56" t="str">
        <f t="shared" si="48"/>
        <v/>
      </c>
      <c r="AA160" s="56" t="str">
        <f t="shared" si="49"/>
        <v/>
      </c>
      <c r="AB160" s="56" t="str">
        <f t="shared" si="50"/>
        <v/>
      </c>
      <c r="AC160" s="56" t="str">
        <f t="shared" si="51"/>
        <v/>
      </c>
      <c r="AD160" s="56" t="str">
        <f t="shared" si="52"/>
        <v/>
      </c>
      <c r="AE160" s="40"/>
      <c r="AF160" s="40"/>
      <c r="AG160" s="40"/>
      <c r="AH160" s="56" t="str">
        <f t="shared" si="36"/>
        <v/>
      </c>
      <c r="AI160" s="54"/>
      <c r="AJ160" s="54"/>
      <c r="AK160" s="54"/>
      <c r="AL160" s="54"/>
      <c r="AM160" s="54"/>
    </row>
    <row r="161" spans="1:39">
      <c r="A161" s="45" t="str" cm="1">
        <f t="array" ref="A161">IF(H161="PROJECT", CHAR(10) &amp; "- " &amp; _xlfn.TEXTJOIN(CHAR(10) &amp; "- ", TRUE, _xlfn._xlws.FILTER($I$9:$I$1000, ($B$9:$B$1000=B161) * ($H$9:$H$1000="Topic"))), "")</f>
        <v/>
      </c>
      <c r="B161" s="45" t="str">
        <f t="shared" si="37"/>
        <v/>
      </c>
      <c r="C161" s="95"/>
      <c r="D161" s="46"/>
      <c r="E161" s="58"/>
      <c r="F161" s="67"/>
      <c r="G161" s="53"/>
      <c r="H161" s="53"/>
      <c r="I161" s="50"/>
      <c r="J161" s="51"/>
      <c r="K161" s="129" t="str">
        <f t="shared" si="38"/>
        <v/>
      </c>
      <c r="L161" s="103" t="str">
        <f t="shared" si="39"/>
        <v/>
      </c>
      <c r="M161" s="53">
        <v>0</v>
      </c>
      <c r="N161" s="102" t="str">
        <f t="shared" si="40"/>
        <v/>
      </c>
      <c r="O161" s="103" t="str">
        <f t="shared" si="41"/>
        <v/>
      </c>
      <c r="P161" s="53">
        <v>0</v>
      </c>
      <c r="Q161" s="102" t="str">
        <f t="shared" si="42"/>
        <v/>
      </c>
      <c r="R161" s="103" t="str">
        <f t="shared" si="43"/>
        <v/>
      </c>
      <c r="S161" s="53">
        <v>0</v>
      </c>
      <c r="T161" s="102" t="str">
        <f t="shared" si="44"/>
        <v/>
      </c>
      <c r="U161" s="103" t="str">
        <f t="shared" si="45"/>
        <v/>
      </c>
      <c r="V161" s="53">
        <v>0</v>
      </c>
      <c r="W161" s="87" t="str">
        <f t="shared" si="46"/>
        <v/>
      </c>
      <c r="X161" s="103" t="str">
        <f t="shared" si="47"/>
        <v/>
      </c>
      <c r="Y161" s="53">
        <v>0</v>
      </c>
      <c r="Z161" s="56" t="str">
        <f t="shared" si="48"/>
        <v/>
      </c>
      <c r="AA161" s="56" t="str">
        <f t="shared" si="49"/>
        <v/>
      </c>
      <c r="AB161" s="56" t="str">
        <f t="shared" si="50"/>
        <v/>
      </c>
      <c r="AC161" s="56" t="str">
        <f t="shared" si="51"/>
        <v/>
      </c>
      <c r="AD161" s="56" t="str">
        <f t="shared" si="52"/>
        <v/>
      </c>
      <c r="AE161" s="40"/>
      <c r="AF161" s="40"/>
      <c r="AG161" s="40"/>
      <c r="AH161" s="56" t="str">
        <f t="shared" si="36"/>
        <v/>
      </c>
      <c r="AI161" s="54"/>
      <c r="AJ161" s="54"/>
      <c r="AK161" s="54"/>
      <c r="AL161" s="54"/>
      <c r="AM161" s="54"/>
    </row>
    <row r="162" spans="1:39">
      <c r="A162" s="45" t="str" cm="1">
        <f t="array" ref="A162">IF(H162="PROJECT", CHAR(10) &amp; "- " &amp; _xlfn.TEXTJOIN(CHAR(10) &amp; "- ", TRUE, _xlfn._xlws.FILTER($I$9:$I$1000, ($B$9:$B$1000=B162) * ($H$9:$H$1000="Topic"))), "")</f>
        <v/>
      </c>
      <c r="B162" s="45" t="str">
        <f t="shared" si="37"/>
        <v/>
      </c>
      <c r="C162" s="95"/>
      <c r="D162" s="57"/>
      <c r="E162" s="58"/>
      <c r="F162" s="54"/>
      <c r="G162" s="52"/>
      <c r="H162" s="52"/>
      <c r="I162" s="61"/>
      <c r="J162" s="62"/>
      <c r="K162" s="129" t="str">
        <f t="shared" si="38"/>
        <v/>
      </c>
      <c r="L162" s="103" t="str">
        <f t="shared" si="39"/>
        <v/>
      </c>
      <c r="M162" s="52">
        <v>0</v>
      </c>
      <c r="N162" s="102" t="str">
        <f t="shared" si="40"/>
        <v/>
      </c>
      <c r="O162" s="103" t="str">
        <f t="shared" si="41"/>
        <v/>
      </c>
      <c r="P162" s="52">
        <v>0</v>
      </c>
      <c r="Q162" s="102" t="str">
        <f t="shared" si="42"/>
        <v/>
      </c>
      <c r="R162" s="103" t="str">
        <f t="shared" si="43"/>
        <v/>
      </c>
      <c r="S162" s="52">
        <v>0</v>
      </c>
      <c r="T162" s="102" t="str">
        <f t="shared" si="44"/>
        <v/>
      </c>
      <c r="U162" s="103" t="str">
        <f t="shared" si="45"/>
        <v/>
      </c>
      <c r="V162" s="52">
        <v>0</v>
      </c>
      <c r="W162" s="87" t="str">
        <f t="shared" si="46"/>
        <v/>
      </c>
      <c r="X162" s="103" t="str">
        <f t="shared" si="47"/>
        <v/>
      </c>
      <c r="Y162" s="52">
        <v>0</v>
      </c>
      <c r="Z162" s="56" t="str">
        <f t="shared" si="48"/>
        <v/>
      </c>
      <c r="AA162" s="56" t="str">
        <f t="shared" si="49"/>
        <v/>
      </c>
      <c r="AB162" s="56" t="str">
        <f t="shared" si="50"/>
        <v/>
      </c>
      <c r="AC162" s="56" t="str">
        <f t="shared" si="51"/>
        <v/>
      </c>
      <c r="AD162" s="56" t="str">
        <f t="shared" si="52"/>
        <v/>
      </c>
      <c r="AE162" s="40"/>
      <c r="AF162" s="40"/>
      <c r="AG162" s="40"/>
      <c r="AH162" s="56" t="str">
        <f t="shared" si="36"/>
        <v/>
      </c>
      <c r="AI162" s="54"/>
      <c r="AJ162" s="54"/>
      <c r="AK162" s="54"/>
      <c r="AL162" s="54"/>
      <c r="AM162" s="54"/>
    </row>
    <row r="163" spans="1:39">
      <c r="A163" s="45" t="str" cm="1">
        <f t="array" ref="A163">IF(H163="PROJECT", CHAR(10) &amp; "- " &amp; _xlfn.TEXTJOIN(CHAR(10) &amp; "- ", TRUE, _xlfn._xlws.FILTER($I$9:$I$1000, ($B$9:$B$1000=B163) * ($H$9:$H$1000="Topic"))), "")</f>
        <v/>
      </c>
      <c r="B163" s="45" t="str">
        <f t="shared" si="37"/>
        <v/>
      </c>
      <c r="C163" s="95"/>
      <c r="D163" s="46"/>
      <c r="E163" s="58"/>
      <c r="F163" s="67"/>
      <c r="G163" s="53"/>
      <c r="H163" s="53"/>
      <c r="I163" s="50"/>
      <c r="J163" s="51"/>
      <c r="K163" s="129" t="str">
        <f t="shared" si="38"/>
        <v/>
      </c>
      <c r="L163" s="103" t="str">
        <f t="shared" si="39"/>
        <v/>
      </c>
      <c r="M163" s="53">
        <v>0</v>
      </c>
      <c r="N163" s="102" t="str">
        <f t="shared" si="40"/>
        <v/>
      </c>
      <c r="O163" s="103" t="str">
        <f t="shared" si="41"/>
        <v/>
      </c>
      <c r="P163" s="53">
        <v>0</v>
      </c>
      <c r="Q163" s="102" t="str">
        <f t="shared" si="42"/>
        <v/>
      </c>
      <c r="R163" s="103" t="str">
        <f t="shared" si="43"/>
        <v/>
      </c>
      <c r="S163" s="53">
        <v>0</v>
      </c>
      <c r="T163" s="102" t="str">
        <f t="shared" si="44"/>
        <v/>
      </c>
      <c r="U163" s="103" t="str">
        <f t="shared" si="45"/>
        <v/>
      </c>
      <c r="V163" s="53">
        <v>0</v>
      </c>
      <c r="W163" s="87" t="str">
        <f t="shared" si="46"/>
        <v/>
      </c>
      <c r="X163" s="103" t="str">
        <f t="shared" si="47"/>
        <v/>
      </c>
      <c r="Y163" s="53">
        <v>0</v>
      </c>
      <c r="Z163" s="56" t="str">
        <f t="shared" si="48"/>
        <v/>
      </c>
      <c r="AA163" s="56" t="str">
        <f t="shared" si="49"/>
        <v/>
      </c>
      <c r="AB163" s="56" t="str">
        <f t="shared" si="50"/>
        <v/>
      </c>
      <c r="AC163" s="56" t="str">
        <f t="shared" si="51"/>
        <v/>
      </c>
      <c r="AD163" s="56" t="str">
        <f t="shared" si="52"/>
        <v/>
      </c>
      <c r="AE163" s="40"/>
      <c r="AF163" s="40"/>
      <c r="AG163" s="40"/>
      <c r="AH163" s="56" t="str">
        <f t="shared" si="36"/>
        <v/>
      </c>
      <c r="AI163" s="54"/>
      <c r="AJ163" s="54"/>
      <c r="AK163" s="54"/>
      <c r="AL163" s="54"/>
      <c r="AM163" s="54"/>
    </row>
    <row r="164" spans="1:39">
      <c r="A164" s="45" t="str" cm="1">
        <f t="array" ref="A164">IF(H164="PROJECT", CHAR(10) &amp; "- " &amp; _xlfn.TEXTJOIN(CHAR(10) &amp; "- ", TRUE, _xlfn._xlws.FILTER($I$9:$I$1000, ($B$9:$B$1000=B164) * ($H$9:$H$1000="Topic"))), "")</f>
        <v/>
      </c>
      <c r="B164" s="45" t="str">
        <f t="shared" si="37"/>
        <v/>
      </c>
      <c r="C164" s="95"/>
      <c r="D164" s="57"/>
      <c r="E164" s="58"/>
      <c r="F164" s="54"/>
      <c r="G164" s="52"/>
      <c r="H164" s="52"/>
      <c r="I164" s="61"/>
      <c r="J164" s="62"/>
      <c r="K164" s="129" t="str">
        <f t="shared" si="38"/>
        <v/>
      </c>
      <c r="L164" s="103" t="str">
        <f t="shared" si="39"/>
        <v/>
      </c>
      <c r="M164" s="52">
        <v>0</v>
      </c>
      <c r="N164" s="102" t="str">
        <f t="shared" si="40"/>
        <v/>
      </c>
      <c r="O164" s="103" t="str">
        <f t="shared" si="41"/>
        <v/>
      </c>
      <c r="P164" s="52">
        <v>0</v>
      </c>
      <c r="Q164" s="102" t="str">
        <f t="shared" si="42"/>
        <v/>
      </c>
      <c r="R164" s="103" t="str">
        <f t="shared" si="43"/>
        <v/>
      </c>
      <c r="S164" s="52">
        <v>0</v>
      </c>
      <c r="T164" s="102" t="str">
        <f t="shared" si="44"/>
        <v/>
      </c>
      <c r="U164" s="103" t="str">
        <f t="shared" si="45"/>
        <v/>
      </c>
      <c r="V164" s="52">
        <v>0</v>
      </c>
      <c r="W164" s="87" t="str">
        <f t="shared" si="46"/>
        <v/>
      </c>
      <c r="X164" s="103" t="str">
        <f t="shared" si="47"/>
        <v/>
      </c>
      <c r="Y164" s="52">
        <v>0</v>
      </c>
      <c r="Z164" s="56" t="str">
        <f t="shared" si="48"/>
        <v/>
      </c>
      <c r="AA164" s="56" t="str">
        <f t="shared" si="49"/>
        <v/>
      </c>
      <c r="AB164" s="56" t="str">
        <f t="shared" si="50"/>
        <v/>
      </c>
      <c r="AC164" s="56" t="str">
        <f t="shared" si="51"/>
        <v/>
      </c>
      <c r="AD164" s="56" t="str">
        <f t="shared" si="52"/>
        <v/>
      </c>
      <c r="AE164" s="40"/>
      <c r="AF164" s="40"/>
      <c r="AG164" s="40"/>
      <c r="AH164" s="56" t="str">
        <f t="shared" si="36"/>
        <v/>
      </c>
      <c r="AI164" s="54"/>
      <c r="AJ164" s="54"/>
      <c r="AK164" s="54"/>
      <c r="AL164" s="54"/>
      <c r="AM164" s="54"/>
    </row>
    <row r="165" spans="1:39">
      <c r="A165" s="45" t="str" cm="1">
        <f t="array" ref="A165">IF(H165="PROJECT", CHAR(10) &amp; "- " &amp; _xlfn.TEXTJOIN(CHAR(10) &amp; "- ", TRUE, _xlfn._xlws.FILTER($I$9:$I$1000, ($B$9:$B$1000=B165) * ($H$9:$H$1000="Topic"))), "")</f>
        <v/>
      </c>
      <c r="B165" s="45" t="str">
        <f t="shared" si="37"/>
        <v/>
      </c>
      <c r="C165" s="95"/>
      <c r="D165" s="46"/>
      <c r="E165" s="58"/>
      <c r="F165" s="67"/>
      <c r="G165" s="53"/>
      <c r="H165" s="53"/>
      <c r="I165" s="50"/>
      <c r="J165" s="51"/>
      <c r="K165" s="129" t="str">
        <f t="shared" si="38"/>
        <v/>
      </c>
      <c r="L165" s="103" t="str">
        <f t="shared" si="39"/>
        <v/>
      </c>
      <c r="M165" s="53">
        <v>0</v>
      </c>
      <c r="N165" s="102" t="str">
        <f t="shared" si="40"/>
        <v/>
      </c>
      <c r="O165" s="103" t="str">
        <f t="shared" si="41"/>
        <v/>
      </c>
      <c r="P165" s="53">
        <v>0</v>
      </c>
      <c r="Q165" s="102" t="str">
        <f t="shared" si="42"/>
        <v/>
      </c>
      <c r="R165" s="103" t="str">
        <f t="shared" si="43"/>
        <v/>
      </c>
      <c r="S165" s="53">
        <v>0</v>
      </c>
      <c r="T165" s="102" t="str">
        <f t="shared" si="44"/>
        <v/>
      </c>
      <c r="U165" s="103" t="str">
        <f t="shared" si="45"/>
        <v/>
      </c>
      <c r="V165" s="53">
        <v>0</v>
      </c>
      <c r="W165" s="87" t="str">
        <f t="shared" si="46"/>
        <v/>
      </c>
      <c r="X165" s="103" t="str">
        <f t="shared" si="47"/>
        <v/>
      </c>
      <c r="Y165" s="53">
        <v>0</v>
      </c>
      <c r="Z165" s="56" t="str">
        <f t="shared" si="48"/>
        <v/>
      </c>
      <c r="AA165" s="56" t="str">
        <f t="shared" si="49"/>
        <v/>
      </c>
      <c r="AB165" s="56" t="str">
        <f t="shared" si="50"/>
        <v/>
      </c>
      <c r="AC165" s="56" t="str">
        <f t="shared" si="51"/>
        <v/>
      </c>
      <c r="AD165" s="56" t="str">
        <f t="shared" si="52"/>
        <v/>
      </c>
      <c r="AE165" s="40"/>
      <c r="AF165" s="40"/>
      <c r="AG165" s="40"/>
      <c r="AH165" s="56" t="str">
        <f t="shared" si="36"/>
        <v/>
      </c>
      <c r="AI165" s="54"/>
      <c r="AJ165" s="54"/>
      <c r="AK165" s="54"/>
      <c r="AL165" s="54"/>
      <c r="AM165" s="54"/>
    </row>
    <row r="166" spans="1:39">
      <c r="A166" s="45" t="str" cm="1">
        <f t="array" ref="A166">IF(H166="PROJECT", CHAR(10) &amp; "- " &amp; _xlfn.TEXTJOIN(CHAR(10) &amp; "- ", TRUE, _xlfn._xlws.FILTER($I$9:$I$1000, ($B$9:$B$1000=B166) * ($H$9:$H$1000="Topic"))), "")</f>
        <v/>
      </c>
      <c r="B166" s="45" t="str">
        <f t="shared" si="37"/>
        <v/>
      </c>
      <c r="C166" s="95"/>
      <c r="D166" s="57"/>
      <c r="E166" s="58"/>
      <c r="F166" s="54"/>
      <c r="G166" s="52"/>
      <c r="H166" s="52"/>
      <c r="I166" s="61"/>
      <c r="J166" s="62"/>
      <c r="K166" s="129" t="str">
        <f t="shared" si="38"/>
        <v/>
      </c>
      <c r="L166" s="103" t="str">
        <f t="shared" si="39"/>
        <v/>
      </c>
      <c r="M166" s="52">
        <v>0</v>
      </c>
      <c r="N166" s="102" t="str">
        <f t="shared" si="40"/>
        <v/>
      </c>
      <c r="O166" s="103" t="str">
        <f t="shared" si="41"/>
        <v/>
      </c>
      <c r="P166" s="52">
        <v>0</v>
      </c>
      <c r="Q166" s="102" t="str">
        <f t="shared" si="42"/>
        <v/>
      </c>
      <c r="R166" s="103" t="str">
        <f t="shared" si="43"/>
        <v/>
      </c>
      <c r="S166" s="52">
        <v>0</v>
      </c>
      <c r="T166" s="102" t="str">
        <f t="shared" si="44"/>
        <v/>
      </c>
      <c r="U166" s="103" t="str">
        <f t="shared" si="45"/>
        <v/>
      </c>
      <c r="V166" s="52">
        <v>0</v>
      </c>
      <c r="W166" s="87" t="str">
        <f t="shared" si="46"/>
        <v/>
      </c>
      <c r="X166" s="103" t="str">
        <f t="shared" si="47"/>
        <v/>
      </c>
      <c r="Y166" s="52">
        <v>0</v>
      </c>
      <c r="Z166" s="56" t="str">
        <f t="shared" si="48"/>
        <v/>
      </c>
      <c r="AA166" s="56" t="str">
        <f t="shared" si="49"/>
        <v/>
      </c>
      <c r="AB166" s="56" t="str">
        <f t="shared" si="50"/>
        <v/>
      </c>
      <c r="AC166" s="56" t="str">
        <f t="shared" si="51"/>
        <v/>
      </c>
      <c r="AD166" s="56" t="str">
        <f t="shared" si="52"/>
        <v/>
      </c>
      <c r="AE166" s="40"/>
      <c r="AF166" s="40"/>
      <c r="AG166" s="40"/>
      <c r="AH166" s="56" t="str">
        <f t="shared" si="36"/>
        <v/>
      </c>
      <c r="AI166" s="54"/>
      <c r="AJ166" s="54"/>
      <c r="AK166" s="54"/>
      <c r="AL166" s="54"/>
      <c r="AM166" s="54"/>
    </row>
    <row r="167" spans="1:39">
      <c r="A167" s="45" t="str" cm="1">
        <f t="array" ref="A167">IF(H167="PROJECT", CHAR(10) &amp; "- " &amp; _xlfn.TEXTJOIN(CHAR(10) &amp; "- ", TRUE, _xlfn._xlws.FILTER($I$9:$I$1000, ($B$9:$B$1000=B167) * ($H$9:$H$1000="Topic"))), "")</f>
        <v/>
      </c>
      <c r="B167" s="45" t="str">
        <f t="shared" si="37"/>
        <v/>
      </c>
      <c r="C167" s="95"/>
      <c r="D167" s="46"/>
      <c r="E167" s="58"/>
      <c r="F167" s="67"/>
      <c r="G167" s="53"/>
      <c r="H167" s="53"/>
      <c r="I167" s="50"/>
      <c r="J167" s="51"/>
      <c r="K167" s="129" t="str">
        <f t="shared" si="38"/>
        <v/>
      </c>
      <c r="L167" s="103" t="str">
        <f t="shared" si="39"/>
        <v/>
      </c>
      <c r="M167" s="53">
        <v>0</v>
      </c>
      <c r="N167" s="102" t="str">
        <f t="shared" si="40"/>
        <v/>
      </c>
      <c r="O167" s="103" t="str">
        <f t="shared" si="41"/>
        <v/>
      </c>
      <c r="P167" s="53">
        <v>0</v>
      </c>
      <c r="Q167" s="102" t="str">
        <f t="shared" si="42"/>
        <v/>
      </c>
      <c r="R167" s="103" t="str">
        <f t="shared" si="43"/>
        <v/>
      </c>
      <c r="S167" s="53">
        <v>0</v>
      </c>
      <c r="T167" s="102" t="str">
        <f t="shared" si="44"/>
        <v/>
      </c>
      <c r="U167" s="103" t="str">
        <f t="shared" si="45"/>
        <v/>
      </c>
      <c r="V167" s="53">
        <v>0</v>
      </c>
      <c r="W167" s="87" t="str">
        <f t="shared" si="46"/>
        <v/>
      </c>
      <c r="X167" s="103" t="str">
        <f t="shared" si="47"/>
        <v/>
      </c>
      <c r="Y167" s="53">
        <v>0</v>
      </c>
      <c r="Z167" s="56" t="str">
        <f t="shared" si="48"/>
        <v/>
      </c>
      <c r="AA167" s="56" t="str">
        <f t="shared" si="49"/>
        <v/>
      </c>
      <c r="AB167" s="56" t="str">
        <f t="shared" si="50"/>
        <v/>
      </c>
      <c r="AC167" s="56" t="str">
        <f t="shared" si="51"/>
        <v/>
      </c>
      <c r="AD167" s="56" t="str">
        <f t="shared" si="52"/>
        <v/>
      </c>
      <c r="AE167" s="40"/>
      <c r="AF167" s="40"/>
      <c r="AG167" s="40"/>
      <c r="AH167" s="56" t="str">
        <f t="shared" si="36"/>
        <v/>
      </c>
      <c r="AI167" s="54"/>
      <c r="AJ167" s="54"/>
      <c r="AK167" s="54"/>
      <c r="AL167" s="54"/>
      <c r="AM167" s="54"/>
    </row>
    <row r="168" spans="1:39">
      <c r="A168" s="45" t="str" cm="1">
        <f t="array" ref="A168">IF(H168="PROJECT", CHAR(10) &amp; "- " &amp; _xlfn.TEXTJOIN(CHAR(10) &amp; "- ", TRUE, _xlfn._xlws.FILTER($I$9:$I$1000, ($B$9:$B$1000=B168) * ($H$9:$H$1000="Topic"))), "")</f>
        <v/>
      </c>
      <c r="B168" s="45" t="str">
        <f t="shared" si="37"/>
        <v/>
      </c>
      <c r="C168" s="95"/>
      <c r="D168" s="57"/>
      <c r="E168" s="58"/>
      <c r="F168" s="54"/>
      <c r="G168" s="52"/>
      <c r="H168" s="52"/>
      <c r="I168" s="61"/>
      <c r="J168" s="62"/>
      <c r="K168" s="129" t="str">
        <f t="shared" si="38"/>
        <v/>
      </c>
      <c r="L168" s="103" t="str">
        <f t="shared" si="39"/>
        <v/>
      </c>
      <c r="M168" s="52">
        <v>0</v>
      </c>
      <c r="N168" s="102" t="str">
        <f t="shared" si="40"/>
        <v/>
      </c>
      <c r="O168" s="103" t="str">
        <f t="shared" si="41"/>
        <v/>
      </c>
      <c r="P168" s="52">
        <v>0</v>
      </c>
      <c r="Q168" s="102" t="str">
        <f t="shared" si="42"/>
        <v/>
      </c>
      <c r="R168" s="103" t="str">
        <f t="shared" si="43"/>
        <v/>
      </c>
      <c r="S168" s="52">
        <v>0</v>
      </c>
      <c r="T168" s="102" t="str">
        <f t="shared" si="44"/>
        <v/>
      </c>
      <c r="U168" s="103" t="str">
        <f t="shared" si="45"/>
        <v/>
      </c>
      <c r="V168" s="52">
        <v>0</v>
      </c>
      <c r="W168" s="87" t="str">
        <f t="shared" si="46"/>
        <v/>
      </c>
      <c r="X168" s="103" t="str">
        <f t="shared" si="47"/>
        <v/>
      </c>
      <c r="Y168" s="52">
        <v>0</v>
      </c>
      <c r="Z168" s="56" t="str">
        <f t="shared" si="48"/>
        <v/>
      </c>
      <c r="AA168" s="56" t="str">
        <f t="shared" si="49"/>
        <v/>
      </c>
      <c r="AB168" s="56" t="str">
        <f t="shared" si="50"/>
        <v/>
      </c>
      <c r="AC168" s="56" t="str">
        <f t="shared" si="51"/>
        <v/>
      </c>
      <c r="AD168" s="56" t="str">
        <f t="shared" si="52"/>
        <v/>
      </c>
      <c r="AE168" s="40"/>
      <c r="AF168" s="40"/>
      <c r="AG168" s="40"/>
      <c r="AH168" s="56" t="str">
        <f t="shared" si="36"/>
        <v/>
      </c>
      <c r="AI168" s="54"/>
      <c r="AJ168" s="54"/>
      <c r="AK168" s="54"/>
      <c r="AL168" s="54"/>
      <c r="AM168" s="54"/>
    </row>
    <row r="169" spans="1:39">
      <c r="A169" s="45" t="str" cm="1">
        <f t="array" ref="A169">IF(H169="PROJECT", CHAR(10) &amp; "- " &amp; _xlfn.TEXTJOIN(CHAR(10) &amp; "- ", TRUE, _xlfn._xlws.FILTER($I$9:$I$1000, ($B$9:$B$1000=B169) * ($H$9:$H$1000="Topic"))), "")</f>
        <v/>
      </c>
      <c r="B169" s="45" t="str">
        <f t="shared" si="37"/>
        <v/>
      </c>
      <c r="C169" s="95"/>
      <c r="D169" s="46"/>
      <c r="E169" s="58"/>
      <c r="F169" s="67"/>
      <c r="G169" s="53"/>
      <c r="H169" s="53"/>
      <c r="I169" s="50"/>
      <c r="J169" s="51"/>
      <c r="K169" s="129" t="str">
        <f t="shared" si="38"/>
        <v/>
      </c>
      <c r="L169" s="103" t="str">
        <f t="shared" si="39"/>
        <v/>
      </c>
      <c r="M169" s="53">
        <v>0</v>
      </c>
      <c r="N169" s="102" t="str">
        <f t="shared" si="40"/>
        <v/>
      </c>
      <c r="O169" s="103" t="str">
        <f t="shared" si="41"/>
        <v/>
      </c>
      <c r="P169" s="53">
        <v>0</v>
      </c>
      <c r="Q169" s="102" t="str">
        <f t="shared" si="42"/>
        <v/>
      </c>
      <c r="R169" s="103" t="str">
        <f t="shared" si="43"/>
        <v/>
      </c>
      <c r="S169" s="53">
        <v>0</v>
      </c>
      <c r="T169" s="102" t="str">
        <f t="shared" si="44"/>
        <v/>
      </c>
      <c r="U169" s="103" t="str">
        <f t="shared" si="45"/>
        <v/>
      </c>
      <c r="V169" s="53">
        <v>0</v>
      </c>
      <c r="W169" s="87" t="str">
        <f t="shared" si="46"/>
        <v/>
      </c>
      <c r="X169" s="103" t="str">
        <f t="shared" si="47"/>
        <v/>
      </c>
      <c r="Y169" s="53">
        <v>0</v>
      </c>
      <c r="Z169" s="56" t="str">
        <f t="shared" si="48"/>
        <v/>
      </c>
      <c r="AA169" s="56" t="str">
        <f t="shared" si="49"/>
        <v/>
      </c>
      <c r="AB169" s="56" t="str">
        <f t="shared" si="50"/>
        <v/>
      </c>
      <c r="AC169" s="56" t="str">
        <f t="shared" si="51"/>
        <v/>
      </c>
      <c r="AD169" s="56" t="str">
        <f t="shared" si="52"/>
        <v/>
      </c>
      <c r="AE169" s="40"/>
      <c r="AF169" s="40"/>
      <c r="AG169" s="40"/>
      <c r="AH169" s="56" t="str">
        <f t="shared" ref="AH169:AH200" si="53">IF(AE169=$B$6,AG169,"")</f>
        <v/>
      </c>
      <c r="AI169" s="54"/>
      <c r="AJ169" s="54"/>
      <c r="AK169" s="54"/>
      <c r="AL169" s="54"/>
      <c r="AM169" s="54"/>
    </row>
    <row r="170" spans="1:39">
      <c r="A170" s="45" t="str" cm="1">
        <f t="array" ref="A170">IF(H170="PROJECT", CHAR(10) &amp; "- " &amp; _xlfn.TEXTJOIN(CHAR(10) &amp; "- ", TRUE, _xlfn._xlws.FILTER($I$9:$I$1000, ($B$9:$B$1000=B170) * ($H$9:$H$1000="Topic"))), "")</f>
        <v/>
      </c>
      <c r="B170" s="45" t="str">
        <f t="shared" si="37"/>
        <v/>
      </c>
      <c r="C170" s="95"/>
      <c r="D170" s="57"/>
      <c r="E170" s="58"/>
      <c r="F170" s="54"/>
      <c r="G170" s="52"/>
      <c r="H170" s="52"/>
      <c r="I170" s="61"/>
      <c r="J170" s="62"/>
      <c r="K170" s="129" t="str">
        <f t="shared" si="38"/>
        <v/>
      </c>
      <c r="L170" s="103" t="str">
        <f t="shared" si="39"/>
        <v/>
      </c>
      <c r="M170" s="52">
        <v>0</v>
      </c>
      <c r="N170" s="102" t="str">
        <f t="shared" si="40"/>
        <v/>
      </c>
      <c r="O170" s="103" t="str">
        <f t="shared" si="41"/>
        <v/>
      </c>
      <c r="P170" s="52">
        <v>0</v>
      </c>
      <c r="Q170" s="102" t="str">
        <f t="shared" si="42"/>
        <v/>
      </c>
      <c r="R170" s="103" t="str">
        <f t="shared" si="43"/>
        <v/>
      </c>
      <c r="S170" s="52">
        <v>0</v>
      </c>
      <c r="T170" s="102" t="str">
        <f t="shared" si="44"/>
        <v/>
      </c>
      <c r="U170" s="103" t="str">
        <f t="shared" si="45"/>
        <v/>
      </c>
      <c r="V170" s="52">
        <v>0</v>
      </c>
      <c r="W170" s="87" t="str">
        <f t="shared" si="46"/>
        <v/>
      </c>
      <c r="X170" s="103" t="str">
        <f t="shared" si="47"/>
        <v/>
      </c>
      <c r="Y170" s="52">
        <v>0</v>
      </c>
      <c r="Z170" s="56" t="str">
        <f t="shared" si="48"/>
        <v/>
      </c>
      <c r="AA170" s="56" t="str">
        <f t="shared" si="49"/>
        <v/>
      </c>
      <c r="AB170" s="56" t="str">
        <f t="shared" si="50"/>
        <v/>
      </c>
      <c r="AC170" s="56" t="str">
        <f t="shared" si="51"/>
        <v/>
      </c>
      <c r="AD170" s="56" t="str">
        <f t="shared" si="52"/>
        <v/>
      </c>
      <c r="AE170" s="40"/>
      <c r="AF170" s="40"/>
      <c r="AG170" s="40"/>
      <c r="AH170" s="56" t="str">
        <f t="shared" si="53"/>
        <v/>
      </c>
      <c r="AI170" s="54"/>
      <c r="AJ170" s="54"/>
      <c r="AK170" s="54"/>
      <c r="AL170" s="54"/>
      <c r="AM170" s="54"/>
    </row>
    <row r="171" spans="1:39">
      <c r="A171" s="45" t="str" cm="1">
        <f t="array" ref="A171">IF(H171="PROJECT", CHAR(10) &amp; "- " &amp; _xlfn.TEXTJOIN(CHAR(10) &amp; "- ", TRUE, _xlfn._xlws.FILTER($I$9:$I$1000, ($B$9:$B$1000=B171) * ($H$9:$H$1000="Topic"))), "")</f>
        <v/>
      </c>
      <c r="B171" s="45" t="str">
        <f t="shared" si="37"/>
        <v/>
      </c>
      <c r="C171" s="95"/>
      <c r="D171" s="46"/>
      <c r="E171" s="58"/>
      <c r="F171" s="67"/>
      <c r="G171" s="53"/>
      <c r="H171" s="53"/>
      <c r="I171" s="50"/>
      <c r="J171" s="51"/>
      <c r="K171" s="129" t="str">
        <f t="shared" si="38"/>
        <v/>
      </c>
      <c r="L171" s="103" t="str">
        <f t="shared" si="39"/>
        <v/>
      </c>
      <c r="M171" s="53">
        <v>0</v>
      </c>
      <c r="N171" s="102" t="str">
        <f t="shared" si="40"/>
        <v/>
      </c>
      <c r="O171" s="103" t="str">
        <f t="shared" si="41"/>
        <v/>
      </c>
      <c r="P171" s="53">
        <v>0</v>
      </c>
      <c r="Q171" s="102" t="str">
        <f t="shared" si="42"/>
        <v/>
      </c>
      <c r="R171" s="103" t="str">
        <f t="shared" si="43"/>
        <v/>
      </c>
      <c r="S171" s="53">
        <v>0</v>
      </c>
      <c r="T171" s="102" t="str">
        <f t="shared" si="44"/>
        <v/>
      </c>
      <c r="U171" s="103" t="str">
        <f t="shared" si="45"/>
        <v/>
      </c>
      <c r="V171" s="53">
        <v>0</v>
      </c>
      <c r="W171" s="87" t="str">
        <f t="shared" si="46"/>
        <v/>
      </c>
      <c r="X171" s="103" t="str">
        <f t="shared" si="47"/>
        <v/>
      </c>
      <c r="Y171" s="53">
        <v>0</v>
      </c>
      <c r="Z171" s="56" t="str">
        <f t="shared" si="48"/>
        <v/>
      </c>
      <c r="AA171" s="56" t="str">
        <f t="shared" si="49"/>
        <v/>
      </c>
      <c r="AB171" s="56" t="str">
        <f t="shared" si="50"/>
        <v/>
      </c>
      <c r="AC171" s="56" t="str">
        <f t="shared" si="51"/>
        <v/>
      </c>
      <c r="AD171" s="56" t="str">
        <f t="shared" si="52"/>
        <v/>
      </c>
      <c r="AE171" s="40"/>
      <c r="AF171" s="40"/>
      <c r="AG171" s="40"/>
      <c r="AH171" s="56" t="str">
        <f t="shared" si="53"/>
        <v/>
      </c>
      <c r="AI171" s="54"/>
      <c r="AJ171" s="54"/>
      <c r="AK171" s="54"/>
      <c r="AL171" s="54"/>
      <c r="AM171" s="54"/>
    </row>
    <row r="172" spans="1:39">
      <c r="A172" s="45" t="str" cm="1">
        <f t="array" ref="A172">IF(H172="PROJECT", CHAR(10) &amp; "- " &amp; _xlfn.TEXTJOIN(CHAR(10) &amp; "- ", TRUE, _xlfn._xlws.FILTER($I$9:$I$1000, ($B$9:$B$1000=B172) * ($H$9:$H$1000="Topic"))), "")</f>
        <v/>
      </c>
      <c r="B172" s="45" t="str">
        <f t="shared" si="37"/>
        <v/>
      </c>
      <c r="C172" s="95"/>
      <c r="D172" s="57"/>
      <c r="E172" s="58"/>
      <c r="F172" s="54"/>
      <c r="G172" s="52"/>
      <c r="H172" s="52"/>
      <c r="I172" s="61"/>
      <c r="J172" s="62"/>
      <c r="K172" s="129" t="str">
        <f t="shared" si="38"/>
        <v/>
      </c>
      <c r="L172" s="103" t="str">
        <f t="shared" si="39"/>
        <v/>
      </c>
      <c r="M172" s="52">
        <v>0</v>
      </c>
      <c r="N172" s="102" t="str">
        <f t="shared" si="40"/>
        <v/>
      </c>
      <c r="O172" s="103" t="str">
        <f t="shared" si="41"/>
        <v/>
      </c>
      <c r="P172" s="52">
        <v>0</v>
      </c>
      <c r="Q172" s="102" t="str">
        <f t="shared" si="42"/>
        <v/>
      </c>
      <c r="R172" s="103" t="str">
        <f t="shared" si="43"/>
        <v/>
      </c>
      <c r="S172" s="52">
        <v>0</v>
      </c>
      <c r="T172" s="102" t="str">
        <f t="shared" si="44"/>
        <v/>
      </c>
      <c r="U172" s="103" t="str">
        <f t="shared" si="45"/>
        <v/>
      </c>
      <c r="V172" s="52">
        <v>0</v>
      </c>
      <c r="W172" s="87" t="str">
        <f t="shared" si="46"/>
        <v/>
      </c>
      <c r="X172" s="103" t="str">
        <f t="shared" si="47"/>
        <v/>
      </c>
      <c r="Y172" s="52">
        <v>0</v>
      </c>
      <c r="Z172" s="56" t="str">
        <f t="shared" si="48"/>
        <v/>
      </c>
      <c r="AA172" s="56" t="str">
        <f t="shared" si="49"/>
        <v/>
      </c>
      <c r="AB172" s="56" t="str">
        <f t="shared" si="50"/>
        <v/>
      </c>
      <c r="AC172" s="56" t="str">
        <f t="shared" si="51"/>
        <v/>
      </c>
      <c r="AD172" s="56" t="str">
        <f t="shared" si="52"/>
        <v/>
      </c>
      <c r="AE172" s="40"/>
      <c r="AF172" s="40"/>
      <c r="AG172" s="40"/>
      <c r="AH172" s="56" t="str">
        <f t="shared" si="53"/>
        <v/>
      </c>
      <c r="AI172" s="54"/>
      <c r="AJ172" s="54"/>
      <c r="AK172" s="54"/>
      <c r="AL172" s="54"/>
      <c r="AM172" s="54"/>
    </row>
    <row r="173" spans="1:39">
      <c r="A173" s="45" t="str" cm="1">
        <f t="array" ref="A173">IF(H173="PROJECT", CHAR(10) &amp; "- " &amp; _xlfn.TEXTJOIN(CHAR(10) &amp; "- ", TRUE, _xlfn._xlws.FILTER($I$9:$I$1000, ($B$9:$B$1000=B173) * ($H$9:$H$1000="Topic"))), "")</f>
        <v/>
      </c>
      <c r="B173" s="45" t="str">
        <f t="shared" si="37"/>
        <v/>
      </c>
      <c r="C173" s="95"/>
      <c r="D173" s="46"/>
      <c r="E173" s="58"/>
      <c r="F173" s="67"/>
      <c r="G173" s="53"/>
      <c r="H173" s="53"/>
      <c r="I173" s="50"/>
      <c r="J173" s="51"/>
      <c r="K173" s="129" t="str">
        <f t="shared" si="38"/>
        <v/>
      </c>
      <c r="L173" s="103" t="str">
        <f t="shared" si="39"/>
        <v/>
      </c>
      <c r="M173" s="53">
        <v>0</v>
      </c>
      <c r="N173" s="102" t="str">
        <f t="shared" si="40"/>
        <v/>
      </c>
      <c r="O173" s="103" t="str">
        <f t="shared" si="41"/>
        <v/>
      </c>
      <c r="P173" s="53">
        <v>0</v>
      </c>
      <c r="Q173" s="102" t="str">
        <f t="shared" si="42"/>
        <v/>
      </c>
      <c r="R173" s="103" t="str">
        <f t="shared" si="43"/>
        <v/>
      </c>
      <c r="S173" s="53">
        <v>0</v>
      </c>
      <c r="T173" s="102" t="str">
        <f t="shared" si="44"/>
        <v/>
      </c>
      <c r="U173" s="103" t="str">
        <f t="shared" si="45"/>
        <v/>
      </c>
      <c r="V173" s="53">
        <v>0</v>
      </c>
      <c r="W173" s="87" t="str">
        <f t="shared" si="46"/>
        <v/>
      </c>
      <c r="X173" s="103" t="str">
        <f t="shared" si="47"/>
        <v/>
      </c>
      <c r="Y173" s="53">
        <v>0</v>
      </c>
      <c r="Z173" s="56" t="str">
        <f t="shared" si="48"/>
        <v/>
      </c>
      <c r="AA173" s="56" t="str">
        <f t="shared" si="49"/>
        <v/>
      </c>
      <c r="AB173" s="56" t="str">
        <f t="shared" si="50"/>
        <v/>
      </c>
      <c r="AC173" s="56" t="str">
        <f t="shared" si="51"/>
        <v/>
      </c>
      <c r="AD173" s="56" t="str">
        <f t="shared" si="52"/>
        <v/>
      </c>
      <c r="AE173" s="40"/>
      <c r="AF173" s="40"/>
      <c r="AG173" s="40"/>
      <c r="AH173" s="56" t="str">
        <f t="shared" si="53"/>
        <v/>
      </c>
      <c r="AI173" s="54"/>
      <c r="AJ173" s="54"/>
      <c r="AK173" s="54"/>
      <c r="AL173" s="54"/>
      <c r="AM173" s="54"/>
    </row>
    <row r="174" spans="1:39">
      <c r="A174" s="45" t="str" cm="1">
        <f t="array" ref="A174">IF(H174="PROJECT", CHAR(10) &amp; "- " &amp; _xlfn.TEXTJOIN(CHAR(10) &amp; "- ", TRUE, _xlfn._xlws.FILTER($I$9:$I$1000, ($B$9:$B$1000=B174) * ($H$9:$H$1000="Topic"))), "")</f>
        <v/>
      </c>
      <c r="B174" s="45" t="str">
        <f t="shared" si="37"/>
        <v/>
      </c>
      <c r="C174" s="95"/>
      <c r="D174" s="57"/>
      <c r="E174" s="58"/>
      <c r="F174" s="54"/>
      <c r="G174" s="52"/>
      <c r="H174" s="52"/>
      <c r="I174" s="61"/>
      <c r="J174" s="62"/>
      <c r="K174" s="129" t="str">
        <f t="shared" si="38"/>
        <v/>
      </c>
      <c r="L174" s="103" t="str">
        <f t="shared" si="39"/>
        <v/>
      </c>
      <c r="M174" s="52">
        <v>0</v>
      </c>
      <c r="N174" s="102" t="str">
        <f t="shared" si="40"/>
        <v/>
      </c>
      <c r="O174" s="103" t="str">
        <f t="shared" si="41"/>
        <v/>
      </c>
      <c r="P174" s="52">
        <v>0</v>
      </c>
      <c r="Q174" s="102" t="str">
        <f t="shared" si="42"/>
        <v/>
      </c>
      <c r="R174" s="103" t="str">
        <f t="shared" si="43"/>
        <v/>
      </c>
      <c r="S174" s="52">
        <v>0</v>
      </c>
      <c r="T174" s="102" t="str">
        <f t="shared" si="44"/>
        <v/>
      </c>
      <c r="U174" s="103" t="str">
        <f t="shared" si="45"/>
        <v/>
      </c>
      <c r="V174" s="52">
        <v>0</v>
      </c>
      <c r="W174" s="87" t="str">
        <f t="shared" si="46"/>
        <v/>
      </c>
      <c r="X174" s="103" t="str">
        <f t="shared" si="47"/>
        <v/>
      </c>
      <c r="Y174" s="52">
        <v>0</v>
      </c>
      <c r="Z174" s="56" t="str">
        <f t="shared" si="48"/>
        <v/>
      </c>
      <c r="AA174" s="56" t="str">
        <f t="shared" si="49"/>
        <v/>
      </c>
      <c r="AB174" s="56" t="str">
        <f t="shared" si="50"/>
        <v/>
      </c>
      <c r="AC174" s="56" t="str">
        <f t="shared" si="51"/>
        <v/>
      </c>
      <c r="AD174" s="56" t="str">
        <f t="shared" si="52"/>
        <v/>
      </c>
      <c r="AE174" s="40"/>
      <c r="AF174" s="40"/>
      <c r="AG174" s="40"/>
      <c r="AH174" s="56" t="str">
        <f t="shared" si="53"/>
        <v/>
      </c>
      <c r="AI174" s="54"/>
      <c r="AJ174" s="54"/>
      <c r="AK174" s="54"/>
      <c r="AL174" s="54"/>
      <c r="AM174" s="54"/>
    </row>
    <row r="175" spans="1:39">
      <c r="A175" s="45" t="str" cm="1">
        <f t="array" ref="A175">IF(H175="PROJECT", CHAR(10) &amp; "- " &amp; _xlfn.TEXTJOIN(CHAR(10) &amp; "- ", TRUE, _xlfn._xlws.FILTER($I$9:$I$1000, ($B$9:$B$1000=B175) * ($H$9:$H$1000="Topic"))), "")</f>
        <v/>
      </c>
      <c r="B175" s="45" t="str">
        <f t="shared" si="37"/>
        <v/>
      </c>
      <c r="C175" s="95"/>
      <c r="D175" s="46"/>
      <c r="E175" s="58"/>
      <c r="F175" s="67"/>
      <c r="G175" s="53"/>
      <c r="H175" s="53"/>
      <c r="I175" s="50"/>
      <c r="J175" s="51"/>
      <c r="K175" s="129" t="str">
        <f t="shared" si="38"/>
        <v/>
      </c>
      <c r="L175" s="103" t="str">
        <f t="shared" si="39"/>
        <v/>
      </c>
      <c r="M175" s="53">
        <v>0</v>
      </c>
      <c r="N175" s="102" t="str">
        <f t="shared" si="40"/>
        <v/>
      </c>
      <c r="O175" s="103" t="str">
        <f t="shared" si="41"/>
        <v/>
      </c>
      <c r="P175" s="53">
        <v>0</v>
      </c>
      <c r="Q175" s="102" t="str">
        <f t="shared" si="42"/>
        <v/>
      </c>
      <c r="R175" s="103" t="str">
        <f t="shared" si="43"/>
        <v/>
      </c>
      <c r="S175" s="53">
        <v>0</v>
      </c>
      <c r="T175" s="102" t="str">
        <f t="shared" si="44"/>
        <v/>
      </c>
      <c r="U175" s="103" t="str">
        <f t="shared" si="45"/>
        <v/>
      </c>
      <c r="V175" s="53">
        <v>0</v>
      </c>
      <c r="W175" s="87" t="str">
        <f t="shared" si="46"/>
        <v/>
      </c>
      <c r="X175" s="103" t="str">
        <f t="shared" si="47"/>
        <v/>
      </c>
      <c r="Y175" s="53">
        <v>0</v>
      </c>
      <c r="Z175" s="56" t="str">
        <f t="shared" si="48"/>
        <v/>
      </c>
      <c r="AA175" s="56" t="str">
        <f t="shared" si="49"/>
        <v/>
      </c>
      <c r="AB175" s="56" t="str">
        <f t="shared" si="50"/>
        <v/>
      </c>
      <c r="AC175" s="56" t="str">
        <f t="shared" si="51"/>
        <v/>
      </c>
      <c r="AD175" s="56" t="str">
        <f t="shared" si="52"/>
        <v/>
      </c>
      <c r="AE175" s="40"/>
      <c r="AF175" s="40"/>
      <c r="AG175" s="40"/>
      <c r="AH175" s="56" t="str">
        <f t="shared" si="53"/>
        <v/>
      </c>
      <c r="AI175" s="54"/>
      <c r="AJ175" s="54"/>
      <c r="AK175" s="54"/>
      <c r="AL175" s="54"/>
      <c r="AM175" s="54"/>
    </row>
    <row r="176" spans="1:39">
      <c r="A176" s="45" t="str" cm="1">
        <f t="array" ref="A176">IF(H176="PROJECT", CHAR(10) &amp; "- " &amp; _xlfn.TEXTJOIN(CHAR(10) &amp; "- ", TRUE, _xlfn._xlws.FILTER($I$9:$I$1000, ($B$9:$B$1000=B176) * ($H$9:$H$1000="Topic"))), "")</f>
        <v/>
      </c>
      <c r="B176" s="45" t="str">
        <f t="shared" si="37"/>
        <v/>
      </c>
      <c r="C176" s="95"/>
      <c r="D176" s="57"/>
      <c r="E176" s="58"/>
      <c r="F176" s="54"/>
      <c r="G176" s="52"/>
      <c r="H176" s="52"/>
      <c r="I176" s="61"/>
      <c r="J176" s="62"/>
      <c r="K176" s="129" t="str">
        <f t="shared" si="38"/>
        <v/>
      </c>
      <c r="L176" s="103" t="str">
        <f t="shared" si="39"/>
        <v/>
      </c>
      <c r="M176" s="52">
        <v>0</v>
      </c>
      <c r="N176" s="102" t="str">
        <f t="shared" si="40"/>
        <v/>
      </c>
      <c r="O176" s="103" t="str">
        <f t="shared" si="41"/>
        <v/>
      </c>
      <c r="P176" s="52">
        <v>0</v>
      </c>
      <c r="Q176" s="102" t="str">
        <f t="shared" si="42"/>
        <v/>
      </c>
      <c r="R176" s="103" t="str">
        <f t="shared" si="43"/>
        <v/>
      </c>
      <c r="S176" s="52">
        <v>0</v>
      </c>
      <c r="T176" s="102" t="str">
        <f t="shared" si="44"/>
        <v/>
      </c>
      <c r="U176" s="103" t="str">
        <f t="shared" si="45"/>
        <v/>
      </c>
      <c r="V176" s="52">
        <v>0</v>
      </c>
      <c r="W176" s="87" t="str">
        <f t="shared" si="46"/>
        <v/>
      </c>
      <c r="X176" s="103" t="str">
        <f t="shared" si="47"/>
        <v/>
      </c>
      <c r="Y176" s="52">
        <v>0</v>
      </c>
      <c r="Z176" s="56" t="str">
        <f t="shared" si="48"/>
        <v/>
      </c>
      <c r="AA176" s="56" t="str">
        <f t="shared" si="49"/>
        <v/>
      </c>
      <c r="AB176" s="56" t="str">
        <f t="shared" si="50"/>
        <v/>
      </c>
      <c r="AC176" s="56" t="str">
        <f t="shared" si="51"/>
        <v/>
      </c>
      <c r="AD176" s="56" t="str">
        <f t="shared" si="52"/>
        <v/>
      </c>
      <c r="AE176" s="40"/>
      <c r="AF176" s="40"/>
      <c r="AG176" s="40"/>
      <c r="AH176" s="56" t="str">
        <f t="shared" si="53"/>
        <v/>
      </c>
      <c r="AI176" s="54"/>
      <c r="AJ176" s="54"/>
      <c r="AK176" s="54"/>
      <c r="AL176" s="54"/>
      <c r="AM176" s="54"/>
    </row>
    <row r="177" spans="1:39">
      <c r="A177" s="45" t="str" cm="1">
        <f t="array" ref="A177">IF(H177="PROJECT", CHAR(10) &amp; "- " &amp; _xlfn.TEXTJOIN(CHAR(10) &amp; "- ", TRUE, _xlfn._xlws.FILTER($I$9:$I$1000, ($B$9:$B$1000=B177) * ($H$9:$H$1000="Topic"))), "")</f>
        <v/>
      </c>
      <c r="B177" s="45" t="str">
        <f t="shared" si="37"/>
        <v/>
      </c>
      <c r="C177" s="95"/>
      <c r="D177" s="46"/>
      <c r="E177" s="58"/>
      <c r="F177" s="67"/>
      <c r="G177" s="53"/>
      <c r="H177" s="53"/>
      <c r="I177" s="50"/>
      <c r="J177" s="51"/>
      <c r="K177" s="129" t="str">
        <f t="shared" si="38"/>
        <v/>
      </c>
      <c r="L177" s="103" t="str">
        <f t="shared" si="39"/>
        <v/>
      </c>
      <c r="M177" s="53">
        <v>0</v>
      </c>
      <c r="N177" s="102" t="str">
        <f t="shared" si="40"/>
        <v/>
      </c>
      <c r="O177" s="103" t="str">
        <f t="shared" si="41"/>
        <v/>
      </c>
      <c r="P177" s="53">
        <v>0</v>
      </c>
      <c r="Q177" s="102" t="str">
        <f t="shared" si="42"/>
        <v/>
      </c>
      <c r="R177" s="103" t="str">
        <f t="shared" si="43"/>
        <v/>
      </c>
      <c r="S177" s="53">
        <v>0</v>
      </c>
      <c r="T177" s="102" t="str">
        <f t="shared" si="44"/>
        <v/>
      </c>
      <c r="U177" s="103" t="str">
        <f t="shared" si="45"/>
        <v/>
      </c>
      <c r="V177" s="53">
        <v>0</v>
      </c>
      <c r="W177" s="87" t="str">
        <f t="shared" si="46"/>
        <v/>
      </c>
      <c r="X177" s="103" t="str">
        <f t="shared" si="47"/>
        <v/>
      </c>
      <c r="Y177" s="53">
        <v>0</v>
      </c>
      <c r="Z177" s="56" t="str">
        <f t="shared" si="48"/>
        <v/>
      </c>
      <c r="AA177" s="56" t="str">
        <f t="shared" si="49"/>
        <v/>
      </c>
      <c r="AB177" s="56" t="str">
        <f t="shared" si="50"/>
        <v/>
      </c>
      <c r="AC177" s="56" t="str">
        <f t="shared" si="51"/>
        <v/>
      </c>
      <c r="AD177" s="56" t="str">
        <f t="shared" si="52"/>
        <v/>
      </c>
      <c r="AE177" s="40"/>
      <c r="AF177" s="40"/>
      <c r="AG177" s="40"/>
      <c r="AH177" s="56" t="str">
        <f t="shared" si="53"/>
        <v/>
      </c>
      <c r="AI177" s="54"/>
      <c r="AJ177" s="54"/>
      <c r="AK177" s="54"/>
      <c r="AL177" s="54"/>
      <c r="AM177" s="54"/>
    </row>
    <row r="178" spans="1:39">
      <c r="A178" s="45" t="str" cm="1">
        <f t="array" ref="A178">IF(H178="PROJECT", CHAR(10) &amp; "- " &amp; _xlfn.TEXTJOIN(CHAR(10) &amp; "- ", TRUE, _xlfn._xlws.FILTER($I$9:$I$1000, ($B$9:$B$1000=B178) * ($H$9:$H$1000="Topic"))), "")</f>
        <v/>
      </c>
      <c r="B178" s="45" t="str">
        <f t="shared" si="37"/>
        <v/>
      </c>
      <c r="C178" s="95"/>
      <c r="D178" s="57"/>
      <c r="E178" s="58"/>
      <c r="F178" s="54"/>
      <c r="G178" s="52"/>
      <c r="H178" s="52"/>
      <c r="I178" s="61"/>
      <c r="J178" s="62"/>
      <c r="K178" s="129" t="str">
        <f t="shared" si="38"/>
        <v/>
      </c>
      <c r="L178" s="103" t="str">
        <f t="shared" si="39"/>
        <v/>
      </c>
      <c r="M178" s="52">
        <v>0</v>
      </c>
      <c r="N178" s="102" t="str">
        <f t="shared" si="40"/>
        <v/>
      </c>
      <c r="O178" s="103" t="str">
        <f t="shared" si="41"/>
        <v/>
      </c>
      <c r="P178" s="52">
        <v>0</v>
      </c>
      <c r="Q178" s="102" t="str">
        <f t="shared" si="42"/>
        <v/>
      </c>
      <c r="R178" s="103" t="str">
        <f t="shared" si="43"/>
        <v/>
      </c>
      <c r="S178" s="52">
        <v>0</v>
      </c>
      <c r="T178" s="102" t="str">
        <f t="shared" si="44"/>
        <v/>
      </c>
      <c r="U178" s="103" t="str">
        <f t="shared" si="45"/>
        <v/>
      </c>
      <c r="V178" s="52">
        <v>0</v>
      </c>
      <c r="W178" s="87" t="str">
        <f t="shared" si="46"/>
        <v/>
      </c>
      <c r="X178" s="103" t="str">
        <f t="shared" si="47"/>
        <v/>
      </c>
      <c r="Y178" s="52">
        <v>0</v>
      </c>
      <c r="Z178" s="56" t="str">
        <f t="shared" si="48"/>
        <v/>
      </c>
      <c r="AA178" s="56" t="str">
        <f t="shared" si="49"/>
        <v/>
      </c>
      <c r="AB178" s="56" t="str">
        <f t="shared" si="50"/>
        <v/>
      </c>
      <c r="AC178" s="56" t="str">
        <f t="shared" si="51"/>
        <v/>
      </c>
      <c r="AD178" s="56" t="str">
        <f t="shared" si="52"/>
        <v/>
      </c>
      <c r="AE178" s="40"/>
      <c r="AF178" s="40"/>
      <c r="AG178" s="40"/>
      <c r="AH178" s="56" t="str">
        <f t="shared" si="53"/>
        <v/>
      </c>
      <c r="AI178" s="54"/>
      <c r="AJ178" s="54"/>
      <c r="AK178" s="54"/>
      <c r="AL178" s="54"/>
      <c r="AM178" s="54"/>
    </row>
    <row r="179" spans="1:39">
      <c r="A179" s="45" t="str" cm="1">
        <f t="array" ref="A179">IF(H179="PROJECT", CHAR(10) &amp; "- " &amp; _xlfn.TEXTJOIN(CHAR(10) &amp; "- ", TRUE, _xlfn._xlws.FILTER($I$9:$I$1000, ($B$9:$B$1000=B179) * ($H$9:$H$1000="Topic"))), "")</f>
        <v/>
      </c>
      <c r="B179" s="45" t="str">
        <f t="shared" si="37"/>
        <v/>
      </c>
      <c r="C179" s="95"/>
      <c r="D179" s="46"/>
      <c r="E179" s="58"/>
      <c r="F179" s="67"/>
      <c r="G179" s="53"/>
      <c r="H179" s="53"/>
      <c r="I179" s="50"/>
      <c r="J179" s="51"/>
      <c r="K179" s="129" t="str">
        <f t="shared" si="38"/>
        <v/>
      </c>
      <c r="L179" s="103" t="str">
        <f t="shared" si="39"/>
        <v/>
      </c>
      <c r="M179" s="53">
        <v>0</v>
      </c>
      <c r="N179" s="102" t="str">
        <f t="shared" si="40"/>
        <v/>
      </c>
      <c r="O179" s="103" t="str">
        <f t="shared" si="41"/>
        <v/>
      </c>
      <c r="P179" s="53">
        <v>0</v>
      </c>
      <c r="Q179" s="102" t="str">
        <f t="shared" si="42"/>
        <v/>
      </c>
      <c r="R179" s="103" t="str">
        <f t="shared" si="43"/>
        <v/>
      </c>
      <c r="S179" s="53">
        <v>0</v>
      </c>
      <c r="T179" s="102" t="str">
        <f t="shared" si="44"/>
        <v/>
      </c>
      <c r="U179" s="103" t="str">
        <f t="shared" si="45"/>
        <v/>
      </c>
      <c r="V179" s="53">
        <v>0</v>
      </c>
      <c r="W179" s="87" t="str">
        <f t="shared" si="46"/>
        <v/>
      </c>
      <c r="X179" s="103" t="str">
        <f t="shared" si="47"/>
        <v/>
      </c>
      <c r="Y179" s="53">
        <v>0</v>
      </c>
      <c r="Z179" s="56" t="str">
        <f t="shared" si="48"/>
        <v/>
      </c>
      <c r="AA179" s="56" t="str">
        <f t="shared" si="49"/>
        <v/>
      </c>
      <c r="AB179" s="56" t="str">
        <f t="shared" si="50"/>
        <v/>
      </c>
      <c r="AC179" s="56" t="str">
        <f t="shared" si="51"/>
        <v/>
      </c>
      <c r="AD179" s="56" t="str">
        <f t="shared" si="52"/>
        <v/>
      </c>
      <c r="AE179" s="40"/>
      <c r="AF179" s="40"/>
      <c r="AG179" s="40"/>
      <c r="AH179" s="56" t="str">
        <f t="shared" si="53"/>
        <v/>
      </c>
      <c r="AI179" s="54"/>
      <c r="AJ179" s="54"/>
      <c r="AK179" s="54"/>
      <c r="AL179" s="54"/>
      <c r="AM179" s="54"/>
    </row>
    <row r="180" spans="1:39">
      <c r="A180" s="45" t="str" cm="1">
        <f t="array" ref="A180">IF(H180="PROJECT", CHAR(10) &amp; "- " &amp; _xlfn.TEXTJOIN(CHAR(10) &amp; "- ", TRUE, _xlfn._xlws.FILTER($I$9:$I$1000, ($B$9:$B$1000=B180) * ($H$9:$H$1000="Topic"))), "")</f>
        <v/>
      </c>
      <c r="B180" s="45" t="str">
        <f t="shared" si="37"/>
        <v/>
      </c>
      <c r="C180" s="95"/>
      <c r="D180" s="57"/>
      <c r="E180" s="58"/>
      <c r="F180" s="54"/>
      <c r="G180" s="52"/>
      <c r="H180" s="52"/>
      <c r="I180" s="61"/>
      <c r="J180" s="62"/>
      <c r="K180" s="129" t="str">
        <f t="shared" si="38"/>
        <v/>
      </c>
      <c r="L180" s="103" t="str">
        <f t="shared" si="39"/>
        <v/>
      </c>
      <c r="M180" s="52">
        <v>0</v>
      </c>
      <c r="N180" s="102" t="str">
        <f t="shared" si="40"/>
        <v/>
      </c>
      <c r="O180" s="103" t="str">
        <f t="shared" si="41"/>
        <v/>
      </c>
      <c r="P180" s="52">
        <v>0</v>
      </c>
      <c r="Q180" s="102" t="str">
        <f t="shared" si="42"/>
        <v/>
      </c>
      <c r="R180" s="103" t="str">
        <f t="shared" si="43"/>
        <v/>
      </c>
      <c r="S180" s="52">
        <v>0</v>
      </c>
      <c r="T180" s="102" t="str">
        <f t="shared" si="44"/>
        <v/>
      </c>
      <c r="U180" s="103" t="str">
        <f t="shared" si="45"/>
        <v/>
      </c>
      <c r="V180" s="52">
        <v>0</v>
      </c>
      <c r="W180" s="87" t="str">
        <f t="shared" si="46"/>
        <v/>
      </c>
      <c r="X180" s="103" t="str">
        <f t="shared" si="47"/>
        <v/>
      </c>
      <c r="Y180" s="52">
        <v>0</v>
      </c>
      <c r="Z180" s="56" t="str">
        <f t="shared" si="48"/>
        <v/>
      </c>
      <c r="AA180" s="56" t="str">
        <f t="shared" si="49"/>
        <v/>
      </c>
      <c r="AB180" s="56" t="str">
        <f t="shared" si="50"/>
        <v/>
      </c>
      <c r="AC180" s="56" t="str">
        <f t="shared" si="51"/>
        <v/>
      </c>
      <c r="AD180" s="56" t="str">
        <f t="shared" si="52"/>
        <v/>
      </c>
      <c r="AE180" s="40"/>
      <c r="AF180" s="40"/>
      <c r="AG180" s="40"/>
      <c r="AH180" s="56" t="str">
        <f t="shared" si="53"/>
        <v/>
      </c>
      <c r="AI180" s="54"/>
      <c r="AJ180" s="54"/>
      <c r="AK180" s="54"/>
      <c r="AL180" s="54"/>
      <c r="AM180" s="54"/>
    </row>
    <row r="181" spans="1:39">
      <c r="A181" s="45" t="str" cm="1">
        <f t="array" ref="A181">IF(H181="PROJECT", CHAR(10) &amp; "- " &amp; _xlfn.TEXTJOIN(CHAR(10) &amp; "- ", TRUE, _xlfn._xlws.FILTER($I$9:$I$1000, ($B$9:$B$1000=B181) * ($H$9:$H$1000="Topic"))), "")</f>
        <v/>
      </c>
      <c r="B181" s="45" t="str">
        <f t="shared" si="37"/>
        <v/>
      </c>
      <c r="C181" s="95"/>
      <c r="D181" s="46"/>
      <c r="E181" s="58"/>
      <c r="F181" s="67"/>
      <c r="G181" s="53"/>
      <c r="H181" s="53"/>
      <c r="I181" s="50"/>
      <c r="J181" s="51"/>
      <c r="K181" s="129" t="str">
        <f t="shared" si="38"/>
        <v/>
      </c>
      <c r="L181" s="103" t="str">
        <f t="shared" si="39"/>
        <v/>
      </c>
      <c r="M181" s="53">
        <v>0</v>
      </c>
      <c r="N181" s="102" t="str">
        <f t="shared" si="40"/>
        <v/>
      </c>
      <c r="O181" s="103" t="str">
        <f t="shared" si="41"/>
        <v/>
      </c>
      <c r="P181" s="53">
        <v>0</v>
      </c>
      <c r="Q181" s="102" t="str">
        <f t="shared" si="42"/>
        <v/>
      </c>
      <c r="R181" s="103" t="str">
        <f t="shared" si="43"/>
        <v/>
      </c>
      <c r="S181" s="53">
        <v>0</v>
      </c>
      <c r="T181" s="102" t="str">
        <f t="shared" si="44"/>
        <v/>
      </c>
      <c r="U181" s="103" t="str">
        <f t="shared" si="45"/>
        <v/>
      </c>
      <c r="V181" s="53">
        <v>0</v>
      </c>
      <c r="W181" s="87" t="str">
        <f t="shared" si="46"/>
        <v/>
      </c>
      <c r="X181" s="103" t="str">
        <f t="shared" si="47"/>
        <v/>
      </c>
      <c r="Y181" s="53">
        <v>0</v>
      </c>
      <c r="Z181" s="56" t="str">
        <f t="shared" si="48"/>
        <v/>
      </c>
      <c r="AA181" s="56" t="str">
        <f t="shared" si="49"/>
        <v/>
      </c>
      <c r="AB181" s="56" t="str">
        <f t="shared" si="50"/>
        <v/>
      </c>
      <c r="AC181" s="56" t="str">
        <f t="shared" si="51"/>
        <v/>
      </c>
      <c r="AD181" s="56" t="str">
        <f t="shared" si="52"/>
        <v/>
      </c>
      <c r="AE181" s="40"/>
      <c r="AF181" s="40"/>
      <c r="AG181" s="40"/>
      <c r="AH181" s="56" t="str">
        <f t="shared" si="53"/>
        <v/>
      </c>
      <c r="AI181" s="54"/>
      <c r="AJ181" s="54"/>
      <c r="AK181" s="54"/>
      <c r="AL181" s="54"/>
      <c r="AM181" s="54"/>
    </row>
    <row r="182" spans="1:39">
      <c r="A182" s="45" t="str" cm="1">
        <f t="array" ref="A182">IF(H182="PROJECT", CHAR(10) &amp; "- " &amp; _xlfn.TEXTJOIN(CHAR(10) &amp; "- ", TRUE, _xlfn._xlws.FILTER($I$9:$I$1000, ($B$9:$B$1000=B182) * ($H$9:$H$1000="Topic"))), "")</f>
        <v/>
      </c>
      <c r="B182" s="45" t="str">
        <f t="shared" si="37"/>
        <v/>
      </c>
      <c r="C182" s="95"/>
      <c r="D182" s="57"/>
      <c r="E182" s="58"/>
      <c r="F182" s="54"/>
      <c r="G182" s="52"/>
      <c r="H182" s="52"/>
      <c r="I182" s="61"/>
      <c r="J182" s="62"/>
      <c r="K182" s="129" t="str">
        <f t="shared" si="38"/>
        <v/>
      </c>
      <c r="L182" s="103" t="str">
        <f t="shared" si="39"/>
        <v/>
      </c>
      <c r="M182" s="52">
        <v>0</v>
      </c>
      <c r="N182" s="102" t="str">
        <f t="shared" si="40"/>
        <v/>
      </c>
      <c r="O182" s="103" t="str">
        <f t="shared" si="41"/>
        <v/>
      </c>
      <c r="P182" s="52">
        <v>0</v>
      </c>
      <c r="Q182" s="102" t="str">
        <f t="shared" si="42"/>
        <v/>
      </c>
      <c r="R182" s="103" t="str">
        <f t="shared" si="43"/>
        <v/>
      </c>
      <c r="S182" s="52">
        <v>0</v>
      </c>
      <c r="T182" s="102" t="str">
        <f t="shared" si="44"/>
        <v/>
      </c>
      <c r="U182" s="103" t="str">
        <f t="shared" si="45"/>
        <v/>
      </c>
      <c r="V182" s="52">
        <v>0</v>
      </c>
      <c r="W182" s="87" t="str">
        <f t="shared" si="46"/>
        <v/>
      </c>
      <c r="X182" s="103" t="str">
        <f t="shared" si="47"/>
        <v/>
      </c>
      <c r="Y182" s="52">
        <v>0</v>
      </c>
      <c r="Z182" s="56" t="str">
        <f t="shared" si="48"/>
        <v/>
      </c>
      <c r="AA182" s="56" t="str">
        <f t="shared" si="49"/>
        <v/>
      </c>
      <c r="AB182" s="56" t="str">
        <f t="shared" si="50"/>
        <v/>
      </c>
      <c r="AC182" s="56" t="str">
        <f t="shared" si="51"/>
        <v/>
      </c>
      <c r="AD182" s="56" t="str">
        <f t="shared" si="52"/>
        <v/>
      </c>
      <c r="AE182" s="40"/>
      <c r="AF182" s="40"/>
      <c r="AG182" s="40"/>
      <c r="AH182" s="56" t="str">
        <f t="shared" si="53"/>
        <v/>
      </c>
      <c r="AI182" s="54"/>
      <c r="AJ182" s="54"/>
      <c r="AK182" s="54"/>
      <c r="AL182" s="54"/>
      <c r="AM182" s="54"/>
    </row>
    <row r="183" spans="1:39">
      <c r="A183" s="45" t="str" cm="1">
        <f t="array" ref="A183">IF(H183="PROJECT", CHAR(10) &amp; "- " &amp; _xlfn.TEXTJOIN(CHAR(10) &amp; "- ", TRUE, _xlfn._xlws.FILTER($I$9:$I$1000, ($B$9:$B$1000=B183) * ($H$9:$H$1000="Topic"))), "")</f>
        <v/>
      </c>
      <c r="B183" s="45" t="str">
        <f t="shared" si="37"/>
        <v/>
      </c>
      <c r="C183" s="95"/>
      <c r="D183" s="46"/>
      <c r="E183" s="58"/>
      <c r="F183" s="67"/>
      <c r="G183" s="53"/>
      <c r="H183" s="53"/>
      <c r="I183" s="50"/>
      <c r="J183" s="51"/>
      <c r="K183" s="129" t="str">
        <f t="shared" si="38"/>
        <v/>
      </c>
      <c r="L183" s="103" t="str">
        <f t="shared" si="39"/>
        <v/>
      </c>
      <c r="M183" s="53">
        <v>0</v>
      </c>
      <c r="N183" s="102" t="str">
        <f t="shared" si="40"/>
        <v/>
      </c>
      <c r="O183" s="103" t="str">
        <f t="shared" si="41"/>
        <v/>
      </c>
      <c r="P183" s="53">
        <v>0</v>
      </c>
      <c r="Q183" s="102" t="str">
        <f t="shared" si="42"/>
        <v/>
      </c>
      <c r="R183" s="103" t="str">
        <f t="shared" si="43"/>
        <v/>
      </c>
      <c r="S183" s="53">
        <v>0</v>
      </c>
      <c r="T183" s="102" t="str">
        <f t="shared" si="44"/>
        <v/>
      </c>
      <c r="U183" s="103" t="str">
        <f t="shared" si="45"/>
        <v/>
      </c>
      <c r="V183" s="53">
        <v>0</v>
      </c>
      <c r="W183" s="87" t="str">
        <f t="shared" si="46"/>
        <v/>
      </c>
      <c r="X183" s="103" t="str">
        <f t="shared" si="47"/>
        <v/>
      </c>
      <c r="Y183" s="53">
        <v>0</v>
      </c>
      <c r="Z183" s="56" t="str">
        <f t="shared" si="48"/>
        <v/>
      </c>
      <c r="AA183" s="56" t="str">
        <f t="shared" si="49"/>
        <v/>
      </c>
      <c r="AB183" s="56" t="str">
        <f t="shared" si="50"/>
        <v/>
      </c>
      <c r="AC183" s="56" t="str">
        <f t="shared" si="51"/>
        <v/>
      </c>
      <c r="AD183" s="56" t="str">
        <f t="shared" si="52"/>
        <v/>
      </c>
      <c r="AE183" s="40"/>
      <c r="AF183" s="40"/>
      <c r="AG183" s="40"/>
      <c r="AH183" s="56" t="str">
        <f t="shared" si="53"/>
        <v/>
      </c>
      <c r="AI183" s="54"/>
      <c r="AJ183" s="54"/>
      <c r="AK183" s="54"/>
      <c r="AL183" s="54"/>
      <c r="AM183" s="54"/>
    </row>
    <row r="184" spans="1:39">
      <c r="A184" s="45" t="str" cm="1">
        <f t="array" ref="A184">IF(H184="PROJECT", CHAR(10) &amp; "- " &amp; _xlfn.TEXTJOIN(CHAR(10) &amp; "- ", TRUE, _xlfn._xlws.FILTER($I$9:$I$1000, ($B$9:$B$1000=B184) * ($H$9:$H$1000="Topic"))), "")</f>
        <v/>
      </c>
      <c r="B184" s="45" t="str">
        <f t="shared" si="37"/>
        <v/>
      </c>
      <c r="C184" s="95"/>
      <c r="D184" s="57"/>
      <c r="E184" s="58"/>
      <c r="F184" s="54"/>
      <c r="G184" s="52"/>
      <c r="H184" s="52"/>
      <c r="I184" s="61"/>
      <c r="J184" s="62"/>
      <c r="K184" s="129" t="str">
        <f t="shared" si="38"/>
        <v/>
      </c>
      <c r="L184" s="103" t="str">
        <f t="shared" si="39"/>
        <v/>
      </c>
      <c r="M184" s="52">
        <v>0</v>
      </c>
      <c r="N184" s="102" t="str">
        <f t="shared" si="40"/>
        <v/>
      </c>
      <c r="O184" s="103" t="str">
        <f t="shared" si="41"/>
        <v/>
      </c>
      <c r="P184" s="52">
        <v>0</v>
      </c>
      <c r="Q184" s="102" t="str">
        <f t="shared" si="42"/>
        <v/>
      </c>
      <c r="R184" s="103" t="str">
        <f t="shared" si="43"/>
        <v/>
      </c>
      <c r="S184" s="52">
        <v>0</v>
      </c>
      <c r="T184" s="102" t="str">
        <f t="shared" si="44"/>
        <v/>
      </c>
      <c r="U184" s="103" t="str">
        <f t="shared" si="45"/>
        <v/>
      </c>
      <c r="V184" s="52">
        <v>0</v>
      </c>
      <c r="W184" s="87" t="str">
        <f t="shared" si="46"/>
        <v/>
      </c>
      <c r="X184" s="103" t="str">
        <f t="shared" si="47"/>
        <v/>
      </c>
      <c r="Y184" s="52">
        <v>0</v>
      </c>
      <c r="Z184" s="56" t="str">
        <f t="shared" si="48"/>
        <v/>
      </c>
      <c r="AA184" s="56" t="str">
        <f t="shared" si="49"/>
        <v/>
      </c>
      <c r="AB184" s="56" t="str">
        <f t="shared" si="50"/>
        <v/>
      </c>
      <c r="AC184" s="56" t="str">
        <f t="shared" si="51"/>
        <v/>
      </c>
      <c r="AD184" s="56" t="str">
        <f t="shared" si="52"/>
        <v/>
      </c>
      <c r="AE184" s="40"/>
      <c r="AF184" s="40"/>
      <c r="AG184" s="40"/>
      <c r="AH184" s="56" t="str">
        <f t="shared" si="53"/>
        <v/>
      </c>
      <c r="AI184" s="54"/>
      <c r="AJ184" s="54"/>
      <c r="AK184" s="54"/>
      <c r="AL184" s="54"/>
      <c r="AM184" s="54"/>
    </row>
    <row r="185" spans="1:39">
      <c r="A185" s="45" t="str" cm="1">
        <f t="array" ref="A185">IF(H185="PROJECT", CHAR(10) &amp; "- " &amp; _xlfn.TEXTJOIN(CHAR(10) &amp; "- ", TRUE, _xlfn._xlws.FILTER($I$9:$I$1000, ($B$9:$B$1000=B185) * ($H$9:$H$1000="Topic"))), "")</f>
        <v/>
      </c>
      <c r="B185" s="45" t="str">
        <f t="shared" si="37"/>
        <v/>
      </c>
      <c r="C185" s="95"/>
      <c r="D185" s="46"/>
      <c r="E185" s="58"/>
      <c r="F185" s="67"/>
      <c r="G185" s="53"/>
      <c r="H185" s="53"/>
      <c r="I185" s="50"/>
      <c r="J185" s="51"/>
      <c r="K185" s="129" t="str">
        <f t="shared" si="38"/>
        <v/>
      </c>
      <c r="L185" s="103" t="str">
        <f t="shared" si="39"/>
        <v/>
      </c>
      <c r="M185" s="53">
        <v>0</v>
      </c>
      <c r="N185" s="102" t="str">
        <f t="shared" si="40"/>
        <v/>
      </c>
      <c r="O185" s="103" t="str">
        <f t="shared" si="41"/>
        <v/>
      </c>
      <c r="P185" s="53">
        <v>0</v>
      </c>
      <c r="Q185" s="102" t="str">
        <f t="shared" si="42"/>
        <v/>
      </c>
      <c r="R185" s="103" t="str">
        <f t="shared" si="43"/>
        <v/>
      </c>
      <c r="S185" s="53">
        <v>0</v>
      </c>
      <c r="T185" s="102" t="str">
        <f t="shared" si="44"/>
        <v/>
      </c>
      <c r="U185" s="103" t="str">
        <f t="shared" si="45"/>
        <v/>
      </c>
      <c r="V185" s="53">
        <v>0</v>
      </c>
      <c r="W185" s="87" t="str">
        <f t="shared" si="46"/>
        <v/>
      </c>
      <c r="X185" s="103" t="str">
        <f t="shared" si="47"/>
        <v/>
      </c>
      <c r="Y185" s="53">
        <v>0</v>
      </c>
      <c r="Z185" s="56" t="str">
        <f t="shared" si="48"/>
        <v/>
      </c>
      <c r="AA185" s="56" t="str">
        <f t="shared" si="49"/>
        <v/>
      </c>
      <c r="AB185" s="56" t="str">
        <f t="shared" si="50"/>
        <v/>
      </c>
      <c r="AC185" s="56" t="str">
        <f t="shared" si="51"/>
        <v/>
      </c>
      <c r="AD185" s="56" t="str">
        <f t="shared" si="52"/>
        <v/>
      </c>
      <c r="AE185" s="40"/>
      <c r="AF185" s="40"/>
      <c r="AG185" s="40"/>
      <c r="AH185" s="56" t="str">
        <f t="shared" si="53"/>
        <v/>
      </c>
      <c r="AI185" s="54"/>
      <c r="AJ185" s="54"/>
      <c r="AK185" s="54"/>
      <c r="AL185" s="54"/>
      <c r="AM185" s="54"/>
    </row>
    <row r="186" spans="1:39">
      <c r="A186" s="45" t="str" cm="1">
        <f t="array" ref="A186">IF(H186="PROJECT", CHAR(10) &amp; "- " &amp; _xlfn.TEXTJOIN(CHAR(10) &amp; "- ", TRUE, _xlfn._xlws.FILTER($I$9:$I$1000, ($B$9:$B$1000=B186) * ($H$9:$H$1000="Topic"))), "")</f>
        <v/>
      </c>
      <c r="B186" s="45" t="str">
        <f t="shared" si="37"/>
        <v/>
      </c>
      <c r="C186" s="95"/>
      <c r="D186" s="57"/>
      <c r="E186" s="58"/>
      <c r="F186" s="54"/>
      <c r="G186" s="52"/>
      <c r="H186" s="52"/>
      <c r="I186" s="61"/>
      <c r="J186" s="62"/>
      <c r="K186" s="129" t="str">
        <f t="shared" si="38"/>
        <v/>
      </c>
      <c r="L186" s="103" t="str">
        <f t="shared" si="39"/>
        <v/>
      </c>
      <c r="M186" s="52">
        <v>0</v>
      </c>
      <c r="N186" s="102" t="str">
        <f t="shared" si="40"/>
        <v/>
      </c>
      <c r="O186" s="103" t="str">
        <f t="shared" si="41"/>
        <v/>
      </c>
      <c r="P186" s="52">
        <v>0</v>
      </c>
      <c r="Q186" s="102" t="str">
        <f t="shared" si="42"/>
        <v/>
      </c>
      <c r="R186" s="103" t="str">
        <f t="shared" si="43"/>
        <v/>
      </c>
      <c r="S186" s="52">
        <v>0</v>
      </c>
      <c r="T186" s="102" t="str">
        <f t="shared" si="44"/>
        <v/>
      </c>
      <c r="U186" s="103" t="str">
        <f t="shared" si="45"/>
        <v/>
      </c>
      <c r="V186" s="52">
        <v>0</v>
      </c>
      <c r="W186" s="87" t="str">
        <f t="shared" si="46"/>
        <v/>
      </c>
      <c r="X186" s="103" t="str">
        <f t="shared" si="47"/>
        <v/>
      </c>
      <c r="Y186" s="52">
        <v>0</v>
      </c>
      <c r="Z186" s="56" t="str">
        <f t="shared" si="48"/>
        <v/>
      </c>
      <c r="AA186" s="56" t="str">
        <f t="shared" si="49"/>
        <v/>
      </c>
      <c r="AB186" s="56" t="str">
        <f t="shared" si="50"/>
        <v/>
      </c>
      <c r="AC186" s="56" t="str">
        <f t="shared" si="51"/>
        <v/>
      </c>
      <c r="AD186" s="56" t="str">
        <f t="shared" si="52"/>
        <v/>
      </c>
      <c r="AE186" s="40"/>
      <c r="AF186" s="40"/>
      <c r="AG186" s="40"/>
      <c r="AH186" s="56" t="str">
        <f t="shared" si="53"/>
        <v/>
      </c>
      <c r="AI186" s="54"/>
      <c r="AJ186" s="54"/>
      <c r="AK186" s="54"/>
      <c r="AL186" s="54"/>
      <c r="AM186" s="54"/>
    </row>
    <row r="187" spans="1:39">
      <c r="A187" s="45" t="str" cm="1">
        <f t="array" ref="A187">IF(H187="PROJECT", CHAR(10) &amp; "- " &amp; _xlfn.TEXTJOIN(CHAR(10) &amp; "- ", TRUE, _xlfn._xlws.FILTER($I$9:$I$1000, ($B$9:$B$1000=B187) * ($H$9:$H$1000="Topic"))), "")</f>
        <v/>
      </c>
      <c r="B187" s="45" t="str">
        <f t="shared" si="37"/>
        <v/>
      </c>
      <c r="C187" s="95"/>
      <c r="D187" s="46"/>
      <c r="E187" s="58"/>
      <c r="F187" s="67"/>
      <c r="G187" s="53"/>
      <c r="H187" s="53"/>
      <c r="I187" s="50"/>
      <c r="J187" s="51"/>
      <c r="K187" s="129" t="str">
        <f t="shared" si="38"/>
        <v/>
      </c>
      <c r="L187" s="103" t="str">
        <f t="shared" si="39"/>
        <v/>
      </c>
      <c r="M187" s="53">
        <v>0</v>
      </c>
      <c r="N187" s="102" t="str">
        <f t="shared" si="40"/>
        <v/>
      </c>
      <c r="O187" s="103" t="str">
        <f t="shared" si="41"/>
        <v/>
      </c>
      <c r="P187" s="53">
        <v>0</v>
      </c>
      <c r="Q187" s="102" t="str">
        <f t="shared" si="42"/>
        <v/>
      </c>
      <c r="R187" s="103" t="str">
        <f t="shared" si="43"/>
        <v/>
      </c>
      <c r="S187" s="53">
        <v>0</v>
      </c>
      <c r="T187" s="102" t="str">
        <f t="shared" si="44"/>
        <v/>
      </c>
      <c r="U187" s="103" t="str">
        <f t="shared" si="45"/>
        <v/>
      </c>
      <c r="V187" s="53">
        <v>0</v>
      </c>
      <c r="W187" s="87" t="str">
        <f t="shared" si="46"/>
        <v/>
      </c>
      <c r="X187" s="103" t="str">
        <f t="shared" si="47"/>
        <v/>
      </c>
      <c r="Y187" s="53">
        <v>0</v>
      </c>
      <c r="Z187" s="56" t="str">
        <f t="shared" si="48"/>
        <v/>
      </c>
      <c r="AA187" s="56" t="str">
        <f t="shared" si="49"/>
        <v/>
      </c>
      <c r="AB187" s="56" t="str">
        <f t="shared" si="50"/>
        <v/>
      </c>
      <c r="AC187" s="56" t="str">
        <f t="shared" si="51"/>
        <v/>
      </c>
      <c r="AD187" s="56" t="str">
        <f t="shared" si="52"/>
        <v/>
      </c>
      <c r="AE187" s="40"/>
      <c r="AF187" s="40"/>
      <c r="AG187" s="40"/>
      <c r="AH187" s="56" t="str">
        <f t="shared" si="53"/>
        <v/>
      </c>
      <c r="AI187" s="54"/>
      <c r="AJ187" s="54"/>
      <c r="AK187" s="54"/>
      <c r="AL187" s="54"/>
      <c r="AM187" s="54"/>
    </row>
    <row r="188" spans="1:39">
      <c r="A188" s="45" t="str" cm="1">
        <f t="array" ref="A188">IF(H188="PROJECT", CHAR(10) &amp; "- " &amp; _xlfn.TEXTJOIN(CHAR(10) &amp; "- ", TRUE, _xlfn._xlws.FILTER($I$9:$I$1000, ($B$9:$B$1000=B188) * ($H$9:$H$1000="Topic"))), "")</f>
        <v/>
      </c>
      <c r="B188" s="45" t="str">
        <f t="shared" si="37"/>
        <v/>
      </c>
      <c r="C188" s="95"/>
      <c r="D188" s="57"/>
      <c r="E188" s="58"/>
      <c r="F188" s="54"/>
      <c r="G188" s="52"/>
      <c r="H188" s="52"/>
      <c r="I188" s="61"/>
      <c r="J188" s="62"/>
      <c r="K188" s="129" t="str">
        <f t="shared" si="38"/>
        <v/>
      </c>
      <c r="L188" s="103" t="str">
        <f t="shared" si="39"/>
        <v/>
      </c>
      <c r="M188" s="52">
        <v>0</v>
      </c>
      <c r="N188" s="102" t="str">
        <f t="shared" si="40"/>
        <v/>
      </c>
      <c r="O188" s="103" t="str">
        <f t="shared" si="41"/>
        <v/>
      </c>
      <c r="P188" s="52">
        <v>0</v>
      </c>
      <c r="Q188" s="102" t="str">
        <f t="shared" si="42"/>
        <v/>
      </c>
      <c r="R188" s="103" t="str">
        <f t="shared" si="43"/>
        <v/>
      </c>
      <c r="S188" s="52">
        <v>0</v>
      </c>
      <c r="T188" s="102" t="str">
        <f t="shared" si="44"/>
        <v/>
      </c>
      <c r="U188" s="103" t="str">
        <f t="shared" si="45"/>
        <v/>
      </c>
      <c r="V188" s="52">
        <v>0</v>
      </c>
      <c r="W188" s="87" t="str">
        <f t="shared" si="46"/>
        <v/>
      </c>
      <c r="X188" s="103" t="str">
        <f t="shared" si="47"/>
        <v/>
      </c>
      <c r="Y188" s="52">
        <v>0</v>
      </c>
      <c r="Z188" s="56" t="str">
        <f t="shared" si="48"/>
        <v/>
      </c>
      <c r="AA188" s="56" t="str">
        <f t="shared" si="49"/>
        <v/>
      </c>
      <c r="AB188" s="56" t="str">
        <f t="shared" si="50"/>
        <v/>
      </c>
      <c r="AC188" s="56" t="str">
        <f t="shared" si="51"/>
        <v/>
      </c>
      <c r="AD188" s="56" t="str">
        <f t="shared" si="52"/>
        <v/>
      </c>
      <c r="AE188" s="40"/>
      <c r="AF188" s="40"/>
      <c r="AG188" s="40"/>
      <c r="AH188" s="56" t="str">
        <f t="shared" si="53"/>
        <v/>
      </c>
      <c r="AI188" s="54"/>
      <c r="AJ188" s="54"/>
      <c r="AK188" s="54"/>
      <c r="AL188" s="54"/>
      <c r="AM188" s="54"/>
    </row>
    <row r="189" spans="1:39">
      <c r="A189" s="45" t="str" cm="1">
        <f t="array" ref="A189">IF(H189="PROJECT", CHAR(10) &amp; "- " &amp; _xlfn.TEXTJOIN(CHAR(10) &amp; "- ", TRUE, _xlfn._xlws.FILTER($I$9:$I$1000, ($B$9:$B$1000=B189) * ($H$9:$H$1000="Topic"))), "")</f>
        <v/>
      </c>
      <c r="B189" s="45" t="str">
        <f t="shared" si="37"/>
        <v/>
      </c>
      <c r="C189" s="95"/>
      <c r="D189" s="46"/>
      <c r="E189" s="58"/>
      <c r="F189" s="67"/>
      <c r="G189" s="53"/>
      <c r="H189" s="53"/>
      <c r="I189" s="50"/>
      <c r="J189" s="51"/>
      <c r="K189" s="129" t="str">
        <f t="shared" si="38"/>
        <v/>
      </c>
      <c r="L189" s="103" t="str">
        <f t="shared" si="39"/>
        <v/>
      </c>
      <c r="M189" s="53">
        <v>0</v>
      </c>
      <c r="N189" s="102" t="str">
        <f t="shared" si="40"/>
        <v/>
      </c>
      <c r="O189" s="103" t="str">
        <f t="shared" si="41"/>
        <v/>
      </c>
      <c r="P189" s="53">
        <v>0</v>
      </c>
      <c r="Q189" s="102" t="str">
        <f t="shared" si="42"/>
        <v/>
      </c>
      <c r="R189" s="103" t="str">
        <f t="shared" si="43"/>
        <v/>
      </c>
      <c r="S189" s="53">
        <v>0</v>
      </c>
      <c r="T189" s="102" t="str">
        <f t="shared" si="44"/>
        <v/>
      </c>
      <c r="U189" s="103" t="str">
        <f t="shared" si="45"/>
        <v/>
      </c>
      <c r="V189" s="53">
        <v>0</v>
      </c>
      <c r="W189" s="87" t="str">
        <f t="shared" si="46"/>
        <v/>
      </c>
      <c r="X189" s="103" t="str">
        <f t="shared" si="47"/>
        <v/>
      </c>
      <c r="Y189" s="53">
        <v>0</v>
      </c>
      <c r="Z189" s="56" t="str">
        <f t="shared" si="48"/>
        <v/>
      </c>
      <c r="AA189" s="56" t="str">
        <f t="shared" si="49"/>
        <v/>
      </c>
      <c r="AB189" s="56" t="str">
        <f t="shared" si="50"/>
        <v/>
      </c>
      <c r="AC189" s="56" t="str">
        <f t="shared" si="51"/>
        <v/>
      </c>
      <c r="AD189" s="56" t="str">
        <f t="shared" si="52"/>
        <v/>
      </c>
      <c r="AE189" s="40"/>
      <c r="AF189" s="40"/>
      <c r="AG189" s="40"/>
      <c r="AH189" s="56" t="str">
        <f t="shared" si="53"/>
        <v/>
      </c>
      <c r="AI189" s="54"/>
      <c r="AJ189" s="54"/>
      <c r="AK189" s="54"/>
      <c r="AL189" s="54"/>
      <c r="AM189" s="54"/>
    </row>
    <row r="190" spans="1:39">
      <c r="A190" s="45" t="str" cm="1">
        <f t="array" ref="A190">IF(H190="PROJECT", CHAR(10) &amp; "- " &amp; _xlfn.TEXTJOIN(CHAR(10) &amp; "- ", TRUE, _xlfn._xlws.FILTER($I$9:$I$1000, ($B$9:$B$1000=B190) * ($H$9:$H$1000="Topic"))), "")</f>
        <v/>
      </c>
      <c r="B190" s="45" t="str">
        <f t="shared" si="37"/>
        <v/>
      </c>
      <c r="C190" s="95"/>
      <c r="D190" s="57"/>
      <c r="E190" s="58"/>
      <c r="F190" s="54"/>
      <c r="G190" s="52"/>
      <c r="H190" s="52"/>
      <c r="I190" s="61"/>
      <c r="J190" s="62"/>
      <c r="K190" s="129" t="str">
        <f t="shared" si="38"/>
        <v/>
      </c>
      <c r="L190" s="103" t="str">
        <f t="shared" si="39"/>
        <v/>
      </c>
      <c r="M190" s="52">
        <v>0</v>
      </c>
      <c r="N190" s="102" t="str">
        <f t="shared" si="40"/>
        <v/>
      </c>
      <c r="O190" s="103" t="str">
        <f t="shared" si="41"/>
        <v/>
      </c>
      <c r="P190" s="52">
        <v>0</v>
      </c>
      <c r="Q190" s="102" t="str">
        <f t="shared" si="42"/>
        <v/>
      </c>
      <c r="R190" s="103" t="str">
        <f t="shared" si="43"/>
        <v/>
      </c>
      <c r="S190" s="52">
        <v>0</v>
      </c>
      <c r="T190" s="102" t="str">
        <f t="shared" si="44"/>
        <v/>
      </c>
      <c r="U190" s="103" t="str">
        <f t="shared" si="45"/>
        <v/>
      </c>
      <c r="V190" s="52">
        <v>0</v>
      </c>
      <c r="W190" s="87" t="str">
        <f t="shared" si="46"/>
        <v/>
      </c>
      <c r="X190" s="103" t="str">
        <f t="shared" si="47"/>
        <v/>
      </c>
      <c r="Y190" s="52">
        <v>0</v>
      </c>
      <c r="Z190" s="56" t="str">
        <f t="shared" si="48"/>
        <v/>
      </c>
      <c r="AA190" s="56" t="str">
        <f t="shared" si="49"/>
        <v/>
      </c>
      <c r="AB190" s="56" t="str">
        <f t="shared" si="50"/>
        <v/>
      </c>
      <c r="AC190" s="56" t="str">
        <f t="shared" si="51"/>
        <v/>
      </c>
      <c r="AD190" s="56" t="str">
        <f t="shared" si="52"/>
        <v/>
      </c>
      <c r="AE190" s="40"/>
      <c r="AF190" s="40"/>
      <c r="AG190" s="40"/>
      <c r="AH190" s="56" t="str">
        <f t="shared" si="53"/>
        <v/>
      </c>
      <c r="AI190" s="54"/>
      <c r="AJ190" s="54"/>
      <c r="AK190" s="54"/>
      <c r="AL190" s="54"/>
      <c r="AM190" s="54"/>
    </row>
    <row r="191" spans="1:39">
      <c r="A191" s="45" t="str" cm="1">
        <f t="array" ref="A191">IF(H191="PROJECT", CHAR(10) &amp; "- " &amp; _xlfn.TEXTJOIN(CHAR(10) &amp; "- ", TRUE, _xlfn._xlws.FILTER($I$9:$I$1000, ($B$9:$B$1000=B191) * ($H$9:$H$1000="Topic"))), "")</f>
        <v/>
      </c>
      <c r="B191" s="45" t="str">
        <f t="shared" si="37"/>
        <v/>
      </c>
      <c r="C191" s="95"/>
      <c r="D191" s="46"/>
      <c r="E191" s="58"/>
      <c r="F191" s="67"/>
      <c r="G191" s="53"/>
      <c r="H191" s="53"/>
      <c r="I191" s="50"/>
      <c r="J191" s="51"/>
      <c r="K191" s="129" t="str">
        <f t="shared" si="38"/>
        <v/>
      </c>
      <c r="L191" s="103" t="str">
        <f t="shared" si="39"/>
        <v/>
      </c>
      <c r="M191" s="53">
        <v>0</v>
      </c>
      <c r="N191" s="102" t="str">
        <f t="shared" si="40"/>
        <v/>
      </c>
      <c r="O191" s="103" t="str">
        <f t="shared" si="41"/>
        <v/>
      </c>
      <c r="P191" s="53">
        <v>0</v>
      </c>
      <c r="Q191" s="102" t="str">
        <f t="shared" si="42"/>
        <v/>
      </c>
      <c r="R191" s="103" t="str">
        <f t="shared" si="43"/>
        <v/>
      </c>
      <c r="S191" s="53">
        <v>0</v>
      </c>
      <c r="T191" s="102" t="str">
        <f t="shared" si="44"/>
        <v/>
      </c>
      <c r="U191" s="103" t="str">
        <f t="shared" si="45"/>
        <v/>
      </c>
      <c r="V191" s="53">
        <v>0</v>
      </c>
      <c r="W191" s="87" t="str">
        <f t="shared" si="46"/>
        <v/>
      </c>
      <c r="X191" s="103" t="str">
        <f t="shared" si="47"/>
        <v/>
      </c>
      <c r="Y191" s="53">
        <v>0</v>
      </c>
      <c r="Z191" s="56" t="str">
        <f t="shared" si="48"/>
        <v/>
      </c>
      <c r="AA191" s="56" t="str">
        <f t="shared" si="49"/>
        <v/>
      </c>
      <c r="AB191" s="56" t="str">
        <f t="shared" si="50"/>
        <v/>
      </c>
      <c r="AC191" s="56" t="str">
        <f t="shared" si="51"/>
        <v/>
      </c>
      <c r="AD191" s="56" t="str">
        <f t="shared" si="52"/>
        <v/>
      </c>
      <c r="AE191" s="40"/>
      <c r="AF191" s="40"/>
      <c r="AG191" s="40"/>
      <c r="AH191" s="56" t="str">
        <f t="shared" si="53"/>
        <v/>
      </c>
      <c r="AI191" s="54"/>
      <c r="AJ191" s="54"/>
      <c r="AK191" s="54"/>
      <c r="AL191" s="54"/>
      <c r="AM191" s="54"/>
    </row>
    <row r="192" spans="1:39">
      <c r="A192" s="45" t="str" cm="1">
        <f t="array" ref="A192">IF(H192="PROJECT", CHAR(10) &amp; "- " &amp; _xlfn.TEXTJOIN(CHAR(10) &amp; "- ", TRUE, _xlfn._xlws.FILTER($I$9:$I$1000, ($B$9:$B$1000=B192) * ($H$9:$H$1000="Topic"))), "")</f>
        <v/>
      </c>
      <c r="B192" s="45" t="str">
        <f t="shared" si="37"/>
        <v/>
      </c>
      <c r="C192" s="95"/>
      <c r="D192" s="57"/>
      <c r="E192" s="58"/>
      <c r="F192" s="54"/>
      <c r="G192" s="52"/>
      <c r="H192" s="52"/>
      <c r="I192" s="61"/>
      <c r="J192" s="62"/>
      <c r="K192" s="129" t="str">
        <f t="shared" si="38"/>
        <v/>
      </c>
      <c r="L192" s="103" t="str">
        <f t="shared" si="39"/>
        <v/>
      </c>
      <c r="M192" s="52">
        <v>0</v>
      </c>
      <c r="N192" s="102" t="str">
        <f t="shared" si="40"/>
        <v/>
      </c>
      <c r="O192" s="103" t="str">
        <f t="shared" si="41"/>
        <v/>
      </c>
      <c r="P192" s="52">
        <v>0</v>
      </c>
      <c r="Q192" s="102" t="str">
        <f t="shared" si="42"/>
        <v/>
      </c>
      <c r="R192" s="103" t="str">
        <f t="shared" si="43"/>
        <v/>
      </c>
      <c r="S192" s="52">
        <v>0</v>
      </c>
      <c r="T192" s="102" t="str">
        <f t="shared" si="44"/>
        <v/>
      </c>
      <c r="U192" s="103" t="str">
        <f t="shared" si="45"/>
        <v/>
      </c>
      <c r="V192" s="52">
        <v>0</v>
      </c>
      <c r="W192" s="87" t="str">
        <f t="shared" si="46"/>
        <v/>
      </c>
      <c r="X192" s="103" t="str">
        <f t="shared" si="47"/>
        <v/>
      </c>
      <c r="Y192" s="52">
        <v>0</v>
      </c>
      <c r="Z192" s="56" t="str">
        <f t="shared" si="48"/>
        <v/>
      </c>
      <c r="AA192" s="56" t="str">
        <f t="shared" si="49"/>
        <v/>
      </c>
      <c r="AB192" s="56" t="str">
        <f t="shared" si="50"/>
        <v/>
      </c>
      <c r="AC192" s="56" t="str">
        <f t="shared" si="51"/>
        <v/>
      </c>
      <c r="AD192" s="56" t="str">
        <f t="shared" si="52"/>
        <v/>
      </c>
      <c r="AE192" s="40"/>
      <c r="AF192" s="40"/>
      <c r="AG192" s="40"/>
      <c r="AH192" s="56" t="str">
        <f t="shared" si="53"/>
        <v/>
      </c>
      <c r="AI192" s="54"/>
      <c r="AJ192" s="54"/>
      <c r="AK192" s="54"/>
      <c r="AL192" s="54"/>
      <c r="AM192" s="54"/>
    </row>
    <row r="193" spans="1:39">
      <c r="A193" s="45" t="str" cm="1">
        <f t="array" ref="A193">IF(H193="PROJECT", CHAR(10) &amp; "- " &amp; _xlfn.TEXTJOIN(CHAR(10) &amp; "- ", TRUE, _xlfn._xlws.FILTER($I$9:$I$1000, ($B$9:$B$1000=B193) * ($H$9:$H$1000="Topic"))), "")</f>
        <v/>
      </c>
      <c r="B193" s="45" t="str">
        <f t="shared" si="37"/>
        <v/>
      </c>
      <c r="C193" s="95"/>
      <c r="D193" s="46"/>
      <c r="E193" s="58"/>
      <c r="F193" s="67"/>
      <c r="G193" s="53"/>
      <c r="H193" s="53"/>
      <c r="I193" s="50"/>
      <c r="J193" s="51"/>
      <c r="K193" s="129" t="str">
        <f t="shared" si="38"/>
        <v/>
      </c>
      <c r="L193" s="103" t="str">
        <f t="shared" si="39"/>
        <v/>
      </c>
      <c r="M193" s="53">
        <v>0</v>
      </c>
      <c r="N193" s="102" t="str">
        <f t="shared" si="40"/>
        <v/>
      </c>
      <c r="O193" s="103" t="str">
        <f t="shared" si="41"/>
        <v/>
      </c>
      <c r="P193" s="53">
        <v>0</v>
      </c>
      <c r="Q193" s="102" t="str">
        <f t="shared" si="42"/>
        <v/>
      </c>
      <c r="R193" s="103" t="str">
        <f t="shared" si="43"/>
        <v/>
      </c>
      <c r="S193" s="53">
        <v>0</v>
      </c>
      <c r="T193" s="102" t="str">
        <f t="shared" si="44"/>
        <v/>
      </c>
      <c r="U193" s="103" t="str">
        <f t="shared" si="45"/>
        <v/>
      </c>
      <c r="V193" s="53">
        <v>0</v>
      </c>
      <c r="W193" s="87" t="str">
        <f t="shared" si="46"/>
        <v/>
      </c>
      <c r="X193" s="103" t="str">
        <f t="shared" si="47"/>
        <v/>
      </c>
      <c r="Y193" s="53">
        <v>0</v>
      </c>
      <c r="Z193" s="56" t="str">
        <f t="shared" si="48"/>
        <v/>
      </c>
      <c r="AA193" s="56" t="str">
        <f t="shared" si="49"/>
        <v/>
      </c>
      <c r="AB193" s="56" t="str">
        <f t="shared" si="50"/>
        <v/>
      </c>
      <c r="AC193" s="56" t="str">
        <f t="shared" si="51"/>
        <v/>
      </c>
      <c r="AD193" s="56" t="str">
        <f t="shared" si="52"/>
        <v/>
      </c>
      <c r="AE193" s="40"/>
      <c r="AF193" s="40"/>
      <c r="AG193" s="40"/>
      <c r="AH193" s="56" t="str">
        <f t="shared" si="53"/>
        <v/>
      </c>
      <c r="AI193" s="54"/>
      <c r="AJ193" s="54"/>
      <c r="AK193" s="54"/>
      <c r="AL193" s="54"/>
      <c r="AM193" s="54"/>
    </row>
    <row r="194" spans="1:39">
      <c r="A194" s="45" t="str" cm="1">
        <f t="array" ref="A194">IF(H194="PROJECT", CHAR(10) &amp; "- " &amp; _xlfn.TEXTJOIN(CHAR(10) &amp; "- ", TRUE, _xlfn._xlws.FILTER($I$9:$I$1000, ($B$9:$B$1000=B194) * ($H$9:$H$1000="Topic"))), "")</f>
        <v/>
      </c>
      <c r="B194" s="45" t="str">
        <f t="shared" si="37"/>
        <v/>
      </c>
      <c r="C194" s="95"/>
      <c r="D194" s="57"/>
      <c r="E194" s="58"/>
      <c r="F194" s="54"/>
      <c r="G194" s="52"/>
      <c r="H194" s="52"/>
      <c r="I194" s="61"/>
      <c r="J194" s="62"/>
      <c r="K194" s="129" t="str">
        <f t="shared" si="38"/>
        <v/>
      </c>
      <c r="L194" s="103" t="str">
        <f t="shared" si="39"/>
        <v/>
      </c>
      <c r="M194" s="52">
        <v>0</v>
      </c>
      <c r="N194" s="102" t="str">
        <f t="shared" si="40"/>
        <v/>
      </c>
      <c r="O194" s="103" t="str">
        <f t="shared" si="41"/>
        <v/>
      </c>
      <c r="P194" s="52">
        <v>0</v>
      </c>
      <c r="Q194" s="102" t="str">
        <f t="shared" si="42"/>
        <v/>
      </c>
      <c r="R194" s="103" t="str">
        <f t="shared" si="43"/>
        <v/>
      </c>
      <c r="S194" s="52">
        <v>0</v>
      </c>
      <c r="T194" s="102" t="str">
        <f t="shared" si="44"/>
        <v/>
      </c>
      <c r="U194" s="103" t="str">
        <f t="shared" si="45"/>
        <v/>
      </c>
      <c r="V194" s="52">
        <v>0</v>
      </c>
      <c r="W194" s="87" t="str">
        <f t="shared" si="46"/>
        <v/>
      </c>
      <c r="X194" s="103" t="str">
        <f t="shared" si="47"/>
        <v/>
      </c>
      <c r="Y194" s="52">
        <v>0</v>
      </c>
      <c r="Z194" s="56" t="str">
        <f t="shared" si="48"/>
        <v/>
      </c>
      <c r="AA194" s="56" t="str">
        <f t="shared" si="49"/>
        <v/>
      </c>
      <c r="AB194" s="56" t="str">
        <f t="shared" si="50"/>
        <v/>
      </c>
      <c r="AC194" s="56" t="str">
        <f t="shared" si="51"/>
        <v/>
      </c>
      <c r="AD194" s="56" t="str">
        <f t="shared" si="52"/>
        <v/>
      </c>
      <c r="AE194" s="40"/>
      <c r="AF194" s="40"/>
      <c r="AG194" s="40"/>
      <c r="AH194" s="56" t="str">
        <f t="shared" si="53"/>
        <v/>
      </c>
      <c r="AI194" s="54"/>
      <c r="AJ194" s="54"/>
      <c r="AK194" s="54"/>
      <c r="AL194" s="54"/>
      <c r="AM194" s="54"/>
    </row>
    <row r="195" spans="1:39">
      <c r="A195" s="45" t="str" cm="1">
        <f t="array" ref="A195">IF(H195="PROJECT", CHAR(10) &amp; "- " &amp; _xlfn.TEXTJOIN(CHAR(10) &amp; "- ", TRUE, _xlfn._xlws.FILTER($I$9:$I$1000, ($B$9:$B$1000=B195) * ($H$9:$H$1000="Topic"))), "")</f>
        <v/>
      </c>
      <c r="B195" s="45" t="str">
        <f t="shared" si="37"/>
        <v/>
      </c>
      <c r="C195" s="95"/>
      <c r="D195" s="46"/>
      <c r="E195" s="58"/>
      <c r="F195" s="67"/>
      <c r="G195" s="53"/>
      <c r="H195" s="53"/>
      <c r="I195" s="50"/>
      <c r="J195" s="51"/>
      <c r="K195" s="129" t="str">
        <f t="shared" si="38"/>
        <v/>
      </c>
      <c r="L195" s="103" t="str">
        <f t="shared" si="39"/>
        <v/>
      </c>
      <c r="M195" s="53">
        <v>0</v>
      </c>
      <c r="N195" s="102" t="str">
        <f t="shared" si="40"/>
        <v/>
      </c>
      <c r="O195" s="103" t="str">
        <f t="shared" si="41"/>
        <v/>
      </c>
      <c r="P195" s="53">
        <v>0</v>
      </c>
      <c r="Q195" s="102" t="str">
        <f t="shared" si="42"/>
        <v/>
      </c>
      <c r="R195" s="103" t="str">
        <f t="shared" si="43"/>
        <v/>
      </c>
      <c r="S195" s="53">
        <v>0</v>
      </c>
      <c r="T195" s="102" t="str">
        <f t="shared" si="44"/>
        <v/>
      </c>
      <c r="U195" s="103" t="str">
        <f t="shared" si="45"/>
        <v/>
      </c>
      <c r="V195" s="53">
        <v>0</v>
      </c>
      <c r="W195" s="87" t="str">
        <f t="shared" si="46"/>
        <v/>
      </c>
      <c r="X195" s="103" t="str">
        <f t="shared" si="47"/>
        <v/>
      </c>
      <c r="Y195" s="53">
        <v>0</v>
      </c>
      <c r="Z195" s="56" t="str">
        <f t="shared" si="48"/>
        <v/>
      </c>
      <c r="AA195" s="56" t="str">
        <f t="shared" si="49"/>
        <v/>
      </c>
      <c r="AB195" s="56" t="str">
        <f t="shared" si="50"/>
        <v/>
      </c>
      <c r="AC195" s="56" t="str">
        <f t="shared" si="51"/>
        <v/>
      </c>
      <c r="AD195" s="56" t="str">
        <f t="shared" si="52"/>
        <v/>
      </c>
      <c r="AE195" s="40"/>
      <c r="AF195" s="40"/>
      <c r="AG195" s="40"/>
      <c r="AH195" s="56" t="str">
        <f t="shared" si="53"/>
        <v/>
      </c>
      <c r="AI195" s="54"/>
      <c r="AJ195" s="54"/>
      <c r="AK195" s="54"/>
      <c r="AL195" s="54"/>
      <c r="AM195" s="54"/>
    </row>
    <row r="196" spans="1:39">
      <c r="A196" s="45" t="str" cm="1">
        <f t="array" ref="A196">IF(H196="PROJECT", CHAR(10) &amp; "- " &amp; _xlfn.TEXTJOIN(CHAR(10) &amp; "- ", TRUE, _xlfn._xlws.FILTER($I$9:$I$1000, ($B$9:$B$1000=B196) * ($H$9:$H$1000="Topic"))), "")</f>
        <v/>
      </c>
      <c r="B196" s="45" t="str">
        <f t="shared" si="37"/>
        <v/>
      </c>
      <c r="C196" s="95"/>
      <c r="D196" s="57"/>
      <c r="E196" s="58"/>
      <c r="F196" s="54"/>
      <c r="G196" s="52"/>
      <c r="H196" s="52"/>
      <c r="I196" s="61"/>
      <c r="J196" s="62"/>
      <c r="K196" s="129" t="str">
        <f t="shared" si="38"/>
        <v/>
      </c>
      <c r="L196" s="103" t="str">
        <f t="shared" si="39"/>
        <v/>
      </c>
      <c r="M196" s="52">
        <v>0</v>
      </c>
      <c r="N196" s="102" t="str">
        <f t="shared" si="40"/>
        <v/>
      </c>
      <c r="O196" s="103" t="str">
        <f t="shared" si="41"/>
        <v/>
      </c>
      <c r="P196" s="52">
        <v>0</v>
      </c>
      <c r="Q196" s="102" t="str">
        <f t="shared" si="42"/>
        <v/>
      </c>
      <c r="R196" s="103" t="str">
        <f t="shared" si="43"/>
        <v/>
      </c>
      <c r="S196" s="52">
        <v>0</v>
      </c>
      <c r="T196" s="102" t="str">
        <f t="shared" si="44"/>
        <v/>
      </c>
      <c r="U196" s="103" t="str">
        <f t="shared" si="45"/>
        <v/>
      </c>
      <c r="V196" s="52">
        <v>0</v>
      </c>
      <c r="W196" s="87" t="str">
        <f t="shared" si="46"/>
        <v/>
      </c>
      <c r="X196" s="103" t="str">
        <f t="shared" si="47"/>
        <v/>
      </c>
      <c r="Y196" s="52">
        <v>0</v>
      </c>
      <c r="Z196" s="56" t="str">
        <f t="shared" si="48"/>
        <v/>
      </c>
      <c r="AA196" s="56" t="str">
        <f t="shared" si="49"/>
        <v/>
      </c>
      <c r="AB196" s="56" t="str">
        <f t="shared" si="50"/>
        <v/>
      </c>
      <c r="AC196" s="56" t="str">
        <f t="shared" si="51"/>
        <v/>
      </c>
      <c r="AD196" s="56" t="str">
        <f t="shared" si="52"/>
        <v/>
      </c>
      <c r="AE196" s="40"/>
      <c r="AF196" s="40"/>
      <c r="AG196" s="40"/>
      <c r="AH196" s="56" t="str">
        <f t="shared" si="53"/>
        <v/>
      </c>
      <c r="AI196" s="54"/>
      <c r="AJ196" s="54"/>
      <c r="AK196" s="54"/>
      <c r="AL196" s="54"/>
      <c r="AM196" s="54"/>
    </row>
    <row r="197" spans="1:39">
      <c r="A197" s="45" t="str" cm="1">
        <f t="array" ref="A197">IF(H197="PROJECT", CHAR(10) &amp; "- " &amp; _xlfn.TEXTJOIN(CHAR(10) &amp; "- ", TRUE, _xlfn._xlws.FILTER($I$9:$I$1000, ($B$9:$B$1000=B197) * ($H$9:$H$1000="Topic"))), "")</f>
        <v/>
      </c>
      <c r="B197" s="45" t="str">
        <f t="shared" si="37"/>
        <v/>
      </c>
      <c r="C197" s="95"/>
      <c r="D197" s="46"/>
      <c r="E197" s="58"/>
      <c r="F197" s="67"/>
      <c r="G197" s="53"/>
      <c r="H197" s="53"/>
      <c r="I197" s="50"/>
      <c r="J197" s="51"/>
      <c r="K197" s="129" t="str">
        <f t="shared" si="38"/>
        <v/>
      </c>
      <c r="L197" s="103" t="str">
        <f t="shared" si="39"/>
        <v/>
      </c>
      <c r="M197" s="53">
        <v>0</v>
      </c>
      <c r="N197" s="102" t="str">
        <f t="shared" si="40"/>
        <v/>
      </c>
      <c r="O197" s="103" t="str">
        <f t="shared" si="41"/>
        <v/>
      </c>
      <c r="P197" s="53">
        <v>0</v>
      </c>
      <c r="Q197" s="102" t="str">
        <f t="shared" si="42"/>
        <v/>
      </c>
      <c r="R197" s="103" t="str">
        <f t="shared" si="43"/>
        <v/>
      </c>
      <c r="S197" s="53">
        <v>0</v>
      </c>
      <c r="T197" s="102" t="str">
        <f t="shared" si="44"/>
        <v/>
      </c>
      <c r="U197" s="103" t="str">
        <f t="shared" si="45"/>
        <v/>
      </c>
      <c r="V197" s="53">
        <v>0</v>
      </c>
      <c r="W197" s="87" t="str">
        <f t="shared" si="46"/>
        <v/>
      </c>
      <c r="X197" s="103" t="str">
        <f t="shared" si="47"/>
        <v/>
      </c>
      <c r="Y197" s="53">
        <v>0</v>
      </c>
      <c r="Z197" s="56" t="str">
        <f t="shared" si="48"/>
        <v/>
      </c>
      <c r="AA197" s="56" t="str">
        <f t="shared" si="49"/>
        <v/>
      </c>
      <c r="AB197" s="56" t="str">
        <f t="shared" si="50"/>
        <v/>
      </c>
      <c r="AC197" s="56" t="str">
        <f t="shared" si="51"/>
        <v/>
      </c>
      <c r="AD197" s="56" t="str">
        <f t="shared" si="52"/>
        <v/>
      </c>
      <c r="AE197" s="40"/>
      <c r="AF197" s="40"/>
      <c r="AG197" s="40"/>
      <c r="AH197" s="56" t="str">
        <f t="shared" si="53"/>
        <v/>
      </c>
      <c r="AI197" s="54"/>
      <c r="AJ197" s="54"/>
      <c r="AK197" s="54"/>
      <c r="AL197" s="54"/>
      <c r="AM197" s="54"/>
    </row>
    <row r="198" spans="1:39">
      <c r="A198" s="45" t="str" cm="1">
        <f t="array" ref="A198">IF(H198="PROJECT", CHAR(10) &amp; "- " &amp; _xlfn.TEXTJOIN(CHAR(10) &amp; "- ", TRUE, _xlfn._xlws.FILTER($I$9:$I$1000, ($B$9:$B$1000=B198) * ($H$9:$H$1000="Topic"))), "")</f>
        <v/>
      </c>
      <c r="B198" s="45" t="str">
        <f t="shared" si="37"/>
        <v/>
      </c>
      <c r="C198" s="95"/>
      <c r="D198" s="57"/>
      <c r="E198" s="58"/>
      <c r="F198" s="54"/>
      <c r="G198" s="52"/>
      <c r="H198" s="52"/>
      <c r="I198" s="61"/>
      <c r="J198" s="62"/>
      <c r="K198" s="129" t="str">
        <f t="shared" si="38"/>
        <v/>
      </c>
      <c r="L198" s="103" t="str">
        <f t="shared" si="39"/>
        <v/>
      </c>
      <c r="M198" s="52">
        <v>0</v>
      </c>
      <c r="N198" s="102" t="str">
        <f t="shared" si="40"/>
        <v/>
      </c>
      <c r="O198" s="103" t="str">
        <f t="shared" si="41"/>
        <v/>
      </c>
      <c r="P198" s="52">
        <v>0</v>
      </c>
      <c r="Q198" s="102" t="str">
        <f t="shared" si="42"/>
        <v/>
      </c>
      <c r="R198" s="103" t="str">
        <f t="shared" si="43"/>
        <v/>
      </c>
      <c r="S198" s="52">
        <v>0</v>
      </c>
      <c r="T198" s="102" t="str">
        <f t="shared" si="44"/>
        <v/>
      </c>
      <c r="U198" s="103" t="str">
        <f t="shared" si="45"/>
        <v/>
      </c>
      <c r="V198" s="52">
        <v>0</v>
      </c>
      <c r="W198" s="87" t="str">
        <f t="shared" si="46"/>
        <v/>
      </c>
      <c r="X198" s="103" t="str">
        <f t="shared" si="47"/>
        <v/>
      </c>
      <c r="Y198" s="52">
        <v>0</v>
      </c>
      <c r="Z198" s="56" t="str">
        <f t="shared" si="48"/>
        <v/>
      </c>
      <c r="AA198" s="56" t="str">
        <f t="shared" si="49"/>
        <v/>
      </c>
      <c r="AB198" s="56" t="str">
        <f t="shared" si="50"/>
        <v/>
      </c>
      <c r="AC198" s="56" t="str">
        <f t="shared" si="51"/>
        <v/>
      </c>
      <c r="AD198" s="56" t="str">
        <f t="shared" si="52"/>
        <v/>
      </c>
      <c r="AE198" s="40"/>
      <c r="AF198" s="40"/>
      <c r="AG198" s="40"/>
      <c r="AH198" s="56" t="str">
        <f t="shared" si="53"/>
        <v/>
      </c>
      <c r="AI198" s="54"/>
      <c r="AJ198" s="54"/>
      <c r="AK198" s="54"/>
      <c r="AL198" s="54"/>
      <c r="AM198" s="54"/>
    </row>
    <row r="199" spans="1:39">
      <c r="A199" s="45" t="str" cm="1">
        <f t="array" ref="A199">IF(H199="PROJECT", CHAR(10) &amp; "- " &amp; _xlfn.TEXTJOIN(CHAR(10) &amp; "- ", TRUE, _xlfn._xlws.FILTER($I$9:$I$1000, ($B$9:$B$1000=B199) * ($H$9:$H$1000="Topic"))), "")</f>
        <v/>
      </c>
      <c r="B199" s="45" t="str">
        <f t="shared" si="37"/>
        <v/>
      </c>
      <c r="C199" s="95"/>
      <c r="D199" s="46"/>
      <c r="E199" s="58"/>
      <c r="F199" s="67"/>
      <c r="G199" s="53"/>
      <c r="H199" s="53"/>
      <c r="I199" s="50"/>
      <c r="J199" s="51"/>
      <c r="K199" s="129" t="str">
        <f t="shared" si="38"/>
        <v/>
      </c>
      <c r="L199" s="103" t="str">
        <f t="shared" si="39"/>
        <v/>
      </c>
      <c r="M199" s="53">
        <v>0</v>
      </c>
      <c r="N199" s="102" t="str">
        <f t="shared" si="40"/>
        <v/>
      </c>
      <c r="O199" s="103" t="str">
        <f t="shared" si="41"/>
        <v/>
      </c>
      <c r="P199" s="53">
        <v>0</v>
      </c>
      <c r="Q199" s="102" t="str">
        <f t="shared" si="42"/>
        <v/>
      </c>
      <c r="R199" s="103" t="str">
        <f t="shared" si="43"/>
        <v/>
      </c>
      <c r="S199" s="53">
        <v>0</v>
      </c>
      <c r="T199" s="102" t="str">
        <f t="shared" si="44"/>
        <v/>
      </c>
      <c r="U199" s="103" t="str">
        <f t="shared" si="45"/>
        <v/>
      </c>
      <c r="V199" s="53">
        <v>0</v>
      </c>
      <c r="W199" s="87" t="str">
        <f t="shared" si="46"/>
        <v/>
      </c>
      <c r="X199" s="103" t="str">
        <f t="shared" si="47"/>
        <v/>
      </c>
      <c r="Y199" s="53">
        <v>0</v>
      </c>
      <c r="Z199" s="56" t="str">
        <f t="shared" si="48"/>
        <v/>
      </c>
      <c r="AA199" s="56" t="str">
        <f t="shared" si="49"/>
        <v/>
      </c>
      <c r="AB199" s="56" t="str">
        <f t="shared" si="50"/>
        <v/>
      </c>
      <c r="AC199" s="56" t="str">
        <f t="shared" si="51"/>
        <v/>
      </c>
      <c r="AD199" s="56" t="str">
        <f t="shared" si="52"/>
        <v/>
      </c>
      <c r="AE199" s="40"/>
      <c r="AF199" s="40"/>
      <c r="AG199" s="40"/>
      <c r="AH199" s="56" t="str">
        <f t="shared" si="53"/>
        <v/>
      </c>
      <c r="AI199" s="54"/>
      <c r="AJ199" s="54"/>
      <c r="AK199" s="54"/>
      <c r="AL199" s="54"/>
      <c r="AM199" s="54"/>
    </row>
    <row r="200" spans="1:39">
      <c r="A200" s="45" t="str" cm="1">
        <f t="array" ref="A200">IF(H200="PROJECT", CHAR(10) &amp; "- " &amp; _xlfn.TEXTJOIN(CHAR(10) &amp; "- ", TRUE, _xlfn._xlws.FILTER($I$9:$I$1000, ($B$9:$B$1000=B200) * ($H$9:$H$1000="Topic"))), "")</f>
        <v/>
      </c>
      <c r="B200" s="45" t="str">
        <f t="shared" si="37"/>
        <v/>
      </c>
      <c r="C200" s="95"/>
      <c r="D200" s="68"/>
      <c r="E200" s="58"/>
      <c r="F200" s="54"/>
      <c r="G200" s="69"/>
      <c r="H200" s="69"/>
      <c r="I200" s="70"/>
      <c r="J200" s="71"/>
      <c r="K200" s="129" t="str">
        <f t="shared" si="38"/>
        <v/>
      </c>
      <c r="L200" s="103" t="str">
        <f t="shared" si="39"/>
        <v/>
      </c>
      <c r="M200" s="69">
        <v>0</v>
      </c>
      <c r="N200" s="102" t="str">
        <f t="shared" si="40"/>
        <v/>
      </c>
      <c r="O200" s="103" t="str">
        <f t="shared" si="41"/>
        <v/>
      </c>
      <c r="P200" s="69">
        <v>0</v>
      </c>
      <c r="Q200" s="102" t="str">
        <f t="shared" si="42"/>
        <v/>
      </c>
      <c r="R200" s="103" t="str">
        <f t="shared" si="43"/>
        <v/>
      </c>
      <c r="S200" s="69">
        <v>0</v>
      </c>
      <c r="T200" s="102" t="str">
        <f t="shared" si="44"/>
        <v/>
      </c>
      <c r="U200" s="103" t="str">
        <f t="shared" si="45"/>
        <v/>
      </c>
      <c r="V200" s="69">
        <v>0</v>
      </c>
      <c r="W200" s="87" t="str">
        <f t="shared" si="46"/>
        <v/>
      </c>
      <c r="X200" s="103" t="str">
        <f t="shared" si="47"/>
        <v/>
      </c>
      <c r="Y200" s="69">
        <v>0</v>
      </c>
      <c r="Z200" s="56" t="str">
        <f t="shared" si="48"/>
        <v/>
      </c>
      <c r="AA200" s="56" t="str">
        <f t="shared" si="49"/>
        <v/>
      </c>
      <c r="AB200" s="56" t="str">
        <f t="shared" si="50"/>
        <v/>
      </c>
      <c r="AC200" s="56" t="str">
        <f t="shared" si="51"/>
        <v/>
      </c>
      <c r="AD200" s="56" t="str">
        <f t="shared" si="52"/>
        <v/>
      </c>
      <c r="AE200" s="40"/>
      <c r="AF200" s="40"/>
      <c r="AG200" s="40"/>
      <c r="AH200" s="56" t="str">
        <f t="shared" si="53"/>
        <v/>
      </c>
      <c r="AI200" s="54"/>
      <c r="AJ200" s="54"/>
      <c r="AK200" s="54"/>
      <c r="AL200" s="54"/>
      <c r="AM200" s="54"/>
    </row>
    <row r="201" spans="1:39">
      <c r="D201" s="72"/>
      <c r="F201" s="72"/>
      <c r="G201" s="72"/>
      <c r="H201" s="72"/>
      <c r="I201" s="72"/>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row>
    <row r="202" spans="1:39">
      <c r="D202" s="72"/>
      <c r="F202" s="72"/>
      <c r="G202" s="72"/>
      <c r="H202" s="72"/>
      <c r="I202" s="72"/>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row>
    <row r="203" spans="1:39">
      <c r="D203" s="72"/>
      <c r="F203" s="72"/>
      <c r="G203" s="72"/>
      <c r="H203" s="72"/>
      <c r="I203" s="72"/>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row>
    <row r="204" spans="1:39">
      <c r="D204" s="72"/>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row>
    <row r="205" spans="1:39">
      <c r="D205" s="72"/>
      <c r="F205" s="72"/>
      <c r="G205" s="72"/>
      <c r="H205" s="72"/>
      <c r="I205" s="72"/>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row>
    <row r="206" spans="1:39">
      <c r="D206" s="72"/>
      <c r="F206" s="72"/>
      <c r="G206" s="72"/>
      <c r="H206" s="72"/>
      <c r="I206" s="72"/>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row>
    <row r="207" spans="1:39">
      <c r="D207" s="72"/>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row>
    <row r="208" spans="1:39">
      <c r="D208" s="72"/>
      <c r="F208" s="72"/>
      <c r="G208" s="72"/>
      <c r="H208" s="72"/>
      <c r="I208" s="72"/>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row>
    <row r="209" spans="4:33">
      <c r="D209" s="72"/>
      <c r="F209" s="72"/>
      <c r="G209" s="72"/>
      <c r="H209" s="72"/>
      <c r="I209" s="72"/>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row>
  </sheetData>
  <mergeCells count="6">
    <mergeCell ref="AK7:AM7"/>
    <mergeCell ref="K2:M2"/>
    <mergeCell ref="N2:P2"/>
    <mergeCell ref="Q2:S2"/>
    <mergeCell ref="T2:V2"/>
    <mergeCell ref="W2:Y2"/>
  </mergeCells>
  <conditionalFormatting sqref="D1:D2 D3:E4 D5:D6 D7:E1048576">
    <cfRule type="cellIs" dxfId="82" priority="17" operator="equal">
      <formula>"No"</formula>
    </cfRule>
  </conditionalFormatting>
  <conditionalFormatting sqref="D9:D200 I9:L200">
    <cfRule type="expression" dxfId="81" priority="18">
      <formula>$H9="PROJECT"</formula>
    </cfRule>
  </conditionalFormatting>
  <conditionalFormatting sqref="G9:G200">
    <cfRule type="cellIs" dxfId="80" priority="24" operator="equal">
      <formula>"Beginner"</formula>
    </cfRule>
    <cfRule type="cellIs" dxfId="79" priority="25" operator="equal">
      <formula>"Intermediate"</formula>
    </cfRule>
    <cfRule type="cellIs" dxfId="78" priority="26" operator="equal">
      <formula>"Advanced"</formula>
    </cfRule>
  </conditionalFormatting>
  <conditionalFormatting sqref="H9:H200">
    <cfRule type="cellIs" dxfId="77" priority="23" operator="equal">
      <formula>"PROJECT"</formula>
    </cfRule>
  </conditionalFormatting>
  <conditionalFormatting sqref="K9:L200">
    <cfRule type="expression" dxfId="76" priority="27">
      <formula>M9=1</formula>
    </cfRule>
    <cfRule type="expression" dxfId="75" priority="28">
      <formula>M9=-1</formula>
    </cfRule>
  </conditionalFormatting>
  <conditionalFormatting sqref="N9:O200">
    <cfRule type="expression" dxfId="74" priority="14">
      <formula>$H9="PROJECT"</formula>
    </cfRule>
    <cfRule type="expression" dxfId="73" priority="15">
      <formula>P9=1</formula>
    </cfRule>
    <cfRule type="expression" dxfId="72" priority="16">
      <formula>P9=-1</formula>
    </cfRule>
  </conditionalFormatting>
  <conditionalFormatting sqref="O41:O200">
    <cfRule type="expression" dxfId="71" priority="30">
      <formula>Q41=1</formula>
    </cfRule>
    <cfRule type="expression" dxfId="70" priority="31">
      <formula>Q41=-1</formula>
    </cfRule>
  </conditionalFormatting>
  <conditionalFormatting sqref="Q9:R200">
    <cfRule type="expression" dxfId="69" priority="11">
      <formula>$H9="PROJECT"</formula>
    </cfRule>
    <cfRule type="expression" dxfId="68" priority="12">
      <formula>S9=1</formula>
    </cfRule>
    <cfRule type="expression" dxfId="67" priority="13">
      <formula>S9=-1</formula>
    </cfRule>
  </conditionalFormatting>
  <conditionalFormatting sqref="T9:U200">
    <cfRule type="expression" dxfId="66" priority="6">
      <formula>$H9="PROJECT"</formula>
    </cfRule>
    <cfRule type="expression" dxfId="65" priority="7">
      <formula>V9=1</formula>
    </cfRule>
    <cfRule type="expression" dxfId="64" priority="8">
      <formula>V9=-1</formula>
    </cfRule>
  </conditionalFormatting>
  <conditionalFormatting sqref="U10:U200">
    <cfRule type="expression" dxfId="63" priority="9">
      <formula>W10=1</formula>
    </cfRule>
    <cfRule type="expression" dxfId="62" priority="10">
      <formula>W10=-1</formula>
    </cfRule>
  </conditionalFormatting>
  <conditionalFormatting sqref="W9:X200">
    <cfRule type="expression" dxfId="61" priority="1">
      <formula>$H9="PROJECT"</formula>
    </cfRule>
    <cfRule type="expression" dxfId="60" priority="2">
      <formula>Y9=1</formula>
    </cfRule>
    <cfRule type="expression" dxfId="59" priority="3">
      <formula>Y9=-1</formula>
    </cfRule>
  </conditionalFormatting>
  <conditionalFormatting sqref="X10:X200">
    <cfRule type="expression" dxfId="58" priority="4">
      <formula>Z10=1</formula>
    </cfRule>
    <cfRule type="expression" dxfId="57" priority="5">
      <formula>Z10=-1</formula>
    </cfRule>
  </conditionalFormatting>
  <pageMargins left="0.7" right="0.7" top="0.75" bottom="0.75" header="0.3" footer="0.3"/>
  <pageSetup orientation="portrait" horizontalDpi="4294967292" verticalDpi="0" r:id="rId1"/>
  <extLst>
    <ext xmlns:x14="http://schemas.microsoft.com/office/spreadsheetml/2009/9/main" uri="{78C0D931-6437-407d-A8EE-F0AAD7539E65}">
      <x14:conditionalFormattings>
        <x14:conditionalFormatting xmlns:xm="http://schemas.microsoft.com/office/excel/2006/main">
          <x14:cfRule type="iconSet" priority="29" id="{2FEE3AD7-75A2-4C8C-AD82-90792546F0BA}">
            <x14:iconSet iconSet="3Symbols" custom="1">
              <x14:cfvo type="percent">
                <xm:f>0</xm:f>
              </x14:cfvo>
              <x14:cfvo type="num">
                <xm:f>0</xm:f>
              </x14:cfvo>
              <x14:cfvo type="num">
                <xm:f>1</xm:f>
              </x14:cfvo>
              <x14:cfIcon iconSet="3Symbols" iconId="1"/>
              <x14:cfIcon iconSet="3Symbols" iconId="0"/>
              <x14:cfIcon iconSet="3Symbols" iconId="2"/>
            </x14:iconSet>
          </x14:cfRule>
          <xm:sqref>M9:M200</xm:sqref>
        </x14:conditionalFormatting>
        <x14:conditionalFormatting xmlns:xm="http://schemas.microsoft.com/office/excel/2006/main">
          <x14:cfRule type="iconSet" priority="22" id="{B7488BBE-D70E-4F1D-85BE-6C9D08F208F3}">
            <x14:iconSet iconSet="3Symbols" custom="1">
              <x14:cfvo type="percent">
                <xm:f>0</xm:f>
              </x14:cfvo>
              <x14:cfvo type="num">
                <xm:f>0</xm:f>
              </x14:cfvo>
              <x14:cfvo type="num">
                <xm:f>1</xm:f>
              </x14:cfvo>
              <x14:cfIcon iconSet="3Symbols" iconId="1"/>
              <x14:cfIcon iconSet="3Symbols" iconId="0"/>
              <x14:cfIcon iconSet="3Symbols" iconId="2"/>
            </x14:iconSet>
          </x14:cfRule>
          <xm:sqref>P9:P200</xm:sqref>
        </x14:conditionalFormatting>
        <x14:conditionalFormatting xmlns:xm="http://schemas.microsoft.com/office/excel/2006/main">
          <x14:cfRule type="iconSet" priority="21" id="{4BFCED17-17B1-4960-9B24-2860EF943BE1}">
            <x14:iconSet iconSet="3Symbols" custom="1">
              <x14:cfvo type="percent">
                <xm:f>0</xm:f>
              </x14:cfvo>
              <x14:cfvo type="num">
                <xm:f>0</xm:f>
              </x14:cfvo>
              <x14:cfvo type="num">
                <xm:f>1</xm:f>
              </x14:cfvo>
              <x14:cfIcon iconSet="3Symbols" iconId="1"/>
              <x14:cfIcon iconSet="3Symbols" iconId="0"/>
              <x14:cfIcon iconSet="3Symbols" iconId="2"/>
            </x14:iconSet>
          </x14:cfRule>
          <xm:sqref>S9:S200</xm:sqref>
        </x14:conditionalFormatting>
        <x14:conditionalFormatting xmlns:xm="http://schemas.microsoft.com/office/excel/2006/main">
          <x14:cfRule type="iconSet" priority="20" id="{315FC449-DBE3-44EA-8770-3733BE24B105}">
            <x14:iconSet iconSet="3Symbols" custom="1">
              <x14:cfvo type="percent">
                <xm:f>0</xm:f>
              </x14:cfvo>
              <x14:cfvo type="num">
                <xm:f>0</xm:f>
              </x14:cfvo>
              <x14:cfvo type="num">
                <xm:f>1</xm:f>
              </x14:cfvo>
              <x14:cfIcon iconSet="3Symbols" iconId="1"/>
              <x14:cfIcon iconSet="3Symbols" iconId="0"/>
              <x14:cfIcon iconSet="3Symbols" iconId="2"/>
            </x14:iconSet>
          </x14:cfRule>
          <xm:sqref>V9:V200</xm:sqref>
        </x14:conditionalFormatting>
        <x14:conditionalFormatting xmlns:xm="http://schemas.microsoft.com/office/excel/2006/main">
          <x14:cfRule type="iconSet" priority="19" id="{ACD46CE9-0FEE-4DE3-8069-ACD4BD26B0E3}">
            <x14:iconSet iconSet="3Symbols" custom="1">
              <x14:cfvo type="percent">
                <xm:f>0</xm:f>
              </x14:cfvo>
              <x14:cfvo type="num">
                <xm:f>0</xm:f>
              </x14:cfvo>
              <x14:cfvo type="num">
                <xm:f>1</xm:f>
              </x14:cfvo>
              <x14:cfIcon iconSet="3Symbols" iconId="1"/>
              <x14:cfIcon iconSet="3Symbols" iconId="0"/>
              <x14:cfIcon iconSet="3Symbols" iconId="2"/>
            </x14:iconSet>
          </x14:cfRule>
          <xm:sqref>Y9:Y200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531A8-3589-45B0-96FB-9083488683FC}">
  <dimension ref="A1:A47"/>
  <sheetViews>
    <sheetView showGridLines="0" workbookViewId="0">
      <selection activeCell="A9" sqref="A9"/>
    </sheetView>
  </sheetViews>
  <sheetFormatPr defaultRowHeight="15"/>
  <sheetData>
    <row r="1" spans="1:1" ht="31.5">
      <c r="A1" s="131" t="s">
        <v>673</v>
      </c>
    </row>
    <row r="3" spans="1:1">
      <c r="A3" t="s">
        <v>674</v>
      </c>
    </row>
    <row r="5" spans="1:1" ht="18">
      <c r="A5" s="115" t="s">
        <v>675</v>
      </c>
    </row>
    <row r="7" spans="1:1" ht="21">
      <c r="A7" s="132" t="s">
        <v>676</v>
      </c>
    </row>
    <row r="8" spans="1:1">
      <c r="A8" s="116"/>
    </row>
    <row r="9" spans="1:1">
      <c r="A9" s="116" t="s">
        <v>677</v>
      </c>
    </row>
    <row r="10" spans="1:1">
      <c r="A10" s="116" t="s">
        <v>678</v>
      </c>
    </row>
    <row r="11" spans="1:1">
      <c r="A11" s="116" t="s">
        <v>679</v>
      </c>
    </row>
    <row r="12" spans="1:1">
      <c r="A12" s="116" t="s">
        <v>680</v>
      </c>
    </row>
    <row r="13" spans="1:1">
      <c r="A13" s="116" t="s">
        <v>681</v>
      </c>
    </row>
    <row r="15" spans="1:1" ht="21">
      <c r="A15" s="132" t="s">
        <v>682</v>
      </c>
    </row>
    <row r="17" spans="1:1">
      <c r="A17" t="s">
        <v>683</v>
      </c>
    </row>
    <row r="18" spans="1:1">
      <c r="A18" s="116"/>
    </row>
    <row r="19" spans="1:1">
      <c r="A19" s="117" t="s">
        <v>684</v>
      </c>
    </row>
    <row r="20" spans="1:1">
      <c r="A20" s="118" t="s">
        <v>685</v>
      </c>
    </row>
    <row r="21" spans="1:1">
      <c r="A21" s="118" t="s">
        <v>686</v>
      </c>
    </row>
    <row r="22" spans="1:1">
      <c r="A22" s="118" t="s">
        <v>687</v>
      </c>
    </row>
    <row r="23" spans="1:1">
      <c r="A23" s="118" t="s">
        <v>688</v>
      </c>
    </row>
    <row r="24" spans="1:1">
      <c r="A24" s="116"/>
    </row>
    <row r="25" spans="1:1">
      <c r="A25" s="117" t="s">
        <v>689</v>
      </c>
    </row>
    <row r="29" spans="1:1">
      <c r="A29" s="133"/>
    </row>
    <row r="30" spans="1:1">
      <c r="A30" s="134"/>
    </row>
    <row r="31" spans="1:1">
      <c r="A31" s="133"/>
    </row>
    <row r="32" spans="1:1">
      <c r="A32" s="133"/>
    </row>
    <row r="33" spans="1:1">
      <c r="A33" s="134"/>
    </row>
    <row r="34" spans="1:1">
      <c r="A34" s="133"/>
    </row>
    <row r="35" spans="1:1">
      <c r="A35" s="133"/>
    </row>
    <row r="36" spans="1:1" ht="21">
      <c r="A36" s="132" t="s">
        <v>690</v>
      </c>
    </row>
    <row r="38" spans="1:1">
      <c r="A38" t="s">
        <v>691</v>
      </c>
    </row>
    <row r="39" spans="1:1">
      <c r="A39" s="116"/>
    </row>
    <row r="40" spans="1:1">
      <c r="A40" s="116" t="s">
        <v>692</v>
      </c>
    </row>
    <row r="41" spans="1:1">
      <c r="A41" s="116" t="s">
        <v>693</v>
      </c>
    </row>
    <row r="42" spans="1:1">
      <c r="A42" s="116" t="s">
        <v>694</v>
      </c>
    </row>
    <row r="44" spans="1:1" ht="18">
      <c r="A44" s="115" t="s">
        <v>695</v>
      </c>
    </row>
    <row r="45" spans="1:1">
      <c r="A45" s="116"/>
    </row>
    <row r="46" spans="1:1">
      <c r="A46" s="116" t="s">
        <v>696</v>
      </c>
    </row>
    <row r="47" spans="1:1">
      <c r="A47" s="116" t="s">
        <v>697</v>
      </c>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426C-0703-4CCF-9307-A257CA10E54B}">
  <sheetPr>
    <tabColor theme="9" tint="-0.499984740745262"/>
  </sheetPr>
  <dimension ref="A1:E57"/>
  <sheetViews>
    <sheetView workbookViewId="0">
      <selection activeCell="E6" sqref="E6:E57"/>
    </sheetView>
  </sheetViews>
  <sheetFormatPr defaultRowHeight="15"/>
  <cols>
    <col min="3" max="3" width="34.7109375" bestFit="1" customWidth="1"/>
    <col min="4" max="4" width="33.42578125" bestFit="1" customWidth="1"/>
    <col min="5" max="5" width="66.7109375" bestFit="1" customWidth="1"/>
  </cols>
  <sheetData>
    <row r="1" spans="1:5" ht="26.25">
      <c r="C1" s="122" t="s">
        <v>8</v>
      </c>
      <c r="D1" s="123" t="str">
        <f>PromptGenerator!I2</f>
        <v>Dart Object-Oriented &amp; Advanced Patterns</v>
      </c>
    </row>
    <row r="2" spans="1:5" ht="26.25">
      <c r="C2" s="122" t="s">
        <v>266</v>
      </c>
      <c r="D2" s="123" t="str">
        <f>IF(PromptGenerator!I3="","",PromptGenerator!I3)</f>
        <v/>
      </c>
    </row>
    <row r="5" spans="1:5">
      <c r="A5" s="124" t="s">
        <v>634</v>
      </c>
      <c r="B5" s="124" t="s">
        <v>23</v>
      </c>
      <c r="C5" s="124" t="s">
        <v>577</v>
      </c>
      <c r="D5" s="124" t="s">
        <v>612</v>
      </c>
      <c r="E5" s="124" t="s">
        <v>611</v>
      </c>
    </row>
    <row r="6" spans="1:5">
      <c r="A6" s="125" t="s">
        <v>0</v>
      </c>
      <c r="B6" t="s">
        <v>48</v>
      </c>
      <c r="C6" t="s">
        <v>599</v>
      </c>
      <c r="D6" t="s">
        <v>599</v>
      </c>
      <c r="E6" s="120" t="s">
        <v>806</v>
      </c>
    </row>
    <row r="7" spans="1:5">
      <c r="A7" s="125" t="s">
        <v>0</v>
      </c>
      <c r="B7" t="s">
        <v>48</v>
      </c>
      <c r="C7" s="136" t="s">
        <v>179</v>
      </c>
      <c r="D7" t="s">
        <v>603</v>
      </c>
      <c r="E7" s="121" t="s">
        <v>807</v>
      </c>
    </row>
    <row r="8" spans="1:5">
      <c r="A8" s="125" t="s">
        <v>0</v>
      </c>
      <c r="B8" t="s">
        <v>48</v>
      </c>
      <c r="C8" s="136" t="s">
        <v>179</v>
      </c>
      <c r="D8" t="s">
        <v>604</v>
      </c>
      <c r="E8" t="s">
        <v>808</v>
      </c>
    </row>
    <row r="9" spans="1:5">
      <c r="A9" s="125" t="s">
        <v>0</v>
      </c>
      <c r="B9" t="s">
        <v>48</v>
      </c>
      <c r="C9" s="136" t="s">
        <v>179</v>
      </c>
      <c r="D9" t="s">
        <v>605</v>
      </c>
      <c r="E9" t="s">
        <v>809</v>
      </c>
    </row>
    <row r="10" spans="1:5">
      <c r="A10" s="125" t="s">
        <v>0</v>
      </c>
      <c r="B10" t="s">
        <v>48</v>
      </c>
      <c r="C10" s="136" t="s">
        <v>606</v>
      </c>
      <c r="D10" t="s">
        <v>607</v>
      </c>
      <c r="E10" s="120" t="s">
        <v>810</v>
      </c>
    </row>
    <row r="11" spans="1:5">
      <c r="A11" s="125" t="s">
        <v>0</v>
      </c>
      <c r="B11" t="s">
        <v>48</v>
      </c>
      <c r="C11" s="136" t="s">
        <v>606</v>
      </c>
      <c r="D11" t="s">
        <v>608</v>
      </c>
      <c r="E11" t="s">
        <v>811</v>
      </c>
    </row>
    <row r="12" spans="1:5">
      <c r="A12" s="125" t="s">
        <v>0</v>
      </c>
      <c r="B12" t="s">
        <v>48</v>
      </c>
      <c r="C12" s="136" t="s">
        <v>606</v>
      </c>
      <c r="D12" t="s">
        <v>715</v>
      </c>
      <c r="E12" s="120" t="s">
        <v>722</v>
      </c>
    </row>
    <row r="13" spans="1:5">
      <c r="A13" s="125" t="s">
        <v>0</v>
      </c>
      <c r="B13" t="s">
        <v>48</v>
      </c>
      <c r="C13" s="136" t="s">
        <v>606</v>
      </c>
      <c r="D13" t="s">
        <v>723</v>
      </c>
      <c r="E13" s="120" t="s">
        <v>812</v>
      </c>
    </row>
    <row r="14" spans="1:5">
      <c r="A14" s="125" t="s">
        <v>0</v>
      </c>
      <c r="B14" t="s">
        <v>48</v>
      </c>
      <c r="C14" s="136" t="s">
        <v>598</v>
      </c>
      <c r="D14" t="s">
        <v>609</v>
      </c>
      <c r="E14" t="s">
        <v>813</v>
      </c>
    </row>
    <row r="15" spans="1:5">
      <c r="A15" s="125" t="s">
        <v>0</v>
      </c>
      <c r="B15" t="s">
        <v>48</v>
      </c>
      <c r="C15" s="136" t="s">
        <v>598</v>
      </c>
      <c r="D15" t="s">
        <v>610</v>
      </c>
      <c r="E15" t="s">
        <v>814</v>
      </c>
    </row>
    <row r="16" spans="1:5">
      <c r="A16" s="125" t="s">
        <v>0</v>
      </c>
      <c r="B16" t="s">
        <v>48</v>
      </c>
      <c r="C16" s="136" t="s">
        <v>225</v>
      </c>
      <c r="D16" t="s">
        <v>601</v>
      </c>
      <c r="E16" t="s">
        <v>815</v>
      </c>
    </row>
    <row r="17" spans="1:5">
      <c r="A17" s="125" t="s">
        <v>0</v>
      </c>
      <c r="B17" t="s">
        <v>48</v>
      </c>
      <c r="C17" s="136" t="s">
        <v>225</v>
      </c>
      <c r="D17" t="s">
        <v>602</v>
      </c>
      <c r="E17" t="s">
        <v>816</v>
      </c>
    </row>
    <row r="18" spans="1:5">
      <c r="A18" s="125" t="s">
        <v>0</v>
      </c>
      <c r="B18" t="s">
        <v>613</v>
      </c>
      <c r="C18" s="136" t="s">
        <v>614</v>
      </c>
      <c r="D18" t="s">
        <v>615</v>
      </c>
      <c r="E18" t="s">
        <v>817</v>
      </c>
    </row>
    <row r="19" spans="1:5">
      <c r="A19" s="125" t="s">
        <v>0</v>
      </c>
      <c r="B19" t="s">
        <v>613</v>
      </c>
      <c r="C19" s="136" t="s">
        <v>614</v>
      </c>
      <c r="D19" t="s">
        <v>616</v>
      </c>
      <c r="E19" t="s">
        <v>818</v>
      </c>
    </row>
    <row r="20" spans="1:5">
      <c r="A20" s="125" t="s">
        <v>0</v>
      </c>
      <c r="B20" t="s">
        <v>613</v>
      </c>
      <c r="C20" s="136" t="s">
        <v>614</v>
      </c>
      <c r="D20" t="s">
        <v>617</v>
      </c>
      <c r="E20" t="s">
        <v>819</v>
      </c>
    </row>
    <row r="21" spans="1:5">
      <c r="A21" s="125" t="s">
        <v>0</v>
      </c>
      <c r="B21" t="s">
        <v>613</v>
      </c>
      <c r="C21" s="136" t="s">
        <v>606</v>
      </c>
      <c r="D21" t="s">
        <v>716</v>
      </c>
      <c r="E21" t="s">
        <v>717</v>
      </c>
    </row>
    <row r="22" spans="1:5">
      <c r="A22" s="125" t="s">
        <v>0</v>
      </c>
      <c r="B22" t="s">
        <v>600</v>
      </c>
      <c r="C22" s="136" t="s">
        <v>618</v>
      </c>
      <c r="D22" t="s">
        <v>47</v>
      </c>
      <c r="E22" t="s">
        <v>820</v>
      </c>
    </row>
    <row r="23" spans="1:5">
      <c r="A23" s="125" t="s">
        <v>0</v>
      </c>
      <c r="B23" t="s">
        <v>600</v>
      </c>
      <c r="C23" s="136" t="s">
        <v>618</v>
      </c>
      <c r="D23" t="s">
        <v>158</v>
      </c>
      <c r="E23" t="s">
        <v>821</v>
      </c>
    </row>
    <row r="24" spans="1:5">
      <c r="A24" s="125" t="s">
        <v>0</v>
      </c>
      <c r="B24" t="s">
        <v>600</v>
      </c>
      <c r="C24" s="136" t="s">
        <v>618</v>
      </c>
      <c r="D24" t="s">
        <v>159</v>
      </c>
      <c r="E24" t="s">
        <v>822</v>
      </c>
    </row>
    <row r="25" spans="1:5">
      <c r="A25" s="125" t="s">
        <v>0</v>
      </c>
      <c r="B25" t="s">
        <v>600</v>
      </c>
      <c r="C25" s="136" t="s">
        <v>619</v>
      </c>
      <c r="D25" t="s">
        <v>620</v>
      </c>
      <c r="E25" t="s">
        <v>823</v>
      </c>
    </row>
    <row r="26" spans="1:5">
      <c r="A26" s="125" t="s">
        <v>0</v>
      </c>
      <c r="B26" t="s">
        <v>600</v>
      </c>
      <c r="C26" s="136" t="s">
        <v>619</v>
      </c>
      <c r="D26" t="s">
        <v>621</v>
      </c>
      <c r="E26" t="s">
        <v>824</v>
      </c>
    </row>
    <row r="27" spans="1:5">
      <c r="A27" s="125" t="s">
        <v>0</v>
      </c>
      <c r="B27" t="s">
        <v>600</v>
      </c>
      <c r="C27" s="136" t="s">
        <v>619</v>
      </c>
      <c r="D27" t="s">
        <v>622</v>
      </c>
      <c r="E27" t="s">
        <v>825</v>
      </c>
    </row>
    <row r="28" spans="1:5">
      <c r="A28" s="125" t="s">
        <v>0</v>
      </c>
      <c r="B28" t="s">
        <v>600</v>
      </c>
      <c r="C28" s="136" t="s">
        <v>619</v>
      </c>
      <c r="D28" t="s">
        <v>623</v>
      </c>
      <c r="E28" t="s">
        <v>826</v>
      </c>
    </row>
    <row r="29" spans="1:5">
      <c r="A29" s="126" t="s">
        <v>270</v>
      </c>
      <c r="B29" t="s">
        <v>48</v>
      </c>
      <c r="C29" s="136" t="s">
        <v>624</v>
      </c>
      <c r="D29" t="s">
        <v>625</v>
      </c>
      <c r="E29" t="s">
        <v>827</v>
      </c>
    </row>
    <row r="30" spans="1:5">
      <c r="A30" s="126" t="s">
        <v>270</v>
      </c>
      <c r="B30" t="s">
        <v>48</v>
      </c>
      <c r="C30" s="136" t="s">
        <v>624</v>
      </c>
      <c r="D30" t="s">
        <v>626</v>
      </c>
      <c r="E30" t="s">
        <v>828</v>
      </c>
    </row>
    <row r="31" spans="1:5">
      <c r="A31" s="126" t="s">
        <v>270</v>
      </c>
      <c r="B31" t="s">
        <v>48</v>
      </c>
      <c r="C31" s="136" t="s">
        <v>624</v>
      </c>
      <c r="D31" t="s">
        <v>627</v>
      </c>
      <c r="E31" t="s">
        <v>718</v>
      </c>
    </row>
    <row r="32" spans="1:5">
      <c r="A32" s="126" t="s">
        <v>270</v>
      </c>
      <c r="B32" t="s">
        <v>48</v>
      </c>
      <c r="C32" s="136" t="s">
        <v>726</v>
      </c>
      <c r="D32" t="s">
        <v>628</v>
      </c>
      <c r="E32" t="s">
        <v>829</v>
      </c>
    </row>
    <row r="33" spans="1:5">
      <c r="A33" s="126" t="s">
        <v>270</v>
      </c>
      <c r="B33" t="s">
        <v>48</v>
      </c>
      <c r="C33" s="136" t="s">
        <v>727</v>
      </c>
      <c r="D33" t="s">
        <v>629</v>
      </c>
      <c r="E33" t="s">
        <v>830</v>
      </c>
    </row>
    <row r="34" spans="1:5">
      <c r="A34" s="126" t="s">
        <v>270</v>
      </c>
      <c r="B34" t="s">
        <v>48</v>
      </c>
      <c r="C34" s="136" t="s">
        <v>630</v>
      </c>
      <c r="D34" t="s">
        <v>631</v>
      </c>
      <c r="E34" t="s">
        <v>831</v>
      </c>
    </row>
    <row r="35" spans="1:5">
      <c r="A35" s="126" t="s">
        <v>270</v>
      </c>
      <c r="B35" t="s">
        <v>48</v>
      </c>
      <c r="C35" s="136" t="s">
        <v>630</v>
      </c>
      <c r="D35" t="s">
        <v>632</v>
      </c>
      <c r="E35" t="s">
        <v>832</v>
      </c>
    </row>
    <row r="36" spans="1:5">
      <c r="A36" s="126" t="s">
        <v>270</v>
      </c>
      <c r="B36" t="s">
        <v>48</v>
      </c>
      <c r="C36" s="136" t="s">
        <v>630</v>
      </c>
      <c r="D36" t="s">
        <v>633</v>
      </c>
      <c r="E36" t="s">
        <v>719</v>
      </c>
    </row>
    <row r="37" spans="1:5">
      <c r="A37" s="126" t="s">
        <v>270</v>
      </c>
      <c r="B37" t="s">
        <v>613</v>
      </c>
      <c r="C37" s="136" t="s">
        <v>635</v>
      </c>
      <c r="D37" t="s">
        <v>636</v>
      </c>
      <c r="E37" t="s">
        <v>833</v>
      </c>
    </row>
    <row r="38" spans="1:5">
      <c r="A38" s="126" t="s">
        <v>270</v>
      </c>
      <c r="B38" t="s">
        <v>613</v>
      </c>
      <c r="C38" s="136" t="s">
        <v>635</v>
      </c>
      <c r="D38" t="s">
        <v>637</v>
      </c>
      <c r="E38" t="s">
        <v>834</v>
      </c>
    </row>
    <row r="39" spans="1:5">
      <c r="A39" s="126" t="s">
        <v>270</v>
      </c>
      <c r="B39" t="s">
        <v>613</v>
      </c>
      <c r="C39" s="136" t="s">
        <v>635</v>
      </c>
      <c r="D39" t="s">
        <v>638</v>
      </c>
      <c r="E39" t="s">
        <v>835</v>
      </c>
    </row>
    <row r="40" spans="1:5">
      <c r="A40" s="126" t="s">
        <v>270</v>
      </c>
      <c r="B40" t="s">
        <v>613</v>
      </c>
      <c r="C40" s="136" t="s">
        <v>635</v>
      </c>
      <c r="D40" t="s">
        <v>639</v>
      </c>
      <c r="E40" t="s">
        <v>836</v>
      </c>
    </row>
    <row r="41" spans="1:5">
      <c r="A41" s="126" t="s">
        <v>270</v>
      </c>
      <c r="B41" t="s">
        <v>600</v>
      </c>
      <c r="C41" s="136" t="s">
        <v>728</v>
      </c>
      <c r="D41" t="s">
        <v>640</v>
      </c>
      <c r="E41" t="s">
        <v>837</v>
      </c>
    </row>
    <row r="42" spans="1:5">
      <c r="A42" s="126" t="s">
        <v>270</v>
      </c>
      <c r="B42" t="s">
        <v>600</v>
      </c>
      <c r="C42" s="136" t="s">
        <v>728</v>
      </c>
      <c r="D42" t="s">
        <v>641</v>
      </c>
      <c r="E42" t="s">
        <v>838</v>
      </c>
    </row>
    <row r="43" spans="1:5">
      <c r="A43" s="126" t="s">
        <v>270</v>
      </c>
      <c r="B43" t="s">
        <v>600</v>
      </c>
      <c r="C43" s="136" t="s">
        <v>728</v>
      </c>
      <c r="D43" t="s">
        <v>642</v>
      </c>
      <c r="E43" t="s">
        <v>839</v>
      </c>
    </row>
    <row r="44" spans="1:5">
      <c r="A44" s="126" t="s">
        <v>270</v>
      </c>
      <c r="B44" t="s">
        <v>600</v>
      </c>
      <c r="C44" s="136" t="s">
        <v>728</v>
      </c>
      <c r="D44" t="s">
        <v>643</v>
      </c>
      <c r="E44" t="s">
        <v>840</v>
      </c>
    </row>
    <row r="45" spans="1:5">
      <c r="A45" s="127" t="s">
        <v>335</v>
      </c>
      <c r="B45" t="s">
        <v>48</v>
      </c>
      <c r="C45" s="136" t="s">
        <v>649</v>
      </c>
      <c r="D45" t="s">
        <v>645</v>
      </c>
      <c r="E45" t="s">
        <v>841</v>
      </c>
    </row>
    <row r="46" spans="1:5">
      <c r="A46" s="127" t="s">
        <v>335</v>
      </c>
      <c r="B46" t="s">
        <v>48</v>
      </c>
      <c r="C46" s="136" t="s">
        <v>650</v>
      </c>
      <c r="D46" t="s">
        <v>646</v>
      </c>
      <c r="E46" t="s">
        <v>720</v>
      </c>
    </row>
    <row r="47" spans="1:5">
      <c r="A47" s="127" t="s">
        <v>335</v>
      </c>
      <c r="B47" t="s">
        <v>48</v>
      </c>
      <c r="C47" s="136" t="s">
        <v>651</v>
      </c>
      <c r="D47" t="s">
        <v>647</v>
      </c>
      <c r="E47" t="s">
        <v>842</v>
      </c>
    </row>
    <row r="48" spans="1:5">
      <c r="A48" s="127" t="s">
        <v>335</v>
      </c>
      <c r="B48" t="s">
        <v>48</v>
      </c>
      <c r="C48" s="136" t="s">
        <v>651</v>
      </c>
      <c r="D48" t="s">
        <v>648</v>
      </c>
      <c r="E48" t="s">
        <v>843</v>
      </c>
    </row>
    <row r="49" spans="1:5">
      <c r="A49" s="127" t="s">
        <v>335</v>
      </c>
      <c r="B49" t="s">
        <v>613</v>
      </c>
      <c r="C49" s="136" t="s">
        <v>649</v>
      </c>
      <c r="D49" t="s">
        <v>652</v>
      </c>
      <c r="E49" t="s">
        <v>844</v>
      </c>
    </row>
    <row r="50" spans="1:5">
      <c r="A50" s="127" t="s">
        <v>335</v>
      </c>
      <c r="B50" t="s">
        <v>613</v>
      </c>
      <c r="C50" s="136" t="s">
        <v>651</v>
      </c>
      <c r="D50" t="s">
        <v>653</v>
      </c>
      <c r="E50" t="s">
        <v>845</v>
      </c>
    </row>
    <row r="51" spans="1:5">
      <c r="A51" s="127" t="s">
        <v>335</v>
      </c>
      <c r="B51" t="s">
        <v>613</v>
      </c>
      <c r="C51" s="136" t="s">
        <v>651</v>
      </c>
      <c r="D51" t="s">
        <v>654</v>
      </c>
      <c r="E51" t="s">
        <v>846</v>
      </c>
    </row>
    <row r="52" spans="1:5">
      <c r="A52" s="127" t="s">
        <v>335</v>
      </c>
      <c r="B52" t="s">
        <v>600</v>
      </c>
      <c r="C52" s="136" t="s">
        <v>728</v>
      </c>
      <c r="D52" t="s">
        <v>655</v>
      </c>
      <c r="E52" t="s">
        <v>721</v>
      </c>
    </row>
    <row r="53" spans="1:5">
      <c r="A53" s="127" t="s">
        <v>335</v>
      </c>
      <c r="B53" t="s">
        <v>600</v>
      </c>
      <c r="C53" s="136" t="s">
        <v>728</v>
      </c>
      <c r="D53" t="s">
        <v>641</v>
      </c>
      <c r="E53" t="s">
        <v>838</v>
      </c>
    </row>
    <row r="54" spans="1:5">
      <c r="A54" s="127" t="s">
        <v>335</v>
      </c>
      <c r="B54" t="s">
        <v>600</v>
      </c>
      <c r="C54" s="136" t="s">
        <v>728</v>
      </c>
      <c r="D54" t="s">
        <v>656</v>
      </c>
      <c r="E54" t="s">
        <v>847</v>
      </c>
    </row>
    <row r="55" spans="1:5">
      <c r="A55" s="127" t="s">
        <v>335</v>
      </c>
      <c r="B55" t="s">
        <v>600</v>
      </c>
      <c r="C55" s="136" t="s">
        <v>728</v>
      </c>
      <c r="D55" t="s">
        <v>657</v>
      </c>
      <c r="E55" t="s">
        <v>848</v>
      </c>
    </row>
    <row r="56" spans="1:5">
      <c r="A56" s="121" t="s">
        <v>411</v>
      </c>
      <c r="B56" t="s">
        <v>600</v>
      </c>
      <c r="C56" t="s">
        <v>661</v>
      </c>
      <c r="D56" t="s">
        <v>662</v>
      </c>
      <c r="E56" t="s">
        <v>849</v>
      </c>
    </row>
    <row r="57" spans="1:5">
      <c r="A57" s="128" t="s">
        <v>448</v>
      </c>
      <c r="B57" t="s">
        <v>600</v>
      </c>
      <c r="C57" t="s">
        <v>661</v>
      </c>
      <c r="D57" t="s">
        <v>662</v>
      </c>
      <c r="E57" t="s">
        <v>850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4F202-B91A-4FEA-8AA4-3D417A27FC7B}">
  <sheetPr>
    <tabColor theme="2" tint="-0.249977111117893"/>
  </sheetPr>
  <dimension ref="A2:AC104"/>
  <sheetViews>
    <sheetView showGridLines="0" topLeftCell="A82" zoomScaleNormal="100" workbookViewId="0">
      <selection activeCell="C95" sqref="C95:D104"/>
    </sheetView>
  </sheetViews>
  <sheetFormatPr defaultRowHeight="15"/>
  <cols>
    <col min="1" max="1" width="5.42578125" customWidth="1"/>
    <col min="2" max="2" width="35.85546875" customWidth="1"/>
    <col min="3" max="3" width="33" customWidth="1"/>
    <col min="4" max="4" width="107" customWidth="1"/>
    <col min="5" max="5" width="39.5703125" style="85" customWidth="1"/>
    <col min="6" max="6" width="4" customWidth="1"/>
  </cols>
  <sheetData>
    <row r="2" spans="1:29" ht="36">
      <c r="B2" s="78" t="s">
        <v>446</v>
      </c>
      <c r="D2" s="81" t="s">
        <v>0</v>
      </c>
      <c r="H2" s="82"/>
      <c r="T2" s="82"/>
    </row>
    <row r="3" spans="1:29">
      <c r="B3" s="76" t="s">
        <v>221</v>
      </c>
      <c r="C3" s="76" t="s">
        <v>577</v>
      </c>
      <c r="D3" s="76" t="s">
        <v>578</v>
      </c>
      <c r="E3" s="88" t="s">
        <v>228</v>
      </c>
      <c r="F3" s="4" t="s">
        <v>224</v>
      </c>
      <c r="AC3" t="s">
        <v>224</v>
      </c>
    </row>
    <row r="4" spans="1:29">
      <c r="A4">
        <f>LEN(D4)</f>
        <v>49</v>
      </c>
      <c r="B4" s="75" t="s">
        <v>222</v>
      </c>
      <c r="C4" s="54" t="s">
        <v>160</v>
      </c>
      <c r="D4" s="94" t="s">
        <v>161</v>
      </c>
      <c r="E4" s="77" t="str">
        <f t="shared" ref="E4:E48" si="0">IF(D4="","",""""&amp;C4&amp;" "&amp;IF(C4="[FOOTER RULE - STRICT]",D4,IF(RIGHT(D4,6)=" | "&amp;CHAR(34)&amp;" &amp;",D4,D4&amp;" | "&amp;CHAR(34)&amp;" &amp;")))</f>
        <v>"[ROLE] Friendly tutor specializing in " &amp; $I$2 &amp; " | " &amp;</v>
      </c>
      <c r="F4" s="54" t="s">
        <v>224</v>
      </c>
    </row>
    <row r="5" spans="1:29">
      <c r="A5">
        <f t="shared" ref="A5:A49" si="1">LEN(D5)</f>
        <v>16</v>
      </c>
      <c r="B5" s="75" t="s">
        <v>222</v>
      </c>
      <c r="C5" s="54" t="s">
        <v>164</v>
      </c>
      <c r="D5" s="94" t="s">
        <v>165</v>
      </c>
      <c r="E5" s="77" t="str">
        <f t="shared" si="0"/>
        <v>"[TOPIC] " &amp; I9 &amp; " | " &amp;</v>
      </c>
      <c r="F5" s="54" t="s">
        <v>224</v>
      </c>
    </row>
    <row r="6" spans="1:29">
      <c r="A6">
        <f t="shared" si="1"/>
        <v>16</v>
      </c>
      <c r="B6" s="75" t="s">
        <v>222</v>
      </c>
      <c r="C6" s="54" t="s">
        <v>166</v>
      </c>
      <c r="D6" s="94" t="s">
        <v>167</v>
      </c>
      <c r="E6" s="77" t="str">
        <f t="shared" si="0"/>
        <v>"[LEVEL] " &amp; G9 &amp; " | " &amp;</v>
      </c>
      <c r="F6" s="54" t="s">
        <v>224</v>
      </c>
    </row>
    <row r="7" spans="1:29">
      <c r="A7">
        <f t="shared" si="1"/>
        <v>25</v>
      </c>
      <c r="B7" s="75" t="s">
        <v>222</v>
      </c>
      <c r="C7" s="54" t="s">
        <v>168</v>
      </c>
      <c r="D7" s="94" t="s">
        <v>169</v>
      </c>
      <c r="E7" s="77" t="str">
        <f t="shared" si="0"/>
        <v>"[COUNT] " &amp; D9 &amp; " examples | " &amp;</v>
      </c>
      <c r="F7" s="54" t="s">
        <v>224</v>
      </c>
    </row>
    <row r="8" spans="1:29">
      <c r="A8">
        <f t="shared" si="1"/>
        <v>18</v>
      </c>
      <c r="B8" s="75" t="s">
        <v>222</v>
      </c>
      <c r="C8" s="54" t="s">
        <v>229</v>
      </c>
      <c r="D8" s="94" t="s">
        <v>267</v>
      </c>
      <c r="E8" s="77" t="str">
        <f t="shared" si="0"/>
        <v>"[LIBRARY BEING LEARNED] " &amp; $I$3 &amp; " | " &amp;</v>
      </c>
      <c r="F8" s="54" t="s">
        <v>224</v>
      </c>
    </row>
    <row r="9" spans="1:29">
      <c r="A9">
        <f t="shared" si="1"/>
        <v>491</v>
      </c>
      <c r="B9" s="83" t="s">
        <v>223</v>
      </c>
      <c r="C9" s="32" t="s">
        <v>225</v>
      </c>
      <c r="D9" s="137"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v>
      </c>
      <c r="E9" s="77" t="str">
        <f t="shared" si="0"/>
        <v>"[ECOSYSTEM ORIENTATION RULE] If a data manipulation library, external package, or ecosystem like Pandas or NumPy is specified in " &amp; $I$3 &amp;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v>
      </c>
      <c r="F9" s="54" t="s">
        <v>224</v>
      </c>
    </row>
    <row r="10" spans="1:29">
      <c r="A10">
        <f t="shared" si="1"/>
        <v>406</v>
      </c>
      <c r="B10" s="75" t="s">
        <v>222</v>
      </c>
      <c r="C10" s="54" t="s">
        <v>172</v>
      </c>
      <c r="D10" s="94" t="s">
        <v>173</v>
      </c>
      <c r="E10"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0" s="54" t="s">
        <v>224</v>
      </c>
    </row>
    <row r="11" spans="1:29">
      <c r="A11">
        <f t="shared" si="1"/>
        <v>214</v>
      </c>
      <c r="B11" s="75" t="s">
        <v>222</v>
      </c>
      <c r="C11" s="54" t="s">
        <v>489</v>
      </c>
      <c r="D11" s="94" t="s">
        <v>481</v>
      </c>
      <c r="E11" s="77" t="str">
        <f t="shared" si="0"/>
        <v>"[LANGUAGE SEED CONTEXT] " &amp; IF($AE$7 = "", "Language Seed Not Necessary", "You MUST strictly follow this seed context to enhance, adapt, and naturalize your tone, vocabulary, and instructional quality in " &amp; $B$6 &amp; ": " &amp; $AE$7) &amp; " | " &amp;</v>
      </c>
      <c r="F11" s="54" t="s">
        <v>224</v>
      </c>
    </row>
    <row r="12" spans="1:29">
      <c r="A12">
        <f t="shared" si="1"/>
        <v>18</v>
      </c>
      <c r="B12" s="75" t="s">
        <v>222</v>
      </c>
      <c r="C12" s="54" t="s">
        <v>218</v>
      </c>
      <c r="D12" s="94" t="s">
        <v>219</v>
      </c>
      <c r="E12" s="77" t="str">
        <f t="shared" si="0"/>
        <v>"[LANGUAGE] " &amp; $B$6 &amp; " | " &amp;</v>
      </c>
      <c r="F12" s="54" t="s">
        <v>224</v>
      </c>
    </row>
    <row r="13" spans="1:29">
      <c r="A13">
        <f t="shared" si="1"/>
        <v>255</v>
      </c>
      <c r="B13" s="75" t="s">
        <v>222</v>
      </c>
      <c r="C13" s="54" t="s">
        <v>231</v>
      </c>
      <c r="D13" s="94" t="s">
        <v>708</v>
      </c>
      <c r="E13" s="77" t="str">
        <f t="shared" si="0"/>
        <v>"[EXECUTIVE CONSTRAINTS] Each example MUST include: - Internal data OR dataset usage - Print key intermediate steps and the final result - MUST NOT exceed exactly " &amp; $C9 &amp; " lines of EXECUTABLE code (STRICT: Do NOT count comments or blank lines). - NEVER exceed this limit. | " &amp;</v>
      </c>
      <c r="F13" s="54" t="s">
        <v>224</v>
      </c>
    </row>
    <row r="14" spans="1:29">
      <c r="A14">
        <f t="shared" si="1"/>
        <v>492</v>
      </c>
      <c r="B14" s="83" t="s">
        <v>223</v>
      </c>
      <c r="C14" s="32" t="s">
        <v>179</v>
      </c>
      <c r="D14" s="137" t="str">
        <f>"Rule: " &amp; CHAR(34) &amp; " &amp; IF(G9=" &amp; CHAR(34) &amp; "Beginner" &amp; CHAR(34) &amp; "," &amp; CHAR(34) &amp; Variables!E7 &amp; CHAR(34) &amp; ", IF(G9=" &amp; CHAR(34) &amp; "Intermediate" &amp; CHAR(34) &amp; ", " &amp; CHAR(34) &amp; Variables!E8 &amp; CHAR(34) &amp; ", " &amp; CHAR(34) &amp; Variables!E9 &amp; CHAR(34) &amp; ")) &amp; " &amp; CHAR(34) &amp; " | " &amp; CHAR(34) &amp; " &amp;"</f>
        <v>Rule: " &amp; IF(G9="Beginner","Focus strictly on basic class definitions, constructors, properties, and object instantiation inside main(). DO NOT use procedural scripts.", IF(G9="Intermediate", "STRICT REQUIREMENT: Integrate custom class definitions ('class'), constructors, instance methods, and getters/setters in EVERY example.", "Advanced OOP &amp; patterns: abstract classes, mixins, factory/named constructors, interfaces ('implements'), extensions, and overriding ('@override').")) &amp; " | " &amp;</v>
      </c>
      <c r="E14" s="77" t="str">
        <f t="shared" si="0"/>
        <v>"[FUNCTION RULE] Rule: " &amp; IF(G9="Beginner","Focus strictly on basic class definitions, constructors, properties, and object instantiation inside main(). DO NOT use procedural scripts.", IF(G9="Intermediate", "STRICT REQUIREMENT: Integrate custom class definitions ('class'), constructors, instance methods, and getters/setters in EVERY example.", "Advanced OOP &amp; patterns: abstract classes, mixins, factory/named constructors, interfaces ('implements'), extensions, and overriding ('@override').")) &amp; " | " &amp;</v>
      </c>
      <c r="F14" s="54" t="s">
        <v>224</v>
      </c>
    </row>
    <row r="15" spans="1:29">
      <c r="A15">
        <f t="shared" si="1"/>
        <v>0</v>
      </c>
      <c r="B15" s="83" t="s">
        <v>223</v>
      </c>
      <c r="C15" s="54" t="s">
        <v>230</v>
      </c>
      <c r="D15" s="94"/>
      <c r="E15" s="77" t="str">
        <f t="shared" si="0"/>
        <v/>
      </c>
      <c r="F15" s="54" t="s">
        <v>224</v>
      </c>
    </row>
    <row r="16" spans="1:29">
      <c r="A16">
        <f t="shared" si="1"/>
        <v>0</v>
      </c>
      <c r="B16" s="83" t="s">
        <v>223</v>
      </c>
      <c r="C16" s="54" t="s">
        <v>230</v>
      </c>
      <c r="D16" s="94"/>
      <c r="E16" s="77" t="str">
        <f t="shared" si="0"/>
        <v/>
      </c>
      <c r="F16" s="54" t="s">
        <v>224</v>
      </c>
    </row>
    <row r="17" spans="1:6">
      <c r="A17">
        <f t="shared" si="1"/>
        <v>0</v>
      </c>
      <c r="B17" s="83" t="s">
        <v>223</v>
      </c>
      <c r="C17" s="54" t="s">
        <v>230</v>
      </c>
      <c r="D17" s="94"/>
      <c r="E17" s="77" t="str">
        <f t="shared" si="0"/>
        <v/>
      </c>
      <c r="F17" s="54" t="s">
        <v>224</v>
      </c>
    </row>
    <row r="18" spans="1:6">
      <c r="A18">
        <f t="shared" si="1"/>
        <v>603</v>
      </c>
      <c r="B18" s="83" t="s">
        <v>223</v>
      </c>
      <c r="C18" s="32" t="s">
        <v>606</v>
      </c>
      <c r="D18" s="137" t="str">
        <f>"Each example MUST: - Use " &amp; Variables!E10 &amp; " - Print steps &amp; result via " &amp; Variables!E11 &amp; " - " &amp; Variables!E12 &amp; " - " &amp; Variables!E13 &amp; " | " &amp; CHAR(34) &amp; " &amp;"</f>
        <v>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 &amp;</v>
      </c>
      <c r="E18" s="77" t="str">
        <f t="shared" si="0"/>
        <v>"[CODE_CONSTRAINTS_RULE] Each example MUST: - Use Use primitives (int, double, String, bool) and flat List/Map collections inside class structures. No deep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You MUST instantiate the class and invoke at least one instance method inside the main() block. STRICTLY PROHIBITED: Do not use complex boilerplate entry points outside main(). | " &amp;</v>
      </c>
      <c r="F18" s="54" t="s">
        <v>224</v>
      </c>
    </row>
    <row r="19" spans="1:6">
      <c r="A19">
        <f t="shared" si="1"/>
        <v>217</v>
      </c>
      <c r="B19" s="84" t="s">
        <v>223</v>
      </c>
      <c r="C19" s="32" t="s">
        <v>598</v>
      </c>
      <c r="D19" s="137" t="str">
        <f>"Use " &amp; Variables!E14 &amp; " and gracefully handle " &amp; Variables!E15 &amp; " when applicable." &amp; " | " &amp; CHAR(34) &amp; " &amp;"</f>
        <v>Use Basic primitive types (int, double, String, bool) or simple List/Map structures within classes. and gracefully handle print() statements with string interpolation to display outputs clearly. when applicable. | " &amp;</v>
      </c>
      <c r="E19" s="77" t="str">
        <f t="shared" si="0"/>
        <v>"[I_O_PARADIGM] Use Basic primitive types (int, double, String, bool) or simple List/Map structures within classes. and gracefully handle print() statements with string interpolation to display outputs clearly. when applicable. | " &amp;</v>
      </c>
      <c r="F19" s="54" t="s">
        <v>224</v>
      </c>
    </row>
    <row r="20" spans="1:6">
      <c r="A20">
        <f t="shared" si="1"/>
        <v>224</v>
      </c>
      <c r="B20" s="84" t="s">
        <v>223</v>
      </c>
      <c r="C20" s="32" t="s">
        <v>599</v>
      </c>
      <c r="D20" s="137" t="str">
        <f>"If using external packages, use " &amp; Variables!E6 &amp; " at the top of the code block. Assume no project configuration file exists." &amp; " | " &amp; CHAR(34) &amp; " &amp;"</f>
        <v>If using external packages, use Dart native classes, constructors, OOP patterns, and standard core execution models utilizing top-level main(). at the top of the code block. Assume no project configuration file exists. | " &amp;</v>
      </c>
      <c r="E20" s="77" t="str">
        <f t="shared" si="0"/>
        <v>"[INLINE_PACKAGE_MANAGER] If using external packages, use Dart native classes, constructors, OOP patterns, and standard core execution models utilizing top-level main(). at the top of the code block. Assume no project configuration file exists. | " &amp;</v>
      </c>
      <c r="F20" s="54" t="s">
        <v>224</v>
      </c>
    </row>
    <row r="21" spans="1:6">
      <c r="A21">
        <f t="shared" si="1"/>
        <v>267</v>
      </c>
      <c r="B21" s="83" t="s">
        <v>223</v>
      </c>
      <c r="C21" s="54" t="s">
        <v>724</v>
      </c>
      <c r="D21" s="94" t="s">
        <v>725</v>
      </c>
      <c r="E21" s="77" t="str">
        <f t="shared" si="0"/>
        <v>"[CONCEPT_ISOLATION_RULE]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v>
      </c>
      <c r="F21" s="54" t="s">
        <v>224</v>
      </c>
    </row>
    <row r="22" spans="1:6">
      <c r="A22">
        <f t="shared" si="1"/>
        <v>169</v>
      </c>
      <c r="B22" s="84" t="s">
        <v>271</v>
      </c>
      <c r="C22" s="54" t="s">
        <v>180</v>
      </c>
      <c r="D22" s="94" t="s">
        <v>700</v>
      </c>
      <c r="E22" s="77" t="str">
        <f t="shared" si="0"/>
        <v>"[CODE QUALITY RULE] Code MUST be clean, readable, educational, executable and produce correct results. Safely handle missing/malformed/inconsistent data, using pattern matching if possible. | " &amp;</v>
      </c>
      <c r="F22" s="54" t="s">
        <v>224</v>
      </c>
    </row>
    <row r="23" spans="1:6">
      <c r="A23">
        <f t="shared" si="1"/>
        <v>159</v>
      </c>
      <c r="B23" s="84" t="s">
        <v>271</v>
      </c>
      <c r="C23" s="54" t="s">
        <v>594</v>
      </c>
      <c r="D23" s="94" t="s">
        <v>701</v>
      </c>
      <c r="E23" s="77" t="str">
        <f t="shared" si="0"/>
        <v>"[COMMENT CONSTRAINTS] Code MUST include enough inline comments explaining WHAT it does AND WHY. Density: Beginner=high, Intermediate=medium, Advanced=lower but present in key logic. | " &amp;</v>
      </c>
      <c r="F23" s="54" t="s">
        <v>224</v>
      </c>
    </row>
    <row r="24" spans="1:6">
      <c r="A24">
        <f t="shared" si="1"/>
        <v>39</v>
      </c>
      <c r="B24" s="84" t="s">
        <v>271</v>
      </c>
      <c r="C24" s="54" t="s">
        <v>207</v>
      </c>
      <c r="D24" s="94" t="s">
        <v>280</v>
      </c>
      <c r="E24" s="77" t="str">
        <f t="shared" si="0"/>
        <v>"[FORMAT RULE] Only valid markdown code blocks allowed | " &amp;</v>
      </c>
      <c r="F24" s="54" t="s">
        <v>224</v>
      </c>
    </row>
    <row r="25" spans="1:6">
      <c r="A25">
        <f t="shared" si="1"/>
        <v>114</v>
      </c>
      <c r="B25" s="84" t="s">
        <v>271</v>
      </c>
      <c r="C25" s="54" t="s">
        <v>209</v>
      </c>
      <c r="D25" s="94" t="s">
        <v>595</v>
      </c>
      <c r="E25" s="77" t="str">
        <f t="shared" si="0"/>
        <v>"[LANGUAGE TAG RULE] ALWAYS label markdown code blocks with the correct underlying programming language (e.g., elixir, javascript, sql) | " &amp;</v>
      </c>
      <c r="F25" s="54" t="s">
        <v>224</v>
      </c>
    </row>
    <row r="26" spans="1:6">
      <c r="A26">
        <f t="shared" si="1"/>
        <v>324</v>
      </c>
      <c r="B26" s="84" t="s">
        <v>271</v>
      </c>
      <c r="C26" s="54" t="s">
        <v>215</v>
      </c>
      <c r="D26" s="94" t="s">
        <v>579</v>
      </c>
      <c r="E26" s="77" t="str">
        <f t="shared" si="0"/>
        <v>"[HEADER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v>
      </c>
      <c r="F26" s="54" t="s">
        <v>224</v>
      </c>
    </row>
    <row r="27" spans="1:6">
      <c r="A27">
        <f t="shared" si="1"/>
        <v>451</v>
      </c>
      <c r="B27" s="84" t="s">
        <v>271</v>
      </c>
      <c r="C27" s="54" t="s">
        <v>187</v>
      </c>
      <c r="D27" s="94" t="s">
        <v>698</v>
      </c>
      <c r="E27" s="77" t="str">
        <f t="shared" si="0"/>
        <v>"[INTRO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v>
      </c>
      <c r="F27" s="54" t="s">
        <v>224</v>
      </c>
    </row>
    <row r="28" spans="1:6">
      <c r="A28">
        <f t="shared" si="1"/>
        <v>36</v>
      </c>
      <c r="B28" s="84" t="s">
        <v>271</v>
      </c>
      <c r="C28" s="54" t="s">
        <v>170</v>
      </c>
      <c r="D28" s="94" t="s">
        <v>171</v>
      </c>
      <c r="E28" s="77" t="str">
        <f t="shared" si="0"/>
        <v>"[PERSONA RULE] Act as a friendly, clear tutor | " &amp;</v>
      </c>
      <c r="F28" s="54" t="s">
        <v>224</v>
      </c>
    </row>
    <row r="29" spans="1:6">
      <c r="A29">
        <f t="shared" si="1"/>
        <v>67</v>
      </c>
      <c r="B29" s="84" t="s">
        <v>271</v>
      </c>
      <c r="C29" s="54" t="s">
        <v>162</v>
      </c>
      <c r="D29" s="94" t="s">
        <v>163</v>
      </c>
      <c r="E29" s="77" t="str">
        <f t="shared" si="0"/>
        <v>"[TASK] Teach and explain concepts clearly with correct code examples | " &amp;</v>
      </c>
      <c r="F29" s="54" t="s">
        <v>224</v>
      </c>
    </row>
    <row r="30" spans="1:6">
      <c r="A30">
        <f t="shared" si="1"/>
        <v>545</v>
      </c>
      <c r="B30" s="84" t="s">
        <v>271</v>
      </c>
      <c r="C30" s="54" t="s">
        <v>177</v>
      </c>
      <c r="D30" s="94" t="s">
        <v>699</v>
      </c>
      <c r="E30" s="77" t="str">
        <f t="shared" si="0"/>
        <v>"[OUTPUT CONTRACT] 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v>
      </c>
      <c r="F30" s="54" t="s">
        <v>224</v>
      </c>
    </row>
    <row r="31" spans="1:6">
      <c r="A31">
        <f t="shared" si="1"/>
        <v>101</v>
      </c>
      <c r="B31" s="84" t="s">
        <v>271</v>
      </c>
      <c r="C31" s="54" t="s">
        <v>180</v>
      </c>
      <c r="D31" s="94" t="s">
        <v>227</v>
      </c>
      <c r="E31" s="77" t="str">
        <f t="shared" si="0"/>
        <v>"[CODE QUALITY RULE] Code MUST be clean, readable, educational, executable, and produce correct and accurate results | " &amp;</v>
      </c>
      <c r="F31" s="54" t="s">
        <v>224</v>
      </c>
    </row>
    <row r="32" spans="1:6">
      <c r="A32">
        <f t="shared" si="1"/>
        <v>96</v>
      </c>
      <c r="B32" s="84" t="s">
        <v>271</v>
      </c>
      <c r="C32" s="54" t="s">
        <v>181</v>
      </c>
      <c r="D32" s="94" t="s">
        <v>182</v>
      </c>
      <c r="E32" s="77" t="str">
        <f t="shared" si="0"/>
        <v>"[COMMENT RULE - STRICT] Code MUST include sufficient inline comments explaining important lines and logical blocks | " &amp;</v>
      </c>
      <c r="F32" s="54" t="s">
        <v>224</v>
      </c>
    </row>
    <row r="33" spans="1:6">
      <c r="A33">
        <f t="shared" si="1"/>
        <v>77</v>
      </c>
      <c r="B33" s="84" t="s">
        <v>271</v>
      </c>
      <c r="C33" s="54" t="s">
        <v>183</v>
      </c>
      <c r="D33" s="94" t="s">
        <v>184</v>
      </c>
      <c r="E33" s="77" t="str">
        <f t="shared" si="0"/>
        <v>"[COMMENT DEPTH RULE] Comments MUST explain WHAT the code does AND WHY it is written that way | " &amp;</v>
      </c>
      <c r="F33" s="54" t="s">
        <v>224</v>
      </c>
    </row>
    <row r="34" spans="1:6">
      <c r="A34">
        <f t="shared" si="1"/>
        <v>101</v>
      </c>
      <c r="B34" s="84" t="s">
        <v>271</v>
      </c>
      <c r="C34" s="54" t="s">
        <v>197</v>
      </c>
      <c r="D34" s="94" t="s">
        <v>198</v>
      </c>
      <c r="E34" s="77" t="str">
        <f t="shared" si="0"/>
        <v>"[EXPLANATION RULE] Explanation within 'Mini-Lección' MUST explain WHAT, WHY, HOW, and real-world context concisely | " &amp;</v>
      </c>
      <c r="F34" s="54" t="s">
        <v>224</v>
      </c>
    </row>
    <row r="35" spans="1:6">
      <c r="A35">
        <f t="shared" si="1"/>
        <v>47</v>
      </c>
      <c r="B35" s="84" t="s">
        <v>271</v>
      </c>
      <c r="C35" s="54" t="s">
        <v>199</v>
      </c>
      <c r="D35" s="94" t="s">
        <v>200</v>
      </c>
      <c r="E35" s="77" t="str">
        <f t="shared" si="0"/>
        <v>"[LEARNING RULE] Each example MUST highlight a key insight | " &amp;</v>
      </c>
      <c r="F35" s="54" t="s">
        <v>224</v>
      </c>
    </row>
    <row r="36" spans="1:6">
      <c r="A36">
        <f t="shared" si="1"/>
        <v>53</v>
      </c>
      <c r="B36" s="84" t="s">
        <v>271</v>
      </c>
      <c r="C36" s="54" t="s">
        <v>201</v>
      </c>
      <c r="D36" s="94" t="s">
        <v>202</v>
      </c>
      <c r="E36" s="77" t="str">
        <f t="shared" si="0"/>
        <v>"[COMMON MISTAKES RULE] Include a short mistake note after each example | " &amp;</v>
      </c>
      <c r="F36" s="54" t="s">
        <v>224</v>
      </c>
    </row>
    <row r="37" spans="1:6">
      <c r="A37">
        <f t="shared" si="1"/>
        <v>63</v>
      </c>
      <c r="B37" s="84" t="s">
        <v>271</v>
      </c>
      <c r="C37" s="54" t="s">
        <v>203</v>
      </c>
      <c r="D37" s="94" t="s">
        <v>204</v>
      </c>
      <c r="E37" s="77" t="str">
        <f t="shared" si="0"/>
        <v>"[MINI CHALLENGE RULE] Include a short reinforcement question after each example | " &amp;</v>
      </c>
      <c r="F37" s="54" t="s">
        <v>224</v>
      </c>
    </row>
    <row r="38" spans="1:6">
      <c r="A38">
        <f t="shared" si="1"/>
        <v>51</v>
      </c>
      <c r="B38" s="84" t="s">
        <v>271</v>
      </c>
      <c r="C38" s="54" t="s">
        <v>205</v>
      </c>
      <c r="D38" s="94" t="s">
        <v>206</v>
      </c>
      <c r="E38" s="77" t="str">
        <f t="shared" si="0"/>
        <v>"[REAL WORLD RULE] Connect each example to a real-world use case | " &amp;</v>
      </c>
      <c r="F38" s="54" t="s">
        <v>224</v>
      </c>
    </row>
    <row r="39" spans="1:6">
      <c r="A39">
        <f t="shared" si="1"/>
        <v>45</v>
      </c>
      <c r="B39" s="84" t="s">
        <v>271</v>
      </c>
      <c r="C39" s="54" t="s">
        <v>207</v>
      </c>
      <c r="D39" s="94" t="s">
        <v>208</v>
      </c>
      <c r="E39" s="77" t="str">
        <f t="shared" si="0"/>
        <v>"[FORMAT RULE] Only valid markdown code blocks allowed | " &amp;</v>
      </c>
      <c r="F39" s="54" t="s">
        <v>224</v>
      </c>
    </row>
    <row r="40" spans="1:6">
      <c r="A40">
        <f t="shared" si="1"/>
        <v>120</v>
      </c>
      <c r="B40" s="84" t="s">
        <v>271</v>
      </c>
      <c r="C40" s="54" t="s">
        <v>209</v>
      </c>
      <c r="D40" s="94" t="s">
        <v>210</v>
      </c>
      <c r="E40" s="77" t="str">
        <f t="shared" si="0"/>
        <v>"[LANGUAGE TAG RULE] ALWAYS label markdown code blocks with the correct underlying programming language (e.g., python, javascript, sql) | " &amp;</v>
      </c>
      <c r="F40" s="54" t="s">
        <v>224</v>
      </c>
    </row>
    <row r="41" spans="1:6">
      <c r="A41">
        <f t="shared" si="1"/>
        <v>58</v>
      </c>
      <c r="B41" s="84" t="s">
        <v>271</v>
      </c>
      <c r="C41" s="54" t="s">
        <v>212</v>
      </c>
      <c r="D41" s="94" t="s">
        <v>213</v>
      </c>
      <c r="E41" s="77" t="str">
        <f t="shared" si="0"/>
        <v>"[CONSISTENCY RULE] All examples MUST have similar complexity and length | " &amp;</v>
      </c>
      <c r="F41" s="54" t="s">
        <v>224</v>
      </c>
    </row>
    <row r="42" spans="1:6">
      <c r="A42">
        <f t="shared" si="1"/>
        <v>75</v>
      </c>
      <c r="B42" s="84" t="s">
        <v>271</v>
      </c>
      <c r="C42" s="54" t="s">
        <v>214</v>
      </c>
      <c r="D42" s="94" t="s">
        <v>232</v>
      </c>
      <c r="E42" s="77" t="str">
        <f t="shared" si="0"/>
        <v>"[FINAL OUTPUT RULE] Include Key Takeaway section at the end | " &amp; IF(AJ9&lt;&gt;"", AJ9, "") &amp;" | " &amp;</v>
      </c>
      <c r="F42" s="54" t="s">
        <v>224</v>
      </c>
    </row>
    <row r="43" spans="1:6">
      <c r="A43">
        <f t="shared" si="1"/>
        <v>422</v>
      </c>
      <c r="B43" s="84" t="s">
        <v>271</v>
      </c>
      <c r="C43" s="54" t="s">
        <v>174</v>
      </c>
      <c r="D43" s="94" t="s">
        <v>702</v>
      </c>
      <c r="E43" s="77" t="str">
        <f t="shared" si="0"/>
        <v>"[DATA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v>
      </c>
      <c r="F43" s="54" t="s">
        <v>224</v>
      </c>
    </row>
    <row r="44" spans="1:6">
      <c r="A44">
        <f t="shared" si="1"/>
        <v>152</v>
      </c>
      <c r="B44" s="84" t="s">
        <v>271</v>
      </c>
      <c r="C44" s="54" t="s">
        <v>175</v>
      </c>
      <c r="D44" s="94" t="s">
        <v>176</v>
      </c>
      <c r="E44" s="77" t="str">
        <f t="shared" si="0"/>
        <v>"[DATA SUMMARY FORMAT RULE] When a dataset is present, you MUST display IMMEDIATELY AFTER THE HEADER: Dataset Summary: - File Type: - Columns / Fields: - Data Types: - Notes: | " &amp;</v>
      </c>
      <c r="F44" s="54" t="s">
        <v>224</v>
      </c>
    </row>
    <row r="45" spans="1:6">
      <c r="A45">
        <f t="shared" si="1"/>
        <v>28</v>
      </c>
      <c r="B45" s="84" t="s">
        <v>271</v>
      </c>
      <c r="C45" s="54" t="s">
        <v>192</v>
      </c>
      <c r="D45" s="94" t="s">
        <v>193</v>
      </c>
      <c r="E45" s="77" t="str">
        <f t="shared" si="0"/>
        <v>"[DATA CONSISTENCY RULE] Respect dataset schema | " &amp;</v>
      </c>
      <c r="F45" s="54" t="s">
        <v>224</v>
      </c>
    </row>
    <row r="46" spans="1:6">
      <c r="A46">
        <f t="shared" si="1"/>
        <v>87</v>
      </c>
      <c r="B46" s="84" t="s">
        <v>271</v>
      </c>
      <c r="C46" s="54" t="s">
        <v>185</v>
      </c>
      <c r="D46" s="94" t="s">
        <v>186</v>
      </c>
      <c r="E46" s="77" t="str">
        <f t="shared" si="0"/>
        <v>"[COMMENT DENSITY RULE] Beginner = high, Intermediate = medium, Advanced = lower but present in key logic | " &amp;</v>
      </c>
      <c r="F46" s="54" t="s">
        <v>224</v>
      </c>
    </row>
    <row r="47" spans="1:6">
      <c r="A47">
        <f t="shared" si="1"/>
        <v>33</v>
      </c>
      <c r="B47" s="84" t="s">
        <v>271</v>
      </c>
      <c r="C47" s="54" t="s">
        <v>195</v>
      </c>
      <c r="D47" s="94" t="s">
        <v>196</v>
      </c>
      <c r="E47" s="77" t="str">
        <f t="shared" si="0"/>
        <v>"[DIFFICULTY RULE] Complexity MUST match level | " &amp;</v>
      </c>
      <c r="F47" s="54" t="s">
        <v>224</v>
      </c>
    </row>
    <row r="48" spans="1:6">
      <c r="A48">
        <f t="shared" si="1"/>
        <v>78</v>
      </c>
      <c r="B48" s="84" t="s">
        <v>271</v>
      </c>
      <c r="C48" s="54" t="s">
        <v>216</v>
      </c>
      <c r="D48" s="94" t="s">
        <v>217</v>
      </c>
      <c r="E48" s="77" t="str">
        <f t="shared" si="0"/>
        <v>"[OUTPUT] Only header, introduction, examples, outputs, notes, summary, and footer | " &amp;</v>
      </c>
      <c r="F48" s="54" t="s">
        <v>224</v>
      </c>
    </row>
    <row r="49" spans="1:6">
      <c r="A49">
        <f t="shared" si="1"/>
        <v>166</v>
      </c>
      <c r="B49" s="84" t="s">
        <v>271</v>
      </c>
      <c r="C49" s="54" t="s">
        <v>220</v>
      </c>
      <c r="D49" s="94" t="s">
        <v>233</v>
      </c>
      <c r="E49" s="77" t="str">
        <f>IF(D49="","",""""&amp;C49&amp;" "&amp;IF(C49="[FOOTER RULE - STRICT]",D49,IF(RIGHT(D49,6)=" | "&amp;CHAR(34)&amp;" &amp;",D49,D49&amp;" | "&amp;CHAR(34)&amp;" &amp;")))</f>
        <v>"[FOOTER RULE - STRICT] End your entire response EXACTLY with this markdown string (ensure all code blocks are closed before it): ⚡ *Coding5s System — Learn Programming by Writing Code* | ",</v>
      </c>
      <c r="F49" s="54" t="s">
        <v>224</v>
      </c>
    </row>
    <row r="50" spans="1:6">
      <c r="B50" s="84"/>
      <c r="C50" s="54"/>
      <c r="D50" s="94"/>
      <c r="E50" s="88" t="str">
        <f>"IF(H9=""PROJECT"", Z9, """"))"</f>
        <v>IF(H9="PROJECT", Z9, ""))</v>
      </c>
      <c r="F50" s="54"/>
    </row>
    <row r="51" spans="1:6">
      <c r="B51" s="74"/>
      <c r="C51" s="74"/>
      <c r="E51" s="86"/>
    </row>
    <row r="52" spans="1:6">
      <c r="B52" s="74"/>
      <c r="C52" s="74"/>
      <c r="E52" s="86"/>
    </row>
    <row r="53" spans="1:6" ht="36">
      <c r="B53" s="79" t="s">
        <v>445</v>
      </c>
      <c r="C53" s="74"/>
      <c r="E53" s="86"/>
    </row>
    <row r="54" spans="1:6">
      <c r="B54" s="76" t="s">
        <v>264</v>
      </c>
      <c r="C54" s="76" t="s">
        <v>577</v>
      </c>
      <c r="D54" s="76" t="s">
        <v>578</v>
      </c>
      <c r="E54" s="88" t="s">
        <v>265</v>
      </c>
      <c r="F54" s="32" t="s">
        <v>224</v>
      </c>
    </row>
    <row r="55" spans="1:6">
      <c r="B55" s="54" t="s">
        <v>222</v>
      </c>
      <c r="C55" s="54" t="s">
        <v>162</v>
      </c>
      <c r="D55" s="94" t="s">
        <v>268</v>
      </c>
      <c r="E55" s="77" t="str">
        <f>IF(D55="","",""""&amp;C55&amp;" "&amp;IF(C55="[FOOTER RULE - STRICT]",D55,IF(RIGHT(D55,6)=" | "&amp;CHAR(34)&amp;" &amp;",D55,D55&amp;" | "&amp;CHAR(34)&amp;" &amp;")))</f>
        <v>"[TASK] Teach through a practical " &amp; $I$2 &amp; " - " &amp; $I$3 &amp; " project following the micro-learning methodology, acting as a supportive tutor, creating a project about  " &amp; I9 &amp; " | " &amp;</v>
      </c>
      <c r="F55" s="32" t="s">
        <v>224</v>
      </c>
    </row>
    <row r="56" spans="1:6">
      <c r="B56" s="54" t="s">
        <v>222</v>
      </c>
      <c r="C56" s="54" t="s">
        <v>253</v>
      </c>
      <c r="D56" s="94" t="s">
        <v>709</v>
      </c>
      <c r="E56" s="77" t="str">
        <f t="shared" ref="E56:E79" si="2">IF(D56="","",""""&amp;C56&amp;" "&amp;IF(C56="[FOOTER RULE - STRICT]",D56,IF(RIGHT(D56,6)=" | "&amp;CHAR(34)&amp;" &amp;",D56,D56&amp;" | "&amp;CHAR(34)&amp;" &amp;")))</f>
        <v>"[TOPICS USED] " &amp; A9 &amp; " | " &amp;</v>
      </c>
      <c r="F56" s="32" t="s">
        <v>224</v>
      </c>
    </row>
    <row r="57" spans="1:6">
      <c r="B57" s="54" t="s">
        <v>222</v>
      </c>
      <c r="C57" s="54" t="s">
        <v>166</v>
      </c>
      <c r="D57" s="94" t="s">
        <v>167</v>
      </c>
      <c r="E57" s="77" t="str">
        <f t="shared" si="2"/>
        <v>"[LEVEL] " &amp; G9 &amp; " | " &amp;</v>
      </c>
      <c r="F57" s="32" t="s">
        <v>224</v>
      </c>
    </row>
    <row r="58" spans="1:6">
      <c r="B58" s="54" t="s">
        <v>222</v>
      </c>
      <c r="C58" s="54" t="s">
        <v>229</v>
      </c>
      <c r="D58" s="94" t="s">
        <v>267</v>
      </c>
      <c r="E58" s="77" t="str">
        <f t="shared" si="2"/>
        <v>"[LIBRARY BEING LEARNED] " &amp; $I$3 &amp; " | " &amp;</v>
      </c>
      <c r="F58" s="32" t="s">
        <v>224</v>
      </c>
    </row>
    <row r="59" spans="1:6">
      <c r="B59" s="83" t="s">
        <v>223</v>
      </c>
      <c r="C59" s="32" t="s">
        <v>225</v>
      </c>
      <c r="D59" s="137" t="str">
        <f>"If a module or ecosystem like Pandas or Numpy is specified in "&amp; CHAR(34) &amp;" &amp; $I$3 &amp; "&amp; CHAR(34) &amp;", you are CRITICALLY FORBIDDEN from using "&amp; Variables!E16 &amp;". You MUST enforce the "&amp; Variables!E17 &amp;" and data structures of that specific library." &amp; " | " &amp; CHAR(34) &amp; " &amp;"</f>
        <v>If a module or ecosystem like Pandas or Numpy is specified in " &amp; $I$3 &amp;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v>
      </c>
      <c r="E59" s="77"/>
      <c r="F59" s="32" t="s">
        <v>224</v>
      </c>
    </row>
    <row r="60" spans="1:6">
      <c r="B60" s="54" t="s">
        <v>222</v>
      </c>
      <c r="C60" s="54" t="s">
        <v>172</v>
      </c>
      <c r="D60" s="94" t="s">
        <v>254</v>
      </c>
      <c r="E60" s="7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60" s="32" t="s">
        <v>224</v>
      </c>
    </row>
    <row r="61" spans="1:6">
      <c r="B61" s="54" t="s">
        <v>222</v>
      </c>
      <c r="C61" s="54" t="s">
        <v>489</v>
      </c>
      <c r="D61" s="94" t="s">
        <v>481</v>
      </c>
      <c r="E61" s="77" t="str">
        <f t="shared" si="2"/>
        <v>"[LANGUAGE SEED CONTEXT] " &amp; IF($AE$7 = "", "Language Seed Not Necessary", "You MUST strictly follow this seed context to enhance, adapt, and naturalize your tone, vocabulary, and instructional quality in " &amp; $B$6 &amp; ": " &amp; $AE$7) &amp; " | " &amp;</v>
      </c>
      <c r="F61" s="32" t="s">
        <v>224</v>
      </c>
    </row>
    <row r="62" spans="1:6">
      <c r="B62" s="54" t="s">
        <v>222</v>
      </c>
      <c r="C62" s="54" t="s">
        <v>218</v>
      </c>
      <c r="D62" s="94" t="s">
        <v>219</v>
      </c>
      <c r="E62" s="77" t="str">
        <f t="shared" si="2"/>
        <v>"[LANGUAGE] " &amp; $B$6 &amp; " | " &amp;</v>
      </c>
      <c r="F62" s="32" t="s">
        <v>224</v>
      </c>
    </row>
    <row r="63" spans="1:6">
      <c r="B63" s="54" t="s">
        <v>223</v>
      </c>
      <c r="C63" s="54" t="s">
        <v>230</v>
      </c>
      <c r="D63" s="94"/>
      <c r="E63" s="77" t="str">
        <f t="shared" ref="E63:E64" si="3">IF(D63="","",""""&amp;C63&amp;" "&amp;IF(C63="[FOOTER RULE - STRICT]",D63,IF(RIGHT(D63,6)=" | "&amp;CHAR(34)&amp;" &amp;",D63,D63&amp;" | "&amp;CHAR(34)&amp;" &amp;")))</f>
        <v/>
      </c>
      <c r="F63" s="32" t="s">
        <v>224</v>
      </c>
    </row>
    <row r="64" spans="1:6">
      <c r="B64" s="54" t="s">
        <v>223</v>
      </c>
      <c r="C64" s="54" t="s">
        <v>230</v>
      </c>
      <c r="D64" s="94"/>
      <c r="E64" s="77" t="str">
        <f t="shared" si="3"/>
        <v/>
      </c>
      <c r="F64" s="32" t="s">
        <v>224</v>
      </c>
    </row>
    <row r="65" spans="2:6">
      <c r="B65" s="54" t="s">
        <v>223</v>
      </c>
      <c r="C65" s="32" t="s">
        <v>599</v>
      </c>
      <c r="D65" s="137" t="str">
        <f>"If using external packages, use " &amp; Variables!E6 &amp; " at the top of the code block. Assume no project configuration file exists." &amp; " | " &amp; CHAR(34) &amp; " &amp;"</f>
        <v>If using external packages, use Dart native classes, constructors, OOP patterns, and standard core execution models utilizing top-level main(). at the top of the code block. Assume no project configuration file exists. | " &amp;</v>
      </c>
      <c r="E65" s="77" t="str">
        <f t="shared" si="2"/>
        <v>"[INLINE_PACKAGE_MANAGER] If using external packages, use Dart native classes, constructors, OOP patterns, and standard core execution models utilizing top-level main(). at the top of the code block. Assume no project configuration file exists. | " &amp;</v>
      </c>
      <c r="F65" s="32" t="s">
        <v>224</v>
      </c>
    </row>
    <row r="66" spans="2:6">
      <c r="B66" s="54" t="s">
        <v>223</v>
      </c>
      <c r="C66" s="32" t="s">
        <v>606</v>
      </c>
      <c r="D66" s="137" t="str">
        <f>Variables!E21</f>
        <v>Standard basic logic validation using native assert statements.</v>
      </c>
      <c r="E66" s="77" t="str">
        <f t="shared" si="2"/>
        <v>"[CODE_CONSTRAINTS_RULE] Standard basic logic validation using native assert statements. | " &amp;</v>
      </c>
      <c r="F66" s="32" t="s">
        <v>224</v>
      </c>
    </row>
    <row r="67" spans="2:6">
      <c r="B67" s="54" t="s">
        <v>223</v>
      </c>
      <c r="C67" s="32" t="s">
        <v>614</v>
      </c>
      <c r="D67" s="137" t="str">
        <f>"1. Use " &amp; Variables!E18 &amp; " to map code to the planning phase. 2. Use " &amp; Variables!E19 &amp; ". 3. CRITICAL: NO comment or docstring line may exceed " &amp; Variables!E20 &amp; " in width. | " &amp; CHAR(34) &amp; " &amp;"</f>
        <v>1. Use visual block tags separating script sections (e.g., '// --- BLOQUE 1: [NAME] ---') to map code to the planning phase. 2. Use comprehensive doc comments using triple slashes ('///') explaining class purposes, parameters, return types, and exceptions. 3. CRITICAL: NO comment or docstring line may exceed 80 characters (Effective Dart standard) in width. | " &amp;</v>
      </c>
      <c r="E67" s="77" t="str">
        <f t="shared" si="2"/>
        <v>"[VISUAL_ARCHITECTURE_COMMENTS] 1. Use visual block tags separating script sections (e.g., '// --- BLOQUE 1: [NAME] ---') to map code to the planning phase. 2. Use comprehensive doc comments using triple slashes ('///') explaining class purposes, parameters, return types, and exceptions. 3. CRITICAL: NO comment or docstring line may exceed 80 characters (Effective Dart standard) in width. | " &amp;</v>
      </c>
      <c r="F67" s="32" t="s">
        <v>224</v>
      </c>
    </row>
    <row r="68" spans="2:6">
      <c r="B68" s="84" t="s">
        <v>271</v>
      </c>
      <c r="C68" s="54" t="s">
        <v>190</v>
      </c>
      <c r="D68" s="94" t="s">
        <v>417</v>
      </c>
      <c r="E68" s="77" t="str">
        <f t="shared" si="2"/>
        <v>"[DATA ROBUSTNESS RULE] Handle real-world data safely | " &amp;</v>
      </c>
      <c r="F68" s="32" t="s">
        <v>224</v>
      </c>
    </row>
    <row r="69" spans="2:6">
      <c r="B69" s="84" t="s">
        <v>271</v>
      </c>
      <c r="C69" s="54" t="s">
        <v>178</v>
      </c>
      <c r="D69" s="94" t="s">
        <v>596</v>
      </c>
      <c r="E69" s="77" t="str">
        <f t="shared" si="2"/>
        <v>"[CODE CONSTRAINTS] MUST be between " &amp; IF(G9="Beginner", "25–40", IF(G9="Intermediate", "30–60", "40–100")) &amp; " lines (STRICT) - Multi-step flow | " &amp;</v>
      </c>
      <c r="F69" s="32" t="s">
        <v>224</v>
      </c>
    </row>
    <row r="70" spans="2:6">
      <c r="B70" s="84" t="s">
        <v>271</v>
      </c>
      <c r="C70" s="54" t="s">
        <v>194</v>
      </c>
      <c r="D70" s="94" t="s">
        <v>423</v>
      </c>
      <c r="E70" s="77" t="str">
        <f t="shared" si="2"/>
        <v>"[SUPPORT FILES RULE] Include config files before code if needed | " &amp;</v>
      </c>
      <c r="F70" s="32" t="s">
        <v>224</v>
      </c>
    </row>
    <row r="71" spans="2:6">
      <c r="B71" s="84" t="s">
        <v>271</v>
      </c>
      <c r="C71" s="54" t="s">
        <v>174</v>
      </c>
      <c r="D71" s="94" t="s">
        <v>255</v>
      </c>
      <c r="E71"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71" s="32" t="s">
        <v>224</v>
      </c>
    </row>
    <row r="72" spans="2:6">
      <c r="B72" s="84" t="s">
        <v>271</v>
      </c>
      <c r="C72" s="54" t="s">
        <v>177</v>
      </c>
      <c r="D72" s="94" t="s">
        <v>256</v>
      </c>
      <c r="E72" s="77" t="str">
        <f t="shared" si="2"/>
        <v>"[OUTPUT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v>
      </c>
      <c r="F72" s="32" t="s">
        <v>224</v>
      </c>
    </row>
    <row r="73" spans="2:6">
      <c r="B73" s="84" t="s">
        <v>271</v>
      </c>
      <c r="C73" s="54" t="s">
        <v>180</v>
      </c>
      <c r="D73" s="94" t="s">
        <v>257</v>
      </c>
      <c r="E73" s="77" t="str">
        <f t="shared" si="2"/>
        <v>"[CODE QUALITY RULE] Code MUST be clean, readable, correct, and educational | " &amp;</v>
      </c>
      <c r="F73" s="32" t="s">
        <v>224</v>
      </c>
    </row>
    <row r="74" spans="2:6">
      <c r="B74" s="84" t="s">
        <v>271</v>
      </c>
      <c r="C74" s="54" t="s">
        <v>207</v>
      </c>
      <c r="D74" s="94" t="s">
        <v>258</v>
      </c>
      <c r="E74" s="77" t="str">
        <f t="shared" si="2"/>
        <v>"[FORMAT RULE] Only markdown code blocks allowed | " &amp;</v>
      </c>
      <c r="F74" s="32" t="s">
        <v>224</v>
      </c>
    </row>
    <row r="75" spans="2:6">
      <c r="B75" s="84" t="s">
        <v>271</v>
      </c>
      <c r="C75" s="54" t="s">
        <v>259</v>
      </c>
      <c r="D75" s="94" t="s">
        <v>260</v>
      </c>
      <c r="E75" s="77" t="str">
        <f t="shared" si="2"/>
        <v>"[EXECUTION RULE] Code MUST run and produce correct output | " &amp;</v>
      </c>
      <c r="F75" s="32" t="s">
        <v>224</v>
      </c>
    </row>
    <row r="76" spans="2:6">
      <c r="B76" s="84" t="s">
        <v>271</v>
      </c>
      <c r="C76" s="54" t="s">
        <v>212</v>
      </c>
      <c r="D76" s="94" t="s">
        <v>261</v>
      </c>
      <c r="E76" s="77" t="str">
        <f t="shared" si="2"/>
        <v>"[CONSISTENCY RULE] Project must match objective | " &amp;</v>
      </c>
      <c r="F76" s="32" t="s">
        <v>224</v>
      </c>
    </row>
    <row r="77" spans="2:6">
      <c r="B77" s="84" t="s">
        <v>271</v>
      </c>
      <c r="C77" s="54" t="s">
        <v>215</v>
      </c>
      <c r="D77" s="94" t="s">
        <v>580</v>
      </c>
      <c r="E77" s="77" t="str">
        <f t="shared" si="2"/>
        <v>"[HEADER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v>
      </c>
      <c r="F77" s="32" t="s">
        <v>224</v>
      </c>
    </row>
    <row r="78" spans="2:6">
      <c r="B78" s="84" t="s">
        <v>271</v>
      </c>
      <c r="C78" s="54" t="s">
        <v>216</v>
      </c>
      <c r="D78" s="94" t="s">
        <v>262</v>
      </c>
      <c r="E78" s="77" t="str">
        <f t="shared" si="2"/>
        <v>"[OUTPUT] Only header, dataset notice, objective, support file, code planning, expected output, code, and footer | " &amp;</v>
      </c>
      <c r="F78" s="32" t="s">
        <v>224</v>
      </c>
    </row>
    <row r="79" spans="2:6">
      <c r="B79" s="84" t="s">
        <v>271</v>
      </c>
      <c r="C79" s="54" t="s">
        <v>220</v>
      </c>
      <c r="D79" s="94" t="s">
        <v>263</v>
      </c>
      <c r="E79" s="77" t="str">
        <f t="shared" si="2"/>
        <v>"[FOOTER RULE - STRICT] End your entire response EXACTLY with this markdown string (ensure all code blocks are closed before it):" &amp; CHAR(10) &amp; "---" &amp; CHAR(10) &amp; "⚡ *Coding5s System — Learn Programming by Writing Code*")</v>
      </c>
      <c r="F79" s="32" t="s">
        <v>224</v>
      </c>
    </row>
    <row r="80" spans="2:6">
      <c r="E80" s="86"/>
      <c r="F80" t="s">
        <v>224</v>
      </c>
    </row>
    <row r="82" spans="2:6" ht="36">
      <c r="B82" s="80" t="s">
        <v>269</v>
      </c>
    </row>
    <row r="83" spans="2:6">
      <c r="B83" s="76" t="s">
        <v>221</v>
      </c>
      <c r="C83" s="76" t="s">
        <v>577</v>
      </c>
      <c r="D83" s="76" t="s">
        <v>578</v>
      </c>
      <c r="E83" s="88" t="s">
        <v>234</v>
      </c>
      <c r="F83" s="54" t="s">
        <v>224</v>
      </c>
    </row>
    <row r="84" spans="2:6">
      <c r="B84" s="54" t="s">
        <v>222</v>
      </c>
      <c r="C84" s="54" t="s">
        <v>235</v>
      </c>
      <c r="D84" s="94" t="s">
        <v>249</v>
      </c>
      <c r="E84" s="77" t="str">
        <f t="shared" ref="E84:E104" si="4">IF(D84="","",""""&amp;C84&amp;" "&amp;IF(C84="[FOOTER RULE - STRICT]",D84,IF(RIGHT(D84,6)=" | "&amp;CHAR(34)&amp;" &amp;",D84,D84&amp;" | "&amp;CHAR(34)&amp;" &amp;")))</f>
        <v>"[MENTOR_S1_SAFE_GUIDE] 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v>
      </c>
      <c r="F84" s="54" t="s">
        <v>224</v>
      </c>
    </row>
    <row r="85" spans="2:6">
      <c r="B85" s="54" t="s">
        <v>222</v>
      </c>
      <c r="C85" s="54" t="s">
        <v>236</v>
      </c>
      <c r="D85" s="94" t="s">
        <v>245</v>
      </c>
      <c r="E85" s="77" t="str">
        <f t="shared" si="4"/>
        <v>"[CULTURAL &amp; JARGON RULE] 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v>
      </c>
      <c r="F85" s="54" t="s">
        <v>224</v>
      </c>
    </row>
    <row r="86" spans="2:6">
      <c r="B86" s="54" t="s">
        <v>222</v>
      </c>
      <c r="C86" s="54" t="s">
        <v>237</v>
      </c>
      <c r="D86" s="94" t="s">
        <v>710</v>
      </c>
      <c r="E86" s="77" t="str">
        <f t="shared" si="4"/>
        <v>"[CONTEXT] You are helping a Junior Developer who is " &amp; IF(UPPER(H9)="PROJECT", "building a PROJECT: " &amp; I9 &amp; ". Topics applied in this project: " &amp; A9 &amp; ". Project objective: " &amp; J9, "learning: " &amp; I9 &amp; ". Topic details: " &amp; J9) &amp; " | " &amp;</v>
      </c>
      <c r="F86" s="54" t="s">
        <v>224</v>
      </c>
    </row>
    <row r="87" spans="2:6">
      <c r="B87" s="54" t="s">
        <v>222</v>
      </c>
      <c r="C87" s="54" t="s">
        <v>229</v>
      </c>
      <c r="D87" s="94" t="s">
        <v>267</v>
      </c>
      <c r="E87" s="77" t="str">
        <f t="shared" si="4"/>
        <v>"[LIBRARY BEING LEARNED] " &amp; $I$3 &amp; " | " &amp;</v>
      </c>
      <c r="F87" s="54"/>
    </row>
    <row r="88" spans="2:6">
      <c r="B88" s="54" t="s">
        <v>222</v>
      </c>
      <c r="C88" s="54" t="s">
        <v>172</v>
      </c>
      <c r="D88" s="94" t="s">
        <v>247</v>
      </c>
      <c r="E88" s="77" t="str">
        <f t="shared" si="4"/>
        <v>"[LANGUAGE CONSISTENCY RULE] ALL output text MUST be written strictly in (" &amp; $B$6 &amp; "). | " &amp;</v>
      </c>
      <c r="F88" s="54" t="s">
        <v>224</v>
      </c>
    </row>
    <row r="89" spans="2:6">
      <c r="B89" s="54" t="s">
        <v>222</v>
      </c>
      <c r="C89" s="54" t="s">
        <v>489</v>
      </c>
      <c r="D89" s="94" t="s">
        <v>481</v>
      </c>
      <c r="E89" s="77" t="str">
        <f t="shared" si="4"/>
        <v>"[LANGUAGE SEED CONTEXT] " &amp; IF($AE$7 = "", "Language Seed Not Necessary", "You MUST strictly follow this seed context to enhance, adapt, and naturalize your tone, vocabulary, and instructional quality in " &amp; $B$6 &amp; ": " &amp; $AE$7) &amp; " | " &amp;</v>
      </c>
      <c r="F89" s="54" t="s">
        <v>224</v>
      </c>
    </row>
    <row r="90" spans="2:6">
      <c r="B90" s="54" t="s">
        <v>222</v>
      </c>
      <c r="C90" s="54" t="s">
        <v>218</v>
      </c>
      <c r="D90" s="94" t="s">
        <v>250</v>
      </c>
      <c r="E90" s="77" t="str">
        <f>IF(D90="","",""""&amp;C90&amp;" "&amp;IF(C90="[FOOTER RULE - STRICT]",D90,IF(RIGHT(D90,6)=" | "&amp;CHAR(34)&amp;" &amp;",D90,D90&amp;" | "&amp;CHAR(34)&amp;" &amp;")))</f>
        <v>"[LANGUAGE] " &amp; $B$6 &amp;" | " &amp;</v>
      </c>
      <c r="F90" s="54" t="s">
        <v>224</v>
      </c>
    </row>
    <row r="91" spans="2:6">
      <c r="B91" s="54" t="s">
        <v>223</v>
      </c>
      <c r="C91" s="54" t="s">
        <v>230</v>
      </c>
      <c r="D91" s="94"/>
      <c r="E91" s="77" t="str">
        <f t="shared" ref="E91:E92" si="5">IF(D91="","",""""&amp;C91&amp;" "&amp;IF(C91="[FOOTER RULE - STRICT]",D91,IF(RIGHT(D91,6)=" | "&amp;CHAR(34)&amp;" &amp;",D91,D91&amp;" | "&amp;CHAR(34)&amp;" &amp;")))</f>
        <v/>
      </c>
      <c r="F91" s="54" t="s">
        <v>224</v>
      </c>
    </row>
    <row r="92" spans="2:6">
      <c r="B92" s="54" t="s">
        <v>223</v>
      </c>
      <c r="C92" s="54" t="s">
        <v>230</v>
      </c>
      <c r="D92" s="94"/>
      <c r="E92" s="77" t="str">
        <f t="shared" si="5"/>
        <v/>
      </c>
      <c r="F92" s="54" t="s">
        <v>224</v>
      </c>
    </row>
    <row r="93" spans="2:6">
      <c r="B93" s="54" t="s">
        <v>223</v>
      </c>
      <c r="C93" s="32" t="s">
        <v>618</v>
      </c>
      <c r="D93" s="94" t="str">
        <f>CHAR(34) &amp; " &amp; IF(G9=" &amp; CHAR(34) &amp; "Beginner" &amp; CHAR(34) &amp; ", " &amp; CHAR(34) &amp; Variables!E22 &amp; CHAR(34) &amp; ", IF(G9=" &amp; CHAR(34) &amp; "Intermediate" &amp; CHAR(34) &amp; ", " &amp; CHAR(34) &amp; Variables!E23 &amp; CHAR(34) &amp; ", " &amp; CHAR(34) &amp; Variables!E24 &amp; CHAR(34) &amp; ")) &amp; " &amp; CHAR(34) &amp; " | " &amp; CHAR(34) &amp; " &amp;"</f>
        <v>" &amp; IF(G9="Beginner", "Evaluate based on basic class instantiation, constructors, and property access inside main(). Do NOT expect advanced mixins or factories unless explicitly demanded.", IF(G9="Intermediate", "Expect clean class definitions, proper encapsulation (using '_'), named constructors, and correct 'this' usage. Enforce solid OOP principles.", "Expect advanced OOP architecture using abstract classes, mixins, factory constructors, interfaces, overriding, and composition.")) &amp; " | " &amp;</v>
      </c>
      <c r="E93" s="77" t="str">
        <f>IF(D93="","",""""&amp;C93&amp;" "&amp;IF(C93="[FOOTER RULE - STRICT]",D93,IF(RIGHT(D93,6)=" | "&amp;CHAR(34)&amp;" &amp;",D93,D93&amp;" | "&amp;CHAR(34)&amp;" &amp;")))</f>
        <v>"[MENTOR_SCOPE_EXPECTATIONS] " &amp; IF(G9="Beginner", "Evaluate based on basic class instantiation, constructors, and property access inside main(). Do NOT expect advanced mixins or factories unless explicitly demanded.", IF(G9="Intermediate", "Expect clean class definitions, proper encapsulation (using '_'), named constructors, and correct 'this' usage. Enforce solid OOP principles.", "Expect advanced OOP architecture using abstract classes, mixins, factory constructors, interfaces, overriding, and composition.")) &amp; " | " &amp;</v>
      </c>
      <c r="F93" s="54" t="s">
        <v>224</v>
      </c>
    </row>
    <row r="94" spans="2:6">
      <c r="B94" s="54" t="s">
        <v>223</v>
      </c>
      <c r="C94" s="32" t="s">
        <v>619</v>
      </c>
      <c r="D94" s="94" t="str">
        <f>"Code MUST be idiomatic Python. " &amp; Variables!E25 &amp; " " &amp; Variables!E26 &amp; " " &amp; Variables!E27 &amp; " " &amp; Variables!E28 &amp; " | " &amp; CHAR(34) &amp; " &amp; IF(AJ9&lt;&gt;" &amp; CHAR(34) &amp; CHAR(34) &amp; ", " &amp; CHAR(34) &amp; "[MENTOR CONTEXT ALERT] Be aware of the following infrastructure limitation for this exercise: " &amp; CHAR(34) &amp; " &amp; AJ9 &amp; " &amp; CHAR(34) &amp; " Use this knowledge to reassure the student if they present an environment error. | " &amp; CHAR(34) &amp; ", " &amp; CHAR(34) &amp; CHAR(34) &amp; ") &amp; " &amp; CHAR(34) &amp; " | " &amp; CHAR(34) &amp; " &amp;"</f>
        <v>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&amp; IF(AJ9&lt;&gt;"", "[MENTOR CONTEXT ALERT] Be aware of the following infrastructure limitation for this exercise: " &amp; AJ9 &amp; " Use this knowledge to reassure the student if they present an environment error. | ", "") &amp; " | " &amp;</v>
      </c>
      <c r="E94" s="77" t="str">
        <f>IF(D94="","",""""&amp;C94&amp;" "&amp;IF(C94="[FOOTER RULE - STRICT]",D94,IF(RIGHT(D94,6)=" | "&amp;CHAR(34)&amp;" &amp;",D94,D94&amp;" | "&amp;CHAR(34)&amp;" &amp;")))</f>
        <v>"[CODE_QUALITY_POLICIES] Code MUST be idiomatic Python. Use PascalCase for Classes/Mixins, camelCase for functions/variables/methods, lowerCamelCase for constants, and snake_case for file names adhering to Effective Dart. Dart object model built-ins from dart:core, primitive operators, and explicit type conversion methods like int.parse(). Reject procedural loose functions outside classes, unencapsulated global state, abusing dynamic type, or writing weakly-typed monolithic scripts. Enforce strict null safety in constructors. Use 'required' named parameters, const defaults, or nullable types with late initialization correctly. | " &amp; IF(AJ9&lt;&gt;"", "[MENTOR CONTEXT ALERT] Be aware of the following infrastructure limitation for this exercise: " &amp; AJ9 &amp; " Use this knowledge to reassure the student if they present an environment error. | ", "") &amp; " | " &amp;</v>
      </c>
      <c r="F94" s="54" t="s">
        <v>224</v>
      </c>
    </row>
    <row r="95" spans="2:6">
      <c r="B95" s="84" t="s">
        <v>271</v>
      </c>
      <c r="C95" s="54" t="s">
        <v>174</v>
      </c>
      <c r="D95" s="94" t="s">
        <v>248</v>
      </c>
      <c r="E95" s="77" t="str">
        <f t="shared" si="4"/>
        <v>"[DATA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v>
      </c>
      <c r="F95" s="54" t="s">
        <v>224</v>
      </c>
    </row>
    <row r="96" spans="2:6">
      <c r="B96" s="84" t="s">
        <v>271</v>
      </c>
      <c r="C96" s="54" t="s">
        <v>238</v>
      </c>
      <c r="D96" s="94" t="s">
        <v>251</v>
      </c>
      <c r="E96" s="77" t="str">
        <f t="shared" si="4"/>
        <v>"[EMPTY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v>
      </c>
      <c r="F96" s="54" t="s">
        <v>224</v>
      </c>
    </row>
    <row r="97" spans="2:6">
      <c r="B97" s="84" t="s">
        <v>271</v>
      </c>
      <c r="C97" s="54" t="s">
        <v>162</v>
      </c>
      <c r="D97" s="94" t="s">
        <v>246</v>
      </c>
      <c r="E97" s="77" t="str">
        <f>IF(D97="","",""""&amp;C97&amp;" "&amp;IF(C97="[FOOTER RULE - STRICT]",D97,IF(RIGHT(D97,6)=" | "&amp;CHAR(34)&amp;" &amp;",D97,D97&amp;" | "&amp;CHAR(34)&amp;" &amp;")))</f>
        <v>"[TASK] Analyze the student's code and explanation. If the code is perfect, congratulate them warmly and provide 2 'Bonus Challenges'. Otherwise, follow the 2-PHASE MENTORING PROTOCOL | " &amp;</v>
      </c>
      <c r="F97" s="54" t="s">
        <v>224</v>
      </c>
    </row>
    <row r="98" spans="2:6">
      <c r="B98" s="84" t="s">
        <v>271</v>
      </c>
      <c r="C98" s="54" t="s">
        <v>239</v>
      </c>
      <c r="D98" s="94" t="s">
        <v>851</v>
      </c>
      <c r="E98" s="77" t="str">
        <f t="shared" si="4"/>
        <v>"[ATOMIC CODE PROTOCOL (MVCI) - STRICT] TRIGGER: Questions or confusion detected. ACTION: Address EACH question via a Modular Block BEFORE Phase 1. BLOCK STRUCTURE: 1. Header ❓ Question [N]: [Exact Student Question/Excerpt]. 2. 💡 Direct Answer &amp; Analogy: Warm explanation in (" &amp; $B$6 &amp; ")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v>
      </c>
      <c r="F98" s="54" t="s">
        <v>224</v>
      </c>
    </row>
    <row r="99" spans="2:6">
      <c r="B99" s="84" t="s">
        <v>271</v>
      </c>
      <c r="C99" s="54" t="s">
        <v>240</v>
      </c>
      <c r="D99" s="94" t="s">
        <v>852</v>
      </c>
      <c r="E99" s="77" t="str">
        <f t="shared" si="4"/>
        <v>"[PHASE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v>
      </c>
      <c r="F99" s="54" t="s">
        <v>224</v>
      </c>
    </row>
    <row r="100" spans="2:6">
      <c r="B100" s="84" t="s">
        <v>271</v>
      </c>
      <c r="C100" s="54" t="s">
        <v>241</v>
      </c>
      <c r="D100" s="94" t="s">
        <v>309</v>
      </c>
      <c r="E100" s="77" t="str">
        <f t="shared" si="4"/>
        <v>"[EXPLANATION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v>
      </c>
      <c r="F100" s="54" t="s">
        <v>224</v>
      </c>
    </row>
    <row r="101" spans="2:6">
      <c r="B101" s="84" t="s">
        <v>271</v>
      </c>
      <c r="C101" s="54" t="s">
        <v>242</v>
      </c>
      <c r="D101" s="94" t="s">
        <v>252</v>
      </c>
      <c r="E101" s="77" t="str">
        <f t="shared" si="4"/>
        <v>"[MINIMAL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v>
      </c>
      <c r="F101" s="54" t="s">
        <v>224</v>
      </c>
    </row>
    <row r="102" spans="2:6">
      <c r="B102" s="84" t="s">
        <v>271</v>
      </c>
      <c r="C102" s="54" t="s">
        <v>244</v>
      </c>
      <c r="D102" s="94" t="s">
        <v>307</v>
      </c>
      <c r="E102" s="77" t="str">
        <f t="shared" si="4"/>
        <v>"[PHASE 2: FULL SOLUTION - STRICT] 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v>
      </c>
      <c r="F102" s="54" t="s">
        <v>224</v>
      </c>
    </row>
    <row r="103" spans="2:6">
      <c r="B103" s="84" t="s">
        <v>271</v>
      </c>
      <c r="C103" s="54" t="s">
        <v>215</v>
      </c>
      <c r="D103" s="94" t="s">
        <v>581</v>
      </c>
      <c r="E103" s="77" t="str">
        <f t="shared" si="4"/>
        <v>"[HEADER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v>
      </c>
      <c r="F103" s="54" t="s">
        <v>224</v>
      </c>
    </row>
    <row r="104" spans="2:6">
      <c r="B104" s="84" t="s">
        <v>271</v>
      </c>
      <c r="C104" s="54" t="s">
        <v>220</v>
      </c>
      <c r="D104" s="94" t="s">
        <v>308</v>
      </c>
      <c r="E104" s="77" t="str">
        <f t="shared" si="4"/>
        <v>"[FOOTER RULE - STRICT] End your response with: '--- ⚡ *Coding5s Mentor System — Eliminating Epistemic Debt*' | ","")</v>
      </c>
      <c r="F104" s="54" t="s">
        <v>224</v>
      </c>
    </row>
  </sheetData>
  <conditionalFormatting sqref="B1:B1048576">
    <cfRule type="cellIs" dxfId="56" priority="19" operator="equal">
      <formula>"The Immutable ""Kernel"""</formula>
    </cfRule>
    <cfRule type="cellIs" dxfId="55" priority="20" operator="equal">
      <formula>"Paradigm &amp; Ecosystem"</formula>
    </cfRule>
    <cfRule type="cellIs" dxfId="54" priority="21" operator="equal">
      <formula>"Global Variables &amp; Configuration"</formula>
    </cfRule>
  </conditionalFormatting>
  <conditionalFormatting sqref="C4:C50">
    <cfRule type="expression" dxfId="53" priority="16">
      <formula>$B4="The Immutable Kernel"</formula>
    </cfRule>
    <cfRule type="expression" dxfId="52" priority="17">
      <formula>$B4="Paradigm &amp; Ecosystem"</formula>
    </cfRule>
    <cfRule type="expression" dxfId="51" priority="18">
      <formula>$B4="Global Variables &amp; Configuration"</formula>
    </cfRule>
  </conditionalFormatting>
  <conditionalFormatting sqref="C55:C79">
    <cfRule type="expression" dxfId="50" priority="1">
      <formula>$B55="The Immutable Kernel"</formula>
    </cfRule>
    <cfRule type="expression" dxfId="49" priority="2">
      <formula>$B55="Paradigm &amp; Ecosystem"</formula>
    </cfRule>
    <cfRule type="expression" dxfId="48" priority="3">
      <formula>$B55="Global Variables &amp; Configuration"</formula>
    </cfRule>
  </conditionalFormatting>
  <conditionalFormatting sqref="C84:C104">
    <cfRule type="expression" dxfId="47" priority="10">
      <formula>$B84="The Immutable Kernel"</formula>
    </cfRule>
    <cfRule type="expression" dxfId="46" priority="11">
      <formula>$B84="Paradigm &amp; Ecosystem"</formula>
    </cfRule>
    <cfRule type="expression" dxfId="45" priority="12">
      <formula>$B84="Global Variables &amp; Configuration"</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4C0D-B07E-409E-B83B-9ECCA7DC7C4D}">
  <sheetPr>
    <tabColor theme="8" tint="0.79998168889431442"/>
  </sheetPr>
  <dimension ref="A2:AC100"/>
  <sheetViews>
    <sheetView showGridLines="0" topLeftCell="A77" zoomScaleNormal="100" workbookViewId="0">
      <selection activeCell="E80" sqref="E80:E97"/>
    </sheetView>
  </sheetViews>
  <sheetFormatPr defaultRowHeight="15"/>
  <cols>
    <col min="1" max="1" width="5.42578125" customWidth="1"/>
    <col min="2" max="2" width="37.42578125" customWidth="1"/>
    <col min="3" max="3" width="33" customWidth="1"/>
    <col min="4" max="4" width="85.28515625" customWidth="1"/>
    <col min="5" max="5" width="39.5703125" style="85" customWidth="1"/>
    <col min="6" max="6" width="4" customWidth="1"/>
  </cols>
  <sheetData>
    <row r="2" spans="1:29" ht="36">
      <c r="B2" s="78" t="s">
        <v>444</v>
      </c>
      <c r="D2" s="81" t="s">
        <v>270</v>
      </c>
      <c r="H2" s="82"/>
      <c r="T2" s="82"/>
    </row>
    <row r="3" spans="1:29">
      <c r="B3" s="76" t="s">
        <v>221</v>
      </c>
      <c r="C3" s="76" t="s">
        <v>577</v>
      </c>
      <c r="D3" s="76" t="s">
        <v>578</v>
      </c>
      <c r="E3" s="88" t="s">
        <v>228</v>
      </c>
      <c r="F3" s="4" t="s">
        <v>224</v>
      </c>
      <c r="AC3" t="s">
        <v>224</v>
      </c>
    </row>
    <row r="4" spans="1:29">
      <c r="A4">
        <f>LEN(D4)</f>
        <v>31</v>
      </c>
      <c r="B4" s="75" t="s">
        <v>222</v>
      </c>
      <c r="C4" s="54" t="s">
        <v>160</v>
      </c>
      <c r="D4" s="93" t="s">
        <v>272</v>
      </c>
      <c r="E4" s="77" t="str">
        <f t="shared" ref="E4:E41" si="0">IF(D4="","",""""&amp;C4&amp;" "&amp;IF(C4="[FOOTER RULE - STRICT]",D4,IF(RIGHT(D4,6)=" | "&amp;CHAR(34)&amp;" &amp;",D4,D4&amp;" | "&amp;CHAR(34)&amp;" &amp;")))</f>
        <v>"[ROLE] Careless " &amp; $I$2 &amp; " Developer | " &amp;</v>
      </c>
      <c r="F4" s="54" t="s">
        <v>224</v>
      </c>
    </row>
    <row r="5" spans="1:29">
      <c r="A5">
        <f t="shared" ref="A5:A42" si="1">LEN(D5)</f>
        <v>47</v>
      </c>
      <c r="B5" s="75" t="s">
        <v>222</v>
      </c>
      <c r="C5" s="54" t="s">
        <v>162</v>
      </c>
      <c r="D5" s="93" t="s">
        <v>273</v>
      </c>
      <c r="E5" s="77" t="str">
        <f t="shared" si="0"/>
        <v>"[TASK] Generate debugging challenges in " &amp; $I$2 &amp; " | | " &amp;</v>
      </c>
      <c r="F5" s="54" t="s">
        <v>224</v>
      </c>
    </row>
    <row r="6" spans="1:29">
      <c r="A6">
        <f t="shared" si="1"/>
        <v>12</v>
      </c>
      <c r="B6" s="75" t="s">
        <v>222</v>
      </c>
      <c r="C6" s="54" t="s">
        <v>164</v>
      </c>
      <c r="D6" s="93" t="s">
        <v>274</v>
      </c>
      <c r="E6" s="77" t="str">
        <f t="shared" si="0"/>
        <v>"[TOPIC] " &amp; I9 &amp; " | | " &amp;</v>
      </c>
      <c r="F6" s="54" t="s">
        <v>224</v>
      </c>
    </row>
    <row r="7" spans="1:29">
      <c r="A7">
        <f t="shared" si="1"/>
        <v>12</v>
      </c>
      <c r="B7" s="75" t="s">
        <v>222</v>
      </c>
      <c r="C7" s="54" t="s">
        <v>166</v>
      </c>
      <c r="D7" s="93" t="s">
        <v>275</v>
      </c>
      <c r="E7" s="77" t="str">
        <f t="shared" si="0"/>
        <v>"[LEVEL] " &amp; G9 &amp; " | | " &amp;</v>
      </c>
      <c r="F7" s="54" t="s">
        <v>224</v>
      </c>
    </row>
    <row r="8" spans="1:29">
      <c r="A8">
        <f t="shared" si="1"/>
        <v>21</v>
      </c>
      <c r="B8" s="75" t="s">
        <v>222</v>
      </c>
      <c r="C8" s="54" t="s">
        <v>168</v>
      </c>
      <c r="D8" s="93" t="s">
        <v>276</v>
      </c>
      <c r="E8" s="77" t="str">
        <f t="shared" si="0"/>
        <v>"[COUNT] " &amp; D9 &amp; " challenges | " &amp;</v>
      </c>
      <c r="F8" s="54" t="s">
        <v>224</v>
      </c>
    </row>
    <row r="9" spans="1:29">
      <c r="A9">
        <f t="shared" si="1"/>
        <v>18</v>
      </c>
      <c r="B9" s="75" t="s">
        <v>222</v>
      </c>
      <c r="C9" s="54" t="s">
        <v>229</v>
      </c>
      <c r="D9" s="93" t="s">
        <v>267</v>
      </c>
      <c r="E9" s="77" t="str">
        <f t="shared" si="0"/>
        <v>"[LIBRARY BEING LEARNED] " &amp; $I$3 &amp; " | " &amp;</v>
      </c>
      <c r="F9" s="54" t="s">
        <v>224</v>
      </c>
    </row>
    <row r="10" spans="1:29">
      <c r="A10">
        <f t="shared" si="1"/>
        <v>491</v>
      </c>
      <c r="B10" s="83" t="s">
        <v>223</v>
      </c>
      <c r="C10" s="32" t="s">
        <v>225</v>
      </c>
      <c r="D10" s="93"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v>
      </c>
      <c r="E10" s="77" t="str">
        <f t="shared" si="0"/>
        <v>"[ECOSYSTEM ORIENTATION RULE] If a data manipulation library, external package, or ecosystem like Pandas or NumPy is specified in " &amp; $I$3 &amp;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v>
      </c>
      <c r="F10" s="54" t="s">
        <v>224</v>
      </c>
    </row>
    <row r="11" spans="1:29">
      <c r="A11">
        <f t="shared" si="1"/>
        <v>313</v>
      </c>
      <c r="B11" s="75" t="s">
        <v>222</v>
      </c>
      <c r="C11" s="54" t="s">
        <v>215</v>
      </c>
      <c r="D11" s="93" t="s">
        <v>582</v>
      </c>
      <c r="E11" s="77" t="str">
        <f t="shared" si="0"/>
        <v>"[HEADER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v>
      </c>
      <c r="F11" s="54" t="s">
        <v>224</v>
      </c>
    </row>
    <row r="12" spans="1:29">
      <c r="A12">
        <f t="shared" si="1"/>
        <v>406</v>
      </c>
      <c r="B12" s="75" t="s">
        <v>222</v>
      </c>
      <c r="C12" s="54" t="s">
        <v>172</v>
      </c>
      <c r="D12" s="93"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1:29">
      <c r="A13">
        <f t="shared" si="1"/>
        <v>214</v>
      </c>
      <c r="B13" s="75" t="s">
        <v>222</v>
      </c>
      <c r="C13" s="54" t="s">
        <v>489</v>
      </c>
      <c r="D13" s="93" t="s">
        <v>481</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1:29">
      <c r="A14">
        <f t="shared" si="1"/>
        <v>0</v>
      </c>
      <c r="B14" s="83" t="s">
        <v>223</v>
      </c>
      <c r="C14" s="54" t="s">
        <v>230</v>
      </c>
      <c r="D14" s="93"/>
      <c r="E14" s="77" t="str">
        <f t="shared" si="0"/>
        <v/>
      </c>
      <c r="F14" s="54" t="s">
        <v>224</v>
      </c>
    </row>
    <row r="15" spans="1:29">
      <c r="A15">
        <f t="shared" si="1"/>
        <v>0</v>
      </c>
      <c r="B15" s="83" t="s">
        <v>223</v>
      </c>
      <c r="C15" s="54" t="s">
        <v>230</v>
      </c>
      <c r="D15" s="93"/>
      <c r="E15" s="77" t="str">
        <f t="shared" si="0"/>
        <v/>
      </c>
      <c r="F15" s="54" t="s">
        <v>224</v>
      </c>
    </row>
    <row r="16" spans="1:29">
      <c r="A16">
        <f t="shared" si="1"/>
        <v>394</v>
      </c>
      <c r="B16" s="83" t="s">
        <v>223</v>
      </c>
      <c r="C16" s="32" t="s">
        <v>188</v>
      </c>
      <c r="D16" s="93" t="str">
        <f>Variables!E29 &amp; " | " &amp; Variables!E30 &amp; " | " &amp; Variables!E31 &amp; " | " &amp; CHAR(34) &amp; " &amp;"</f>
        <v>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 &amp;</v>
      </c>
      <c r="E16" s="77" t="str">
        <f t="shared" si="0"/>
        <v>"[FILE HANDLING RULE] Enforce utf8 encoding when handling files via File from dart:io using readAsString() or openRead() streams inside class methods. | Environment variables via Platform.environment or dotenv packages may be used but bugs MUST exist ONLY in Dart code logic, NEVER in .env files. | Support files (.env, .env.example) MUST be provided BEFORE the broken code, fully correct, and contain NO bugs. | " &amp;</v>
      </c>
      <c r="F16" s="54" t="s">
        <v>224</v>
      </c>
    </row>
    <row r="17" spans="1:6">
      <c r="A17">
        <f t="shared" si="1"/>
        <v>140</v>
      </c>
      <c r="B17" s="83" t="s">
        <v>223</v>
      </c>
      <c r="C17" s="32" t="s">
        <v>726</v>
      </c>
      <c r="D17" s="93" t="str">
        <f>Variables!E32 &amp; " | " &amp; CHAR(34) &amp; " &amp;"</f>
        <v>Validation using print() statements or native assert statements. Avoid complex dart test suites; keep object validation inside main(). | " &amp;</v>
      </c>
      <c r="E17" s="77" t="str">
        <f t="shared" si="0"/>
        <v>"[TESTING_FRAMEWORK_RULE] Validation using print() statements or native assert statements. Avoid complex dart test suites; keep object validation inside main(). | " &amp;</v>
      </c>
      <c r="F17" s="54" t="s">
        <v>224</v>
      </c>
    </row>
    <row r="18" spans="1:6">
      <c r="A18">
        <f t="shared" si="1"/>
        <v>122</v>
      </c>
      <c r="B18" s="54" t="s">
        <v>223</v>
      </c>
      <c r="C18" s="32" t="s">
        <v>727</v>
      </c>
      <c r="D18" s="93" t="str">
        <f>Variables!E33 &amp; " | " &amp; CHAR(34) &amp; " &amp;"</f>
        <v>Standard Dart runtime context. If external packages are needed, specify them strictly in pubspec.yaml support files. | " &amp;</v>
      </c>
      <c r="E18" s="77" t="str">
        <f t="shared" si="0"/>
        <v>"[DEPENDENCY_MANAGEMENT_RULE] Standard Dart runtime context. If external packages are needed, specify them strictly in pubspec.yaml support files. | " &amp;</v>
      </c>
      <c r="F18" s="54" t="s">
        <v>224</v>
      </c>
    </row>
    <row r="19" spans="1:6">
      <c r="A19">
        <f t="shared" si="1"/>
        <v>542</v>
      </c>
      <c r="B19" s="54" t="s">
        <v>223</v>
      </c>
      <c r="C19" s="32" t="s">
        <v>178</v>
      </c>
      <c r="D19" s="93" t="str">
        <f>Variables!E34 &amp; " - " &amp; CHAR(34) &amp; " &amp; IF(G9=" &amp; CHAR(34) &amp; "Beginner" &amp; CHAR(34) &amp; ", " &amp; CHAR(34) &amp; "5–15" &amp; CHAR(34) &amp; ", IF(G9=" &amp; CHAR(34) &amp; "Intermediate" &amp; CHAR(34) &amp; ", " &amp; CHAR(34) &amp; "10–25" &amp; CHAR(34) &amp; ", " &amp; CHAR(34) &amp; "15–35" &amp; CHAR(34) &amp; ")) &amp; " &amp; CHAR(34) &amp; " " &amp; Variables!E35 &amp; " | " &amp; Variables!E36 &amp; " | " &amp; CHAR(34) &amp; " &amp;"</f>
        <v>Each challenge MUST include: internal data OR collection usage, at least 1 print statement, at least 1 loop (when applicable), EXACTLY 1 class definition, 1 constructor, and EXACTLY 1 class instantiation within main(). - " &amp; IF(G9="Beginner", "5–15", IF(G9="Intermediate", "10–25", "15–35")) &amp; " lines of EXECUTABLE broken Dart code per challenge (STRICT: Do NOT count blank lines). All logic MUST be encapsulated inside class methods and executed via main(). | All challenges MUST have similar complexity, length, and functional scope. | " &amp;</v>
      </c>
      <c r="E19" s="77" t="str">
        <f t="shared" si="0"/>
        <v>"[CODE CONSTRAINTS] Each challenge MUST include: internal data OR collection usage, at least 1 print statement, at least 1 loop (when applicable), EXACTLY 1 class definition, 1 constructor, and EXACTLY 1 class instantiation within main(). - " &amp; IF(G9="Beginner", "5–15", IF(G9="Intermediate", "10–25", "15–35")) &amp; " lines of EXECUTABLE broken Dart code per challenge (STRICT: Do NOT count blank lines). All logic MUST be encapsulated inside class methods and executed via main(). | All challenges MUST have similar complexity, length, and functional scope. | " &amp;</v>
      </c>
      <c r="F19" s="54" t="s">
        <v>224</v>
      </c>
    </row>
    <row r="20" spans="1:6">
      <c r="A20">
        <f t="shared" si="1"/>
        <v>888</v>
      </c>
      <c r="B20" s="54" t="s">
        <v>271</v>
      </c>
      <c r="C20" s="54" t="s">
        <v>187</v>
      </c>
      <c r="D20" s="93" t="s">
        <v>703</v>
      </c>
      <c r="E20" s="77" t="str">
        <f t="shared" si="0"/>
        <v>"[INTRO RULE] 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v>
      </c>
      <c r="F20" s="54" t="s">
        <v>224</v>
      </c>
    </row>
    <row r="21" spans="1:6">
      <c r="A21">
        <f t="shared" si="1"/>
        <v>40</v>
      </c>
      <c r="B21" s="54" t="s">
        <v>271</v>
      </c>
      <c r="C21" s="54" t="s">
        <v>278</v>
      </c>
      <c r="D21" s="93" t="s">
        <v>279</v>
      </c>
      <c r="E21" s="77" t="str">
        <f t="shared" si="0"/>
        <v>"[COMMENT RULE] Do NOT include comments that reveal bugs | " &amp;</v>
      </c>
      <c r="F21" s="54" t="s">
        <v>224</v>
      </c>
    </row>
    <row r="22" spans="1:6">
      <c r="A22">
        <f t="shared" si="1"/>
        <v>39</v>
      </c>
      <c r="B22" s="54" t="s">
        <v>271</v>
      </c>
      <c r="C22" s="54" t="s">
        <v>207</v>
      </c>
      <c r="D22" s="93" t="s">
        <v>280</v>
      </c>
      <c r="E22" s="77" t="str">
        <f t="shared" si="0"/>
        <v>"[FORMAT RULE] Only valid markdown code blocks allowed | " &amp;</v>
      </c>
      <c r="F22" s="54" t="s">
        <v>224</v>
      </c>
    </row>
    <row r="23" spans="1:6">
      <c r="A23">
        <f t="shared" si="1"/>
        <v>114</v>
      </c>
      <c r="B23" s="54" t="s">
        <v>271</v>
      </c>
      <c r="C23" s="54" t="s">
        <v>209</v>
      </c>
      <c r="D23" s="93" t="s">
        <v>281</v>
      </c>
      <c r="E23" s="77" t="str">
        <f t="shared" si="0"/>
        <v>"[LANGUAGE TAG RULE] ALWAYS label markdown code blocks with the correct underlying programming language (e.g., python, javascript, sql) | " &amp;</v>
      </c>
      <c r="F23" s="54" t="s">
        <v>224</v>
      </c>
    </row>
    <row r="24" spans="1:6">
      <c r="A24">
        <f t="shared" si="1"/>
        <v>51</v>
      </c>
      <c r="B24" s="54" t="s">
        <v>271</v>
      </c>
      <c r="C24" s="54" t="s">
        <v>282</v>
      </c>
      <c r="D24" s="93" t="s">
        <v>283</v>
      </c>
      <c r="E24" s="77" t="str">
        <f t="shared" si="0"/>
        <v>"[STRICT MODE] If ANY rule is violated, regenerate entire response | " &amp;</v>
      </c>
      <c r="F24" s="54" t="s">
        <v>224</v>
      </c>
    </row>
    <row r="25" spans="1:6">
      <c r="A25">
        <f t="shared" si="1"/>
        <v>57</v>
      </c>
      <c r="B25" s="54" t="s">
        <v>271</v>
      </c>
      <c r="C25" s="54" t="s">
        <v>170</v>
      </c>
      <c r="D25" s="93" t="s">
        <v>284</v>
      </c>
      <c r="E25" s="77" t="str">
        <f t="shared" si="0"/>
        <v>"[PERSONA RULE] Use a careless, messy, slightly frustrated developer tone | " &amp;</v>
      </c>
      <c r="F25" s="54" t="s">
        <v>224</v>
      </c>
    </row>
    <row r="26" spans="1:6">
      <c r="A26">
        <f t="shared" si="1"/>
        <v>330</v>
      </c>
      <c r="B26" s="54" t="s">
        <v>271</v>
      </c>
      <c r="C26" s="54" t="s">
        <v>177</v>
      </c>
      <c r="D26" s="93" t="s">
        <v>285</v>
      </c>
      <c r="E26" s="77" t="str">
        <f t="shared" si="0"/>
        <v>"[OUTPUT CONTRACT] 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v>
      </c>
      <c r="F26" s="54" t="s">
        <v>224</v>
      </c>
    </row>
    <row r="27" spans="1:6">
      <c r="A27">
        <f t="shared" si="1"/>
        <v>74</v>
      </c>
      <c r="B27" s="54" t="s">
        <v>271</v>
      </c>
      <c r="C27" s="54" t="s">
        <v>216</v>
      </c>
      <c r="D27" s="93" t="s">
        <v>286</v>
      </c>
      <c r="E27" s="77" t="str">
        <f t="shared" si="0"/>
        <v>"[OUTPUT] Only header, dataset summary (if any), email intro, challenges, and footer | " &amp;</v>
      </c>
      <c r="F27" s="54" t="s">
        <v>224</v>
      </c>
    </row>
    <row r="28" spans="1:6">
      <c r="A28">
        <f t="shared" si="1"/>
        <v>109</v>
      </c>
      <c r="B28" s="54" t="s">
        <v>271</v>
      </c>
      <c r="C28" s="54" t="s">
        <v>287</v>
      </c>
      <c r="D28" s="93" t="s">
        <v>288</v>
      </c>
      <c r="E28" s="77" t="str">
        <f t="shared" si="0"/>
        <v>"[STRUCTURE RULE] Do NOT rename sections. Do NOT add titles. Do NOT add extra text (except when required by SUPPORT FILES RULE) | " &amp;</v>
      </c>
      <c r="F28" s="54" t="s">
        <v>224</v>
      </c>
    </row>
    <row r="29" spans="1:6">
      <c r="A29">
        <f t="shared" si="1"/>
        <v>54</v>
      </c>
      <c r="B29" s="54" t="s">
        <v>271</v>
      </c>
      <c r="C29" s="54" t="s">
        <v>212</v>
      </c>
      <c r="D29" s="93" t="s">
        <v>289</v>
      </c>
      <c r="E29" s="77" t="str">
        <f t="shared" si="0"/>
        <v>"[CONSISTENCY RULE] All challenges MUST have similar complexity and length | " &amp;</v>
      </c>
      <c r="F29" s="54" t="s">
        <v>224</v>
      </c>
    </row>
    <row r="30" spans="1:6">
      <c r="A30">
        <f t="shared" si="1"/>
        <v>61</v>
      </c>
      <c r="B30" s="54" t="s">
        <v>271</v>
      </c>
      <c r="C30" s="54" t="s">
        <v>290</v>
      </c>
      <c r="D30" s="93" t="s">
        <v>291</v>
      </c>
      <c r="E30" s="77" t="str">
        <f t="shared" si="0"/>
        <v>"[BUG COMPLEXITY RULE] Must align with score (3 basic, 4 intermediate, 5 multi-step) | " &amp;</v>
      </c>
      <c r="F30" s="54" t="s">
        <v>224</v>
      </c>
    </row>
    <row r="31" spans="1:6">
      <c r="A31">
        <f t="shared" si="1"/>
        <v>37</v>
      </c>
      <c r="B31" s="54" t="s">
        <v>271</v>
      </c>
      <c r="C31" s="54" t="s">
        <v>292</v>
      </c>
      <c r="D31" s="93" t="s">
        <v>293</v>
      </c>
      <c r="E31" s="77" t="str">
        <f t="shared" si="0"/>
        <v>"[BUG RULE] Each challenge MUST include 2–3 bugs. | " &amp;</v>
      </c>
      <c r="F31" s="54" t="s">
        <v>224</v>
      </c>
    </row>
    <row r="32" spans="1:6">
      <c r="A32">
        <f t="shared" si="1"/>
        <v>487</v>
      </c>
      <c r="B32" s="54" t="s">
        <v>271</v>
      </c>
      <c r="C32" s="54" t="s">
        <v>294</v>
      </c>
      <c r="D32" s="93" t="s">
        <v>704</v>
      </c>
      <c r="E32" s="77" t="str">
        <f t="shared" si="0"/>
        <v>"[CORRECTNESS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v>
      </c>
      <c r="F32" s="54" t="s">
        <v>224</v>
      </c>
    </row>
    <row r="33" spans="1:6">
      <c r="A33">
        <f t="shared" si="1"/>
        <v>84</v>
      </c>
      <c r="B33" s="54" t="s">
        <v>271</v>
      </c>
      <c r="C33" s="54" t="s">
        <v>259</v>
      </c>
      <c r="D33" s="93" t="s">
        <v>295</v>
      </c>
      <c r="E33" s="77" t="str">
        <f t="shared" si="0"/>
        <v>"[EXECUTION RULE] Code must fail due to syntax errors, runtime exceptions, or produce incorrect output | " &amp;</v>
      </c>
      <c r="F33" s="54" t="s">
        <v>224</v>
      </c>
    </row>
    <row r="34" spans="1:6">
      <c r="A34">
        <f t="shared" si="1"/>
        <v>510</v>
      </c>
      <c r="B34" s="54" t="s">
        <v>271</v>
      </c>
      <c r="C34" s="54" t="s">
        <v>174</v>
      </c>
      <c r="D34" s="93" t="s">
        <v>705</v>
      </c>
      <c r="E34" s="77" t="str">
        <f t="shared" si="0"/>
        <v>"[DATA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v>
      </c>
      <c r="F34" s="54" t="s">
        <v>224</v>
      </c>
    </row>
    <row r="35" spans="1:6">
      <c r="A35">
        <f t="shared" si="1"/>
        <v>358</v>
      </c>
      <c r="B35" s="54" t="s">
        <v>271</v>
      </c>
      <c r="C35" s="54" t="s">
        <v>296</v>
      </c>
      <c r="D35" s="93" t="s">
        <v>297</v>
      </c>
      <c r="E35" s="77" t="str">
        <f t="shared" si="0"/>
        <v>"[CRITICAL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v>
      </c>
      <c r="F35" s="54" t="s">
        <v>224</v>
      </c>
    </row>
    <row r="36" spans="1:6">
      <c r="A36">
        <f t="shared" si="1"/>
        <v>72</v>
      </c>
      <c r="B36" s="54" t="s">
        <v>271</v>
      </c>
      <c r="C36" s="54" t="s">
        <v>175</v>
      </c>
      <c r="D36" s="93" t="s">
        <v>298</v>
      </c>
      <c r="E36" s="77" t="str">
        <f t="shared" si="0"/>
        <v>"[DATA SUMMARY FORMAT RULE] Dataset Summary: - File Type: - Columns / Fields: - Data Types: - Notes: | " &amp;</v>
      </c>
      <c r="F36" s="54" t="s">
        <v>224</v>
      </c>
    </row>
    <row r="37" spans="1:6">
      <c r="A37">
        <f t="shared" si="1"/>
        <v>129</v>
      </c>
      <c r="B37" s="54" t="s">
        <v>271</v>
      </c>
      <c r="C37" s="54" t="s">
        <v>299</v>
      </c>
      <c r="D37" s="93" t="s">
        <v>300</v>
      </c>
      <c r="E37" s="77" t="str">
        <f t="shared" si="0"/>
        <v>"[SUPPORT FILES RULE - STRICT] If env/config is used, MUST include: 1. Instructional sentence 2. File content in markdown code block 3. BEFORE the broken code | | " &amp;</v>
      </c>
      <c r="F37" s="54" t="s">
        <v>224</v>
      </c>
    </row>
    <row r="38" spans="1:6">
      <c r="A38">
        <f t="shared" si="1"/>
        <v>88</v>
      </c>
      <c r="B38" s="54" t="s">
        <v>271</v>
      </c>
      <c r="C38" s="54" t="s">
        <v>301</v>
      </c>
      <c r="D38" s="93" t="s">
        <v>302</v>
      </c>
      <c r="E38" s="77" t="str">
        <f t="shared" si="0"/>
        <v>"[SUPPORT FILES QUALITY RULE] Support files (.env, .env.example, .gitignore) MUST be fully correct and contain NO bugs | " &amp;</v>
      </c>
      <c r="F38" s="54" t="s">
        <v>224</v>
      </c>
    </row>
    <row r="39" spans="1:6">
      <c r="A39">
        <f t="shared" si="1"/>
        <v>208</v>
      </c>
      <c r="B39" s="54" t="s">
        <v>271</v>
      </c>
      <c r="C39" s="54" t="s">
        <v>303</v>
      </c>
      <c r="D39" s="93" t="s">
        <v>304</v>
      </c>
      <c r="E39" s="77" t="str">
        <f t="shared" si="0"/>
        <v>"[NO SOLUTION RULE - STRICT] You are generating an EXAM. You MUST NOT provide the fixed code, bug diagnosis, hints, explanations, or takeaways. Output ONLY the broken code. Do NOT solve your own challenges. Let the student find the bugs. | " &amp;</v>
      </c>
      <c r="F39" s="54" t="s">
        <v>224</v>
      </c>
    </row>
    <row r="40" spans="1:6">
      <c r="A40">
        <f t="shared" si="1"/>
        <v>210</v>
      </c>
      <c r="B40" s="54" t="s">
        <v>271</v>
      </c>
      <c r="C40" s="54" t="s">
        <v>220</v>
      </c>
      <c r="D40" s="93" t="s">
        <v>306</v>
      </c>
      <c r="E40" s="77" t="str">
        <f t="shared" si="0"/>
        <v>"[FOOTER RULE - STRICT] End your entire response EXACTLY with this markdown string (ensure all code blocks are closed before it):" &amp; CHAR(10) &amp; "---" &amp; CHAR(10) &amp; "⚡ Coding5s System - Learn Programming by Writing Code - Coding5S.com",</v>
      </c>
      <c r="F40" s="54" t="s">
        <v>224</v>
      </c>
    </row>
    <row r="41" spans="1:6">
      <c r="A41">
        <f t="shared" si="1"/>
        <v>0</v>
      </c>
      <c r="B41" s="54" t="s">
        <v>271</v>
      </c>
      <c r="C41" s="54"/>
      <c r="D41" s="93"/>
      <c r="E41" s="77" t="str">
        <f t="shared" si="0"/>
        <v/>
      </c>
      <c r="F41" s="54" t="s">
        <v>224</v>
      </c>
    </row>
    <row r="42" spans="1:6">
      <c r="A42">
        <f t="shared" si="1"/>
        <v>0</v>
      </c>
      <c r="B42" s="54" t="s">
        <v>271</v>
      </c>
      <c r="C42" s="54"/>
      <c r="D42" s="93"/>
      <c r="E42" s="88" t="s">
        <v>305</v>
      </c>
      <c r="F42" s="54"/>
    </row>
    <row r="43" spans="1:6">
      <c r="B43" s="74"/>
      <c r="C43" s="74"/>
      <c r="E43" s="86"/>
    </row>
    <row r="44" spans="1:6">
      <c r="B44" s="74"/>
      <c r="C44" s="74"/>
      <c r="E44" s="86"/>
    </row>
    <row r="45" spans="1:6" ht="36">
      <c r="B45" s="79" t="s">
        <v>443</v>
      </c>
      <c r="C45" s="74"/>
      <c r="E45" s="86"/>
    </row>
    <row r="46" spans="1:6">
      <c r="B46" s="76" t="s">
        <v>264</v>
      </c>
      <c r="C46" s="76" t="s">
        <v>577</v>
      </c>
      <c r="D46" s="76" t="s">
        <v>578</v>
      </c>
      <c r="E46" s="88" t="s">
        <v>265</v>
      </c>
      <c r="F46" s="32" t="s">
        <v>224</v>
      </c>
    </row>
    <row r="47" spans="1:6">
      <c r="B47" s="54" t="s">
        <v>222</v>
      </c>
      <c r="C47" s="54" t="s">
        <v>160</v>
      </c>
      <c r="D47" s="93" t="s">
        <v>272</v>
      </c>
      <c r="E47" s="77" t="str">
        <f>IF(D47="","",""""&amp;C47&amp;" "&amp;IF(C47="[FOOTER RULE - STRICT]",D47,IF(RIGHT(D47,6)=" | "&amp;CHAR(34)&amp;" &amp;",D47,D47&amp;" | "&amp;CHAR(34)&amp;" &amp;")))</f>
        <v>"[ROLE] Careless " &amp; $I$2 &amp; " Developer | " &amp;</v>
      </c>
      <c r="F47" s="32" t="s">
        <v>224</v>
      </c>
    </row>
    <row r="48" spans="1:6">
      <c r="B48" s="54" t="s">
        <v>222</v>
      </c>
      <c r="C48" s="54" t="s">
        <v>162</v>
      </c>
      <c r="D48" s="93" t="s">
        <v>310</v>
      </c>
      <c r="E48" s="77" t="str">
        <f t="shared" ref="E48:E76" si="2">IF(D48="","",""""&amp;C48&amp;" "&amp;IF(C48="[FOOTER RULE - STRICT]",D48,IF(RIGHT(D48,6)=" | "&amp;CHAR(34)&amp;" &amp;",D48,D48&amp;" | "&amp;CHAR(34)&amp;" &amp;")))</f>
        <v>"[TASK] Generate debugging project in " &amp; $I$2 &amp; " | " &amp;</v>
      </c>
      <c r="F48" s="32" t="s">
        <v>224</v>
      </c>
    </row>
    <row r="49" spans="2:6">
      <c r="B49" s="54" t="s">
        <v>222</v>
      </c>
      <c r="C49" s="54" t="s">
        <v>311</v>
      </c>
      <c r="D49" s="93" t="s">
        <v>165</v>
      </c>
      <c r="E49" s="77" t="str">
        <f t="shared" si="2"/>
        <v>"[PROJECT] " &amp; I9 &amp; " | " &amp;</v>
      </c>
      <c r="F49" s="32" t="s">
        <v>224</v>
      </c>
    </row>
    <row r="50" spans="2:6">
      <c r="B50" s="54" t="s">
        <v>222</v>
      </c>
      <c r="C50" s="54" t="s">
        <v>253</v>
      </c>
      <c r="D50" s="93" t="s">
        <v>709</v>
      </c>
      <c r="E50" s="77" t="str">
        <f t="shared" si="2"/>
        <v>"[TOPICS USED] " &amp; A9 &amp; " | " &amp;</v>
      </c>
      <c r="F50" s="32" t="s">
        <v>224</v>
      </c>
    </row>
    <row r="51" spans="2:6">
      <c r="B51" s="54" t="s">
        <v>222</v>
      </c>
      <c r="C51" s="54" t="s">
        <v>166</v>
      </c>
      <c r="D51" s="93" t="s">
        <v>167</v>
      </c>
      <c r="E51" s="77" t="str">
        <f t="shared" si="2"/>
        <v>"[LEVEL] " &amp; G9 &amp; " | " &amp;</v>
      </c>
      <c r="F51" s="32" t="s">
        <v>224</v>
      </c>
    </row>
    <row r="52" spans="2:6">
      <c r="B52" s="54" t="s">
        <v>222</v>
      </c>
      <c r="C52" s="54" t="s">
        <v>216</v>
      </c>
      <c r="D52" s="93" t="s">
        <v>312</v>
      </c>
      <c r="E52" s="77" t="str">
        <f t="shared" si="2"/>
        <v>"[OUTPUT] Only header, dataset summary or statement (if any), email intro, objective, expected output, broken code, and footer | " &amp;</v>
      </c>
      <c r="F52" s="32" t="s">
        <v>224</v>
      </c>
    </row>
    <row r="53" spans="2:6">
      <c r="B53" s="54" t="s">
        <v>222</v>
      </c>
      <c r="C53" s="54" t="s">
        <v>215</v>
      </c>
      <c r="D53" s="93" t="s">
        <v>583</v>
      </c>
      <c r="E53" s="77" t="str">
        <f t="shared" si="2"/>
        <v>"[HEADER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v>
      </c>
      <c r="F53" s="32" t="s">
        <v>224</v>
      </c>
    </row>
    <row r="54" spans="2:6">
      <c r="B54" s="54" t="s">
        <v>222</v>
      </c>
      <c r="C54" s="54" t="s">
        <v>229</v>
      </c>
      <c r="D54" s="93" t="s">
        <v>267</v>
      </c>
      <c r="E54" s="77" t="str">
        <f t="shared" si="2"/>
        <v>"[LIBRARY BEING LEARNED] " &amp; $I$3 &amp; " | " &amp;</v>
      </c>
      <c r="F54" s="32" t="s">
        <v>224</v>
      </c>
    </row>
    <row r="55" spans="2:6">
      <c r="B55" s="54" t="s">
        <v>223</v>
      </c>
      <c r="C55" s="32" t="s">
        <v>225</v>
      </c>
      <c r="D55" s="93" t="s">
        <v>254</v>
      </c>
      <c r="E55" s="77" t="str">
        <f t="shared" si="2"/>
        <v>"[ECOSYSTEM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172</v>
      </c>
      <c r="D56" s="93" t="s">
        <v>313</v>
      </c>
      <c r="E56" s="77" t="str">
        <f t="shared" si="2"/>
        <v>"[LANGUAGE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v>
      </c>
      <c r="F56" s="32" t="s">
        <v>224</v>
      </c>
    </row>
    <row r="57" spans="2:6">
      <c r="B57" s="54" t="s">
        <v>222</v>
      </c>
      <c r="C57" s="54" t="s">
        <v>489</v>
      </c>
      <c r="D57" s="93" t="s">
        <v>481</v>
      </c>
      <c r="E57" s="77" t="str">
        <f t="shared" si="2"/>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3"/>
      <c r="E58" s="77" t="str">
        <f t="shared" si="2"/>
        <v/>
      </c>
      <c r="F58" s="32" t="s">
        <v>224</v>
      </c>
    </row>
    <row r="59" spans="2:6">
      <c r="B59" s="54" t="s">
        <v>223</v>
      </c>
      <c r="C59" s="32" t="s">
        <v>292</v>
      </c>
      <c r="D59" s="93" t="str">
        <f>Variables!E37 &amp; " " &amp; Variables!E38 &amp; " " &amp; Variables!E39 &amp; " " &amp; Variables!E40 &amp; " | " &amp; CHAR(34) &amp; " &amp;"</f>
        <v>Simulate a messy Dart OOP script. The project MUST contain EXACTLY 2-5 bugs mixing Syntax errors, Null-safety errors, OOP/Encapsulation logic errors, and Runtime Exceptions. 1. Syntax &amp; Type Errors (e.g., missing semicolons/brackets, type mismatches, constructor syntax errors, unhandled null access violating strict null safety), 2. Logic Errors (e.g., incorrect calculations, faulty comparison operators, improper encapsulation/getters, wrong return values), AND 3. Runtime Exceptions (e.g., StateError, RangeError, FormatException, NoSuchMethodError due to bad casting). | " &amp;</v>
      </c>
      <c r="E59" s="77" t="str">
        <f t="shared" si="2"/>
        <v>"[BUG RULE] Simulate a messy Dart OOP script. The project MUST contain EXACTLY 2-5 bugs mixing Syntax errors, Null-safety errors, OOP/Encapsulation logic errors, and Runtime Exceptions. 1. Syntax &amp; Type Errors (e.g., missing semicolons/brackets, type mismatches, constructor syntax errors, unhandled null access violating strict null safety), 2. Logic Errors (e.g., incorrect calculations, faulty comparison operators, improper encapsulation/getters, wrong return values), AND 3. Runtime Exceptions (e.g., StateError, RangeError, FormatException, NoSuchMethodError due to bad casting). | " &amp;</v>
      </c>
      <c r="F59" s="32" t="s">
        <v>224</v>
      </c>
    </row>
    <row r="60" spans="2:6">
      <c r="B60" s="54" t="s">
        <v>271</v>
      </c>
      <c r="C60" s="54" t="s">
        <v>277</v>
      </c>
      <c r="D60" s="93" t="s">
        <v>314</v>
      </c>
      <c r="E60" s="77" t="str">
        <f t="shared" si="2"/>
        <v>"[ENV USAGE RULE] Bugs ONLY in code logic, not config files | " &amp;</v>
      </c>
      <c r="F60" s="32" t="s">
        <v>224</v>
      </c>
    </row>
    <row r="61" spans="2:6">
      <c r="B61" s="54" t="s">
        <v>271</v>
      </c>
      <c r="C61" s="54" t="s">
        <v>194</v>
      </c>
      <c r="D61" s="93" t="s">
        <v>315</v>
      </c>
      <c r="E61" s="77" t="str">
        <f t="shared" si="2"/>
        <v>"[SUPPORT FILES RULE] IF an external configuration or data file is needed, include: 1. Short instructional sentence 2. File content in markdown code block 3. Place it strictly BEFORE the main code. | " &amp;</v>
      </c>
      <c r="F61" s="32" t="s">
        <v>224</v>
      </c>
    </row>
    <row r="62" spans="2:6">
      <c r="B62" s="54" t="s">
        <v>271</v>
      </c>
      <c r="C62" s="54" t="s">
        <v>303</v>
      </c>
      <c r="D62" s="93" t="s">
        <v>597</v>
      </c>
      <c r="E62" s="77" t="str">
        <f t="shared" si="2"/>
        <v>"[NO SOLUTION RULE - STRICT] You are generating an EXAM. Do NOT provide the fixed code, diagnosis, hints, or explanations. Output ONLY the broken code. Do NOT include comments that reveal the bugs. Let the student find them. | " &amp;</v>
      </c>
      <c r="F62" s="32" t="s">
        <v>224</v>
      </c>
    </row>
    <row r="63" spans="2:6">
      <c r="B63" s="54" t="s">
        <v>271</v>
      </c>
      <c r="C63" s="54" t="s">
        <v>170</v>
      </c>
      <c r="D63" s="93" t="s">
        <v>316</v>
      </c>
      <c r="E63" s="77" t="str">
        <f t="shared" si="2"/>
        <v>"[PERSONA RULE] Use a messy, careless developer tone | " &amp;</v>
      </c>
      <c r="F63" s="32" t="s">
        <v>224</v>
      </c>
    </row>
    <row r="64" spans="2:6">
      <c r="B64" s="54" t="s">
        <v>271</v>
      </c>
      <c r="C64" s="54" t="s">
        <v>187</v>
      </c>
      <c r="D64" s="93" t="s">
        <v>317</v>
      </c>
      <c r="E64" s="77" t="str">
        <f t="shared" si="2"/>
        <v>"[INTRO RULE] 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v>
      </c>
      <c r="F64" s="32" t="s">
        <v>224</v>
      </c>
    </row>
    <row r="65" spans="2:6">
      <c r="B65" s="54" t="s">
        <v>271</v>
      </c>
      <c r="C65" s="54" t="s">
        <v>177</v>
      </c>
      <c r="D65" s="93" t="s">
        <v>318</v>
      </c>
      <c r="E65" s="77" t="str">
        <f t="shared" si="2"/>
        <v>"[OUTPUT CONTRACT] EXACTLY 1 project. Structure MUST be: 'Project:' followed by 'Objective: maximum 6 lines.', then 'Expected Output: standalone markdown code block.', and finally 'Broken Code' | " &amp;</v>
      </c>
      <c r="F65" s="32" t="s">
        <v>224</v>
      </c>
    </row>
    <row r="66" spans="2:6">
      <c r="B66" s="54" t="s">
        <v>271</v>
      </c>
      <c r="C66" s="54" t="s">
        <v>287</v>
      </c>
      <c r="D66" s="93" t="s">
        <v>319</v>
      </c>
      <c r="E66" s="77" t="str">
        <f t="shared" si="2"/>
        <v>"[STRUCTURE RULE] Do NOT add extra sections or explanations (except when required by SUPPORT FILES RULE) | " &amp;</v>
      </c>
      <c r="F66" s="32" t="s">
        <v>224</v>
      </c>
    </row>
    <row r="67" spans="2:6">
      <c r="B67" s="54" t="s">
        <v>271</v>
      </c>
      <c r="C67" s="54" t="s">
        <v>178</v>
      </c>
      <c r="D67" s="93" t="s">
        <v>320</v>
      </c>
      <c r="E67" s="77" t="str">
        <f t="shared" si="2"/>
        <v>"[CODE CONSTRAINTS] - " &amp; IF(G9="Beginner", "25–40", IF(G9="Intermediate", "30–60", "40–100")) &amp; " lines of EXECUTABLE code (STRICT: Do NOT count blank lines towards this limit) - Multi-step flow - 2–4 functions ONLY - main() as entry point " &amp; IF(G9&lt;&gt;"Advanced", "- NO classes | ", "") &amp; " | " &amp;</v>
      </c>
      <c r="F67" s="32" t="s">
        <v>224</v>
      </c>
    </row>
    <row r="68" spans="2:6">
      <c r="B68" s="54" t="s">
        <v>271</v>
      </c>
      <c r="C68" s="54" t="s">
        <v>259</v>
      </c>
      <c r="D68" s="93" t="s">
        <v>295</v>
      </c>
      <c r="E68" s="77" t="str">
        <f t="shared" si="2"/>
        <v>"[EXECUTION RULE] Code must fail due to syntax errors, runtime exceptions, or produce incorrect output | " &amp;</v>
      </c>
      <c r="F68" s="32" t="s">
        <v>224</v>
      </c>
    </row>
    <row r="69" spans="2:6">
      <c r="B69" s="54" t="s">
        <v>271</v>
      </c>
      <c r="C69" s="54" t="s">
        <v>174</v>
      </c>
      <c r="D69" s="93" t="s">
        <v>321</v>
      </c>
      <c r="E69"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69" s="32" t="s">
        <v>224</v>
      </c>
    </row>
    <row r="70" spans="2:6">
      <c r="B70" s="54" t="s">
        <v>271</v>
      </c>
      <c r="C70" s="54" t="s">
        <v>207</v>
      </c>
      <c r="D70" s="93" t="s">
        <v>322</v>
      </c>
      <c r="E70" s="77" t="str">
        <f t="shared" si="2"/>
        <v>"[FORMAT RULE] Only valid markdown code blocks | " &amp;</v>
      </c>
      <c r="F70" s="32" t="s">
        <v>224</v>
      </c>
    </row>
    <row r="71" spans="2:6">
      <c r="B71" s="54" t="s">
        <v>271</v>
      </c>
      <c r="C71" s="54" t="s">
        <v>209</v>
      </c>
      <c r="D71" s="93" t="s">
        <v>281</v>
      </c>
      <c r="E71" s="77" t="str">
        <f t="shared" si="2"/>
        <v>"[LANGUAGE TAG RULE] ALWAYS label markdown code blocks with the correct underlying programming language (e.g., python, javascript, sql) | " &amp;</v>
      </c>
      <c r="F71" s="32" t="s">
        <v>224</v>
      </c>
    </row>
    <row r="72" spans="2:6">
      <c r="B72" s="54" t="s">
        <v>271</v>
      </c>
      <c r="C72" s="54" t="s">
        <v>282</v>
      </c>
      <c r="D72" s="93" t="s">
        <v>323</v>
      </c>
      <c r="E72" s="77" t="str">
        <f t="shared" si="2"/>
        <v>"[STRICT MODE] Enforce all rules strictly | " &amp;</v>
      </c>
      <c r="F72" s="32" t="s">
        <v>224</v>
      </c>
    </row>
    <row r="73" spans="2:6">
      <c r="B73" s="54" t="s">
        <v>271</v>
      </c>
      <c r="C73" s="54" t="s">
        <v>220</v>
      </c>
      <c r="D73" s="93" t="s">
        <v>324</v>
      </c>
      <c r="E73" s="77" t="str">
        <f t="shared" si="2"/>
        <v>"[FOOTER RULE - STRICT] End your entire response EXACTLY with this markdown string (ensure all code blocks are closed before it):" &amp; CHAR(10) &amp; "---" &amp; CHAR(10) &amp; "⚡ Coding5s System - Learn Programming by Writing Code - Coding5S.com" )</v>
      </c>
      <c r="F73" s="32" t="s">
        <v>224</v>
      </c>
    </row>
    <row r="74" spans="2:6">
      <c r="B74" s="54"/>
      <c r="C74" s="54"/>
      <c r="D74" s="93"/>
      <c r="E74" s="77" t="str">
        <f t="shared" si="2"/>
        <v/>
      </c>
      <c r="F74" s="32" t="s">
        <v>224</v>
      </c>
    </row>
    <row r="75" spans="2:6">
      <c r="B75" s="54"/>
      <c r="C75" s="54"/>
      <c r="D75" s="93"/>
      <c r="E75" s="77" t="str">
        <f t="shared" si="2"/>
        <v/>
      </c>
      <c r="F75" s="32" t="s">
        <v>224</v>
      </c>
    </row>
    <row r="76" spans="2:6">
      <c r="B76" s="54"/>
      <c r="C76" s="54"/>
      <c r="D76" s="93"/>
      <c r="E76" s="77" t="str">
        <f t="shared" si="2"/>
        <v/>
      </c>
      <c r="F76" s="32" t="s">
        <v>224</v>
      </c>
    </row>
    <row r="77" spans="2:6">
      <c r="E77" s="86"/>
      <c r="F77" t="s">
        <v>224</v>
      </c>
    </row>
    <row r="79" spans="2:6" ht="36">
      <c r="B79" s="80" t="s">
        <v>442</v>
      </c>
    </row>
    <row r="80" spans="2:6">
      <c r="B80" s="76" t="s">
        <v>221</v>
      </c>
      <c r="C80" s="76" t="s">
        <v>577</v>
      </c>
      <c r="D80" s="76" t="s">
        <v>578</v>
      </c>
      <c r="E80" s="88" t="s">
        <v>234</v>
      </c>
      <c r="F80" s="54" t="s">
        <v>224</v>
      </c>
    </row>
    <row r="81" spans="2:6">
      <c r="B81" s="54" t="s">
        <v>222</v>
      </c>
      <c r="C81" s="54" t="s">
        <v>325</v>
      </c>
      <c r="D81" s="93" t="s">
        <v>379</v>
      </c>
      <c r="E81" s="17" t="str">
        <f t="shared" ref="E81:E94" si="3">IF(D81="","",""""&amp;C81&amp;" "&amp;IF(OR(C81="[FOOTER RULE - STRICT]",C81="[FOOTER RULE]"),D81,IF(RIGHT(D81,6)=" | "&amp;CHAR(34)&amp;" &amp;",D81,D81&amp;" | "&amp;CHAR(34)&amp;" &amp;")))</f>
        <v>"[MENTOR_S2_DETECTIVE] 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v>
      </c>
      <c r="F81" s="54" t="s">
        <v>224</v>
      </c>
    </row>
    <row r="82" spans="2:6">
      <c r="B82" s="54" t="s">
        <v>222</v>
      </c>
      <c r="C82" s="54" t="s">
        <v>236</v>
      </c>
      <c r="D82" s="93" t="s">
        <v>326</v>
      </c>
      <c r="E82" s="17" t="str">
        <f t="shared" si="3"/>
        <v>"[CULTURAL &amp; JARGON RULE] 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v>
      </c>
      <c r="F82" s="54" t="s">
        <v>224</v>
      </c>
    </row>
    <row r="83" spans="2:6">
      <c r="B83" s="54" t="s">
        <v>222</v>
      </c>
      <c r="C83" s="54" t="s">
        <v>237</v>
      </c>
      <c r="D83" s="93" t="s">
        <v>711</v>
      </c>
      <c r="E83" s="17" t="str">
        <f t="shared" si="3"/>
        <v>"[CONTEXT] You are helping a Junior Developer debug a " &amp; IF(UPPER(H9)="PROJECT", "PROJECT: " &amp; I9 &amp; ". Topics involved: " &amp; A9 &amp; ". Project objective: " &amp; J9, "TOPIC: " &amp; I9 &amp; ". Topic details: " &amp; J9) &amp; " | " &amp;</v>
      </c>
      <c r="F83" s="54" t="s">
        <v>224</v>
      </c>
    </row>
    <row r="84" spans="2:6">
      <c r="B84" s="54" t="s">
        <v>222</v>
      </c>
      <c r="C84" s="54" t="s">
        <v>162</v>
      </c>
      <c r="D84" s="93" t="s">
        <v>327</v>
      </c>
      <c r="E84" s="17" t="str">
        <f t="shared" si="3"/>
        <v>"[TASK] Analyze the student's code, explanation, and error. If the code is already fixed and correct, recognize their 'debugging skill' and provide a 'Pro-Tip' for prevention. Otherwise, follow the 2-PHASE MENTORING PROTOCOL | " &amp;</v>
      </c>
      <c r="F84" s="54" t="s">
        <v>224</v>
      </c>
    </row>
    <row r="85" spans="2:6">
      <c r="B85" s="54" t="s">
        <v>222</v>
      </c>
      <c r="C85" s="54" t="s">
        <v>229</v>
      </c>
      <c r="D85" s="93" t="s">
        <v>267</v>
      </c>
      <c r="E85" s="17" t="str">
        <f t="shared" si="3"/>
        <v>"[LIBRARY BEING LEARNED] " &amp; $I$3 &amp; " | " &amp;</v>
      </c>
      <c r="F85" s="54" t="s">
        <v>224</v>
      </c>
    </row>
    <row r="86" spans="2:6">
      <c r="B86" s="54" t="s">
        <v>222</v>
      </c>
      <c r="C86" s="54" t="s">
        <v>172</v>
      </c>
      <c r="D86" s="93" t="s">
        <v>254</v>
      </c>
      <c r="E86" s="17" t="str">
        <f t="shared" si="3"/>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3" t="s">
        <v>481</v>
      </c>
      <c r="E87" s="17" t="str">
        <f t="shared" si="3"/>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3" t="s">
        <v>584</v>
      </c>
      <c r="E88" s="17" t="str">
        <f t="shared" si="3"/>
        <v>"[HEADER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v>
      </c>
      <c r="F88" s="54" t="s">
        <v>224</v>
      </c>
    </row>
    <row r="89" spans="2:6">
      <c r="B89" s="54" t="s">
        <v>223</v>
      </c>
      <c r="C89" s="54" t="s">
        <v>230</v>
      </c>
      <c r="D89" s="93"/>
      <c r="E89" s="17" t="str">
        <f t="shared" si="3"/>
        <v/>
      </c>
      <c r="F89" s="54" t="s">
        <v>224</v>
      </c>
    </row>
    <row r="90" spans="2:6">
      <c r="B90" s="54" t="s">
        <v>223</v>
      </c>
      <c r="C90" s="32" t="s">
        <v>728</v>
      </c>
      <c r="D90" s="93" t="str">
        <f>Variables!E41 &amp; " " &amp; Variables!E42 &amp; " " &amp; Variables!E43 &amp; " " &amp; Variables!E44 &amp; " | " &amp; CHAR(34) &amp; " &amp;"</f>
        <v>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 &amp;</v>
      </c>
      <c r="E90" s="17" t="str">
        <f t="shared" si="3"/>
        <v>"[CORE_QUALITY_POLICY] Clean Effective Dart compliant OOP code, descriptive PascalCase classes, camelCase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constructors. Use 'required', const defaults, or nullable types with late initialization correctly. | " &amp;</v>
      </c>
      <c r="F90" s="54" t="s">
        <v>224</v>
      </c>
    </row>
    <row r="91" spans="2:6">
      <c r="B91" s="54" t="s">
        <v>271</v>
      </c>
      <c r="C91" s="54" t="s">
        <v>238</v>
      </c>
      <c r="D91" s="93" t="s">
        <v>330</v>
      </c>
      <c r="E91" s="17" t="str">
        <f t="shared" si="3"/>
        <v>"[EMPTY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v>
      </c>
      <c r="F91" s="54" t="s">
        <v>224</v>
      </c>
    </row>
    <row r="92" spans="2:6">
      <c r="B92" s="54" t="s">
        <v>271</v>
      </c>
      <c r="C92" s="54" t="s">
        <v>240</v>
      </c>
      <c r="D92" s="93" t="s">
        <v>331</v>
      </c>
      <c r="E92" s="17" t="str">
        <f t="shared" si="3"/>
        <v>"[PHASE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v>
      </c>
      <c r="F92" s="54" t="s">
        <v>224</v>
      </c>
    </row>
    <row r="93" spans="2:6">
      <c r="B93" s="54" t="s">
        <v>271</v>
      </c>
      <c r="C93" s="54" t="s">
        <v>241</v>
      </c>
      <c r="D93" s="93" t="s">
        <v>329</v>
      </c>
      <c r="E93" s="17" t="str">
        <f t="shared" si="3"/>
        <v>"[EXPLANATION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v>
      </c>
      <c r="F93" s="54" t="s">
        <v>224</v>
      </c>
    </row>
    <row r="94" spans="2:6">
      <c r="B94" s="54" t="s">
        <v>271</v>
      </c>
      <c r="C94" s="54" t="s">
        <v>244</v>
      </c>
      <c r="D94" s="93" t="s">
        <v>332</v>
      </c>
      <c r="E94" s="17" t="str">
        <f t="shared" si="3"/>
        <v>"[PHASE 2: FULL SOLUTION - STRICT] 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v>
      </c>
      <c r="F94" s="54" t="s">
        <v>224</v>
      </c>
    </row>
    <row r="95" spans="2:6">
      <c r="B95" s="54" t="s">
        <v>271</v>
      </c>
      <c r="C95" s="54" t="s">
        <v>490</v>
      </c>
      <c r="D95" s="93" t="s">
        <v>491</v>
      </c>
      <c r="E95" s="17" t="str">
        <f>IF(D95="","",""""&amp;C95&amp;" "&amp;IF(OR(C95="[FOOTER RULE - STRICT]",C95="[FOOTER RULE]"),D95,IF(RIGHT(D95,6)=" | "&amp;CHAR(34)&amp;" &amp;",D95,D95&amp;" | "&amp;CHAR(34)&amp;" &amp;")))</f>
        <v>"[MINIMAL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v>
      </c>
      <c r="F95" s="54" t="s">
        <v>224</v>
      </c>
    </row>
    <row r="96" spans="2:6">
      <c r="B96" s="54" t="s">
        <v>271</v>
      </c>
      <c r="C96" s="54" t="s">
        <v>328</v>
      </c>
      <c r="D96" s="93" t="s">
        <v>333</v>
      </c>
      <c r="E96" s="17" t="str">
        <f>IF(D96="","",""""&amp;C96&amp;" "&amp;IF(OR(C96="[FOOTER RULE - STRICT]",C96="[FOOTER RULE]"),D96,IF(RIGHT(D96,6)=" | "&amp;CHAR(34)&amp;" &amp;",D96,D96&amp;" | "&amp;CHAR(34)&amp;" &amp;")))</f>
        <v>"[FOOTER RULE] End your response with: '--- ⚡ *Coding5s Mentor System — Eliminating Epistemic Debt &amp; Hunting Bugs*</v>
      </c>
      <c r="F96" s="54" t="s">
        <v>224</v>
      </c>
    </row>
    <row r="97" spans="2:6">
      <c r="B97" s="54"/>
      <c r="C97" s="54"/>
      <c r="D97" s="93"/>
      <c r="E97" s="88" t="s">
        <v>334</v>
      </c>
      <c r="F97" s="54" t="s">
        <v>224</v>
      </c>
    </row>
    <row r="98" spans="2:6">
      <c r="B98" s="54"/>
      <c r="C98" s="54"/>
      <c r="D98" s="93"/>
      <c r="E98" s="77" t="str">
        <f t="shared" ref="E98:E100" si="4">IF(D98="","",""""&amp;C98&amp;" "&amp;IF(C98="[FOOTER RULE - STRICT]",D98,IF(RIGHT(D98,6)=" | "&amp;CHAR(34)&amp;" &amp;",D98,D98&amp;" | "&amp;CHAR(34)&amp;" &amp;")))</f>
        <v/>
      </c>
      <c r="F98" s="54" t="s">
        <v>224</v>
      </c>
    </row>
    <row r="99" spans="2:6">
      <c r="B99" s="54"/>
      <c r="C99" s="54"/>
      <c r="D99" s="93"/>
      <c r="E99" s="77" t="str">
        <f t="shared" si="4"/>
        <v/>
      </c>
      <c r="F99" s="54" t="s">
        <v>224</v>
      </c>
    </row>
    <row r="100" spans="2:6">
      <c r="B100" s="54"/>
      <c r="C100" s="54"/>
      <c r="D100" s="93"/>
      <c r="E100" s="77" t="str">
        <f t="shared" si="4"/>
        <v/>
      </c>
      <c r="F100" s="54" t="s">
        <v>224</v>
      </c>
    </row>
  </sheetData>
  <conditionalFormatting sqref="B1:B1048576">
    <cfRule type="cellIs" dxfId="44" priority="10" operator="equal">
      <formula>"The Immutable Kernel"</formula>
    </cfRule>
    <cfRule type="cellIs" dxfId="43" priority="11" operator="equal">
      <formula>"Paradigm &amp; Ecosystem"</formula>
    </cfRule>
    <cfRule type="cellIs" dxfId="42" priority="12" operator="equal">
      <formula>"Global Variables &amp; Configuration"</formula>
    </cfRule>
  </conditionalFormatting>
  <conditionalFormatting sqref="C4:C42">
    <cfRule type="expression" dxfId="41" priority="7">
      <formula>$B4="The Immutable Kernel"</formula>
    </cfRule>
    <cfRule type="expression" dxfId="40" priority="8">
      <formula>$B4="Paradigm &amp; Ecosystem"</formula>
    </cfRule>
    <cfRule type="expression" dxfId="39" priority="9">
      <formula>$B4="Global Variables &amp; Configuration"</formula>
    </cfRule>
  </conditionalFormatting>
  <conditionalFormatting sqref="C47:C76">
    <cfRule type="expression" dxfId="38" priority="4">
      <formula>$B47="The Immutable Kernel"</formula>
    </cfRule>
    <cfRule type="expression" dxfId="37" priority="5">
      <formula>$B47="Paradigm &amp; Ecosystem"</formula>
    </cfRule>
    <cfRule type="expression" dxfId="36" priority="6">
      <formula>$B47="Global Variables &amp; Configuration"</formula>
    </cfRule>
  </conditionalFormatting>
  <conditionalFormatting sqref="C81:C100">
    <cfRule type="expression" dxfId="35" priority="1">
      <formula>$B81="The Immutable Kernel"</formula>
    </cfRule>
    <cfRule type="expression" dxfId="34" priority="2">
      <formula>$B81="Paradigm &amp; Ecosystem"</formula>
    </cfRule>
    <cfRule type="expression" dxfId="33" priority="3">
      <formula>$B81="Global Variables &amp; Configuration"</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D3BC9-B2EF-4F3D-8F73-57D435228023}">
  <sheetPr>
    <tabColor rgb="FFFFFF99"/>
  </sheetPr>
  <dimension ref="B2:AC100"/>
  <sheetViews>
    <sheetView showGridLines="0" topLeftCell="A76" zoomScaleNormal="100" workbookViewId="0">
      <selection activeCell="E80" sqref="E80:E96"/>
    </sheetView>
  </sheetViews>
  <sheetFormatPr defaultRowHeight="15"/>
  <cols>
    <col min="1" max="1" width="5.42578125" customWidth="1"/>
    <col min="2" max="2" width="36.28515625" customWidth="1"/>
    <col min="3" max="3" width="33" customWidth="1"/>
    <col min="4" max="4" width="85.28515625" customWidth="1"/>
    <col min="5" max="5" width="39.5703125" style="85" customWidth="1"/>
    <col min="6" max="6" width="4" customWidth="1"/>
  </cols>
  <sheetData>
    <row r="2" spans="2:29" ht="36">
      <c r="B2" s="78" t="s">
        <v>440</v>
      </c>
      <c r="D2" s="81" t="s">
        <v>335</v>
      </c>
      <c r="H2" s="82"/>
      <c r="T2" s="82"/>
    </row>
    <row r="3" spans="2:29">
      <c r="B3" s="76" t="s">
        <v>221</v>
      </c>
      <c r="C3" s="76" t="s">
        <v>577</v>
      </c>
      <c r="D3" s="76" t="s">
        <v>578</v>
      </c>
      <c r="E3" s="88" t="s">
        <v>228</v>
      </c>
      <c r="F3" s="4" t="s">
        <v>224</v>
      </c>
      <c r="AC3" t="s">
        <v>224</v>
      </c>
    </row>
    <row r="4" spans="2:29">
      <c r="B4" s="75" t="s">
        <v>222</v>
      </c>
      <c r="C4" s="54" t="s">
        <v>160</v>
      </c>
      <c r="D4" s="92" t="s">
        <v>336</v>
      </c>
      <c r="E4" s="77" t="str">
        <f t="shared" ref="E4:E37" si="0">IF(D4="","",""""&amp;C4&amp;" "&amp;IF(C4="[FOOTER RULE - STRICT]",D4,IF(RIGHT(D4,6)=" | "&amp;CHAR(34)&amp;" &amp;",D4,D4&amp;" | "&amp;CHAR(34)&amp;" &amp;")))</f>
        <v>"[ROLE] Tech Lead | " &amp;</v>
      </c>
      <c r="F4" s="54" t="s">
        <v>224</v>
      </c>
    </row>
    <row r="5" spans="2:29">
      <c r="B5" s="75" t="s">
        <v>222</v>
      </c>
      <c r="C5" s="54" t="s">
        <v>162</v>
      </c>
      <c r="D5" s="92" t="s">
        <v>337</v>
      </c>
      <c r="E5" s="77" t="str">
        <f t="shared" si="0"/>
        <v>"[TASK] Assign incomplete " &amp; $I$2 &amp; " script challenges | " &amp;</v>
      </c>
      <c r="F5" s="54" t="s">
        <v>224</v>
      </c>
    </row>
    <row r="6" spans="2:29">
      <c r="B6" s="75" t="s">
        <v>222</v>
      </c>
      <c r="C6" s="54" t="s">
        <v>164</v>
      </c>
      <c r="D6" s="92" t="s">
        <v>165</v>
      </c>
      <c r="E6" s="77" t="str">
        <f t="shared" si="0"/>
        <v>"[TOPIC] " &amp; I9 &amp; " | " &amp;</v>
      </c>
      <c r="F6" s="54" t="s">
        <v>224</v>
      </c>
    </row>
    <row r="7" spans="2:29">
      <c r="B7" s="75" t="s">
        <v>222</v>
      </c>
      <c r="C7" s="54" t="s">
        <v>166</v>
      </c>
      <c r="D7" s="92" t="s">
        <v>167</v>
      </c>
      <c r="E7" s="77" t="str">
        <f t="shared" si="0"/>
        <v>"[LEVEL] " &amp; G9 &amp; " | " &amp;</v>
      </c>
      <c r="F7" s="54" t="s">
        <v>224</v>
      </c>
    </row>
    <row r="8" spans="2:29">
      <c r="B8" s="75" t="s">
        <v>222</v>
      </c>
      <c r="C8" s="54" t="s">
        <v>168</v>
      </c>
      <c r="D8" s="92" t="s">
        <v>276</v>
      </c>
      <c r="E8" s="77" t="str">
        <f t="shared" si="0"/>
        <v>"[COUNT] " &amp; D9 &amp; " challenges | " &amp;</v>
      </c>
      <c r="F8" s="54" t="s">
        <v>224</v>
      </c>
    </row>
    <row r="9" spans="2:29">
      <c r="B9" s="75" t="s">
        <v>222</v>
      </c>
      <c r="C9" s="54" t="s">
        <v>229</v>
      </c>
      <c r="D9" s="92" t="s">
        <v>267</v>
      </c>
      <c r="E9" s="77" t="str">
        <f t="shared" si="0"/>
        <v>"[LIBRARY BEING LEARNED] " &amp; $I$3 &amp; " | " &amp;</v>
      </c>
      <c r="F9" s="54" t="s">
        <v>224</v>
      </c>
    </row>
    <row r="10" spans="2:29">
      <c r="B10" s="75" t="s">
        <v>222</v>
      </c>
      <c r="C10" s="32" t="s">
        <v>225</v>
      </c>
      <c r="D10"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v>
      </c>
      <c r="E10" s="77" t="str">
        <f t="shared" si="0"/>
        <v>"[ECOSYSTEM ORIENTATION RULE] If a data manipulation library, external package, or ecosystem like Pandas or NumPy is specified in " &amp; $I$3 &amp;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v>
      </c>
      <c r="F10" s="54" t="s">
        <v>224</v>
      </c>
    </row>
    <row r="11" spans="2:29">
      <c r="B11" s="75" t="s">
        <v>222</v>
      </c>
      <c r="C11" s="54" t="s">
        <v>215</v>
      </c>
      <c r="D11" s="92" t="s">
        <v>585</v>
      </c>
      <c r="E11" s="77" t="str">
        <f t="shared" si="0"/>
        <v>"[HEADER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v>
      </c>
      <c r="F11" s="54" t="s">
        <v>224</v>
      </c>
    </row>
    <row r="12" spans="2:29">
      <c r="B12" s="75" t="s">
        <v>222</v>
      </c>
      <c r="C12" s="54" t="s">
        <v>172</v>
      </c>
      <c r="D12" s="92"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2:29">
      <c r="B13" s="75" t="s">
        <v>222</v>
      </c>
      <c r="C13" s="54" t="s">
        <v>489</v>
      </c>
      <c r="D13" s="92" t="s">
        <v>481</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2:29">
      <c r="B14" s="83" t="s">
        <v>223</v>
      </c>
      <c r="C14" s="54" t="s">
        <v>230</v>
      </c>
      <c r="D14" s="92"/>
      <c r="E14" s="77" t="str">
        <f t="shared" si="0"/>
        <v/>
      </c>
      <c r="F14" s="54" t="s">
        <v>224</v>
      </c>
    </row>
    <row r="15" spans="2:29">
      <c r="B15" s="83" t="s">
        <v>223</v>
      </c>
      <c r="C15" s="54" t="s">
        <v>649</v>
      </c>
      <c r="D15" s="92" t="str">
        <f>Variables!E45 &amp; " | " &amp; CHAR(34) &amp; " &amp;"</f>
        <v>Standard Dart built-ins. Strictly ZERO external pub.dev packages required for beginner topics. | " &amp;</v>
      </c>
      <c r="E15" s="77" t="str">
        <f t="shared" si="0"/>
        <v>"[EXTERNAL_PACKAGE_PROTOCOL] Standard Dart built-ins. Strictly ZERO external pub.dev packages required for beginner topics. | " &amp;</v>
      </c>
      <c r="F15" s="54" t="s">
        <v>224</v>
      </c>
    </row>
    <row r="16" spans="2:29">
      <c r="B16" s="83" t="s">
        <v>223</v>
      </c>
      <c r="C16" s="54" t="s">
        <v>650</v>
      </c>
      <c r="D16" s="92" t="str">
        <f>Variables!E46 &amp; " | " &amp; CHAR(34) &amp; " &amp;"</f>
        <v>Simple console output verification via standard print() statements. | " &amp;</v>
      </c>
      <c r="E16" s="77" t="str">
        <f t="shared" si="0"/>
        <v>"[TESTING_FRAMEWORK_PROTOCOL] Simple console output verification via standard print() statements. | " &amp;</v>
      </c>
      <c r="F16" s="54" t="s">
        <v>224</v>
      </c>
    </row>
    <row r="17" spans="2:6">
      <c r="B17" s="83" t="s">
        <v>223</v>
      </c>
      <c r="C17" s="54" t="s">
        <v>651</v>
      </c>
      <c r="D17" s="92" t="str">
        <f>Variables!E47 &amp; " - " &amp; CHAR(34) &amp; " &amp; IF(G9=" &amp; CHAR(34) &amp; "Beginner" &amp; CHAR(34) &amp; "," &amp; CHAR(34) &amp; "5–15" &amp; CHAR(34) &amp; ", IF(G9=" &amp; CHAR(34) &amp; "Intermediate" &amp; CHAR(34) &amp; "," &amp; CHAR(34) &amp; "10–25" &amp; CHAR(34) &amp; "," &amp; CHAR(34) &amp; "15–35" &amp; CHAR(34) &amp; ")) &amp; " &amp; CHAR(34) &amp; " " &amp; Variables!E48 &amp; " | " &amp; CHAR(34) &amp; " &amp;"</f>
        <v>For Beginner level, // TODO MUST be atomic (1-2 simple lines max, e.g., basic property assignment, method call, or direct comparison). NO complex buffer redirections or string parsing. - " &amp; IF(G9="Beginner","5–15", IF(G9="Intermediate","10–25","15–35")) &amp; " 5-15 lines of EXECUTABLE base code with a main() entry point. Code outside // TODO MUST be 100% valid and readable. All code MUST be encapsulated within a class structure. | " &amp;</v>
      </c>
      <c r="E17" s="77" t="str">
        <f t="shared" si="0"/>
        <v>"[CHALLENGE_CONSTRAINTS_POLICY] For Beginner level, // TODO MUST be atomic (1-2 simple lines max, e.g., basic property assignment, method call, or direct comparison). NO complex buffer redirections or string parsing. - " &amp; IF(G9="Beginner","5–15", IF(G9="Intermediate","10–25","15–35")) &amp; " 5-15 lines of EXECUTABLE base code with a main() entry point. Code outside // TODO MUST be 100% valid and readable. All code MUST be encapsulated within a class structure. | " &amp;</v>
      </c>
      <c r="F17" s="54" t="s">
        <v>224</v>
      </c>
    </row>
    <row r="18" spans="2:6">
      <c r="B18" s="83" t="s">
        <v>271</v>
      </c>
      <c r="C18" s="54" t="s">
        <v>207</v>
      </c>
      <c r="D18" s="92" t="s">
        <v>644</v>
      </c>
      <c r="E18" s="77" t="str">
        <f t="shared" si="0"/>
        <v>"[FORMAT RULE] ALWAYS label markdown code blocks with the correct underlying programming language (e.g., elixir, python, javascript, sql) | " &amp;</v>
      </c>
      <c r="F18" s="54" t="s">
        <v>224</v>
      </c>
    </row>
    <row r="19" spans="2:6">
      <c r="B19" s="84" t="s">
        <v>271</v>
      </c>
      <c r="C19" s="54" t="s">
        <v>207</v>
      </c>
      <c r="D19" s="92" t="s">
        <v>280</v>
      </c>
      <c r="E19" s="77" t="str">
        <f t="shared" si="0"/>
        <v>"[FORMAT RULE] Only valid markdown code blocks allowed | " &amp;</v>
      </c>
      <c r="F19" s="54" t="s">
        <v>224</v>
      </c>
    </row>
    <row r="20" spans="2:6">
      <c r="B20" s="84" t="s">
        <v>271</v>
      </c>
      <c r="C20" s="54" t="s">
        <v>338</v>
      </c>
      <c r="D20" s="92" t="s">
        <v>365</v>
      </c>
      <c r="E20" s="77" t="str">
        <f t="shared" si="0"/>
        <v>"[SCORING ENFORCEMENT RULE] Score MUST be ONLY 3, 4, or 5 | " &amp;</v>
      </c>
      <c r="F20" s="54" t="s">
        <v>224</v>
      </c>
    </row>
    <row r="21" spans="2:6">
      <c r="B21" s="84" t="s">
        <v>271</v>
      </c>
      <c r="C21" s="54" t="s">
        <v>339</v>
      </c>
      <c r="D21" s="92" t="s">
        <v>340</v>
      </c>
      <c r="E21" s="77" t="str">
        <f t="shared" si="0"/>
        <v>"[DATA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21" s="54" t="s">
        <v>224</v>
      </c>
    </row>
    <row r="22" spans="2:6">
      <c r="B22" s="84" t="s">
        <v>271</v>
      </c>
      <c r="C22" s="54" t="s">
        <v>209</v>
      </c>
      <c r="D22" s="92" t="s">
        <v>281</v>
      </c>
      <c r="E22" s="77" t="str">
        <f t="shared" si="0"/>
        <v>"[LANGUAGE TAG RULE] ALWAYS label markdown code blocks with the correct underlying programming language (e.g., python, javascript, sql) | " &amp;</v>
      </c>
      <c r="F22" s="54" t="s">
        <v>224</v>
      </c>
    </row>
    <row r="23" spans="2:6">
      <c r="B23" s="84" t="s">
        <v>271</v>
      </c>
      <c r="C23" s="54" t="s">
        <v>187</v>
      </c>
      <c r="D23" s="92" t="s">
        <v>341</v>
      </c>
      <c r="E23" s="77" t="str">
        <f t="shared" si="0"/>
        <v>"[INTRO RULE] 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v>
      </c>
      <c r="F23" s="54" t="s">
        <v>224</v>
      </c>
    </row>
    <row r="24" spans="2:6">
      <c r="B24" s="84" t="s">
        <v>271</v>
      </c>
      <c r="C24" s="54" t="s">
        <v>177</v>
      </c>
      <c r="D24" s="92" t="s">
        <v>342</v>
      </c>
      <c r="E24" s="77" t="str">
        <f t="shared" si="0"/>
        <v>"[OUTPUT CONTRACT] 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v>
      </c>
      <c r="F24" s="54" t="s">
        <v>224</v>
      </c>
    </row>
    <row r="25" spans="2:6">
      <c r="B25" s="54" t="s">
        <v>271</v>
      </c>
      <c r="C25" s="54" t="s">
        <v>343</v>
      </c>
      <c r="D25" s="92" t="s">
        <v>344</v>
      </c>
      <c r="E25" s="77" t="str">
        <f t="shared" si="0"/>
        <v>"[OUTPUT TRUNCATION RULE - STRICT] If expected output is long, display ONLY the first 5 lines. Ensure accuracy. Do NOT use ellipsis (...) | " &amp;</v>
      </c>
      <c r="F25" s="54" t="s">
        <v>224</v>
      </c>
    </row>
    <row r="26" spans="2:6">
      <c r="B26" s="54" t="s">
        <v>271</v>
      </c>
      <c r="C26" s="54" t="s">
        <v>345</v>
      </c>
      <c r="D26" s="92" t="s">
        <v>346</v>
      </c>
      <c r="E26" s="77" t="str">
        <f t="shared" si="0"/>
        <v>"[OUTPUT EXECUTION RULE - STRICT] Expected output MUST be explicit, complete, and produced via print() (at least one print already in base code). Monetary values must include '$' | " &amp;</v>
      </c>
      <c r="F26" s="54" t="s">
        <v>224</v>
      </c>
    </row>
    <row r="27" spans="2:6">
      <c r="B27" s="54" t="s">
        <v>271</v>
      </c>
      <c r="C27" s="54" t="s">
        <v>347</v>
      </c>
      <c r="D27" s="92" t="s">
        <v>348</v>
      </c>
      <c r="E27" s="77" t="str">
        <f t="shared" si="0"/>
        <v>"[BASE CODE INTEGRITY RULE - STRICT] Code outside the TODO block MUST be 100% valid, logically correct, and run without errors. Do NOT simulate bugs using 'pass', '...', None, or wrong variable types outside the TODO. Variables used outside TODO must be initialized before TODO. | " &amp;</v>
      </c>
      <c r="F27" s="54" t="s">
        <v>224</v>
      </c>
    </row>
    <row r="28" spans="2:6">
      <c r="B28" s="54" t="s">
        <v>271</v>
      </c>
      <c r="C28" s="54" t="s">
        <v>349</v>
      </c>
      <c r="D28" s="92" t="s">
        <v>350</v>
      </c>
      <c r="E28" s="77" t="str">
        <f t="shared" si="0"/>
        <v>"[TODO VARIATION RULE] TODO sections MUST vary: Single-line TODO, Multiple TODOs, Small blocks (2–4 lines). | " &amp;</v>
      </c>
      <c r="F28" s="54" t="s">
        <v>224</v>
      </c>
    </row>
    <row r="29" spans="2:6">
      <c r="B29" s="54" t="s">
        <v>271</v>
      </c>
      <c r="C29" s="54" t="s">
        <v>351</v>
      </c>
      <c r="D29" s="92" t="s">
        <v>352</v>
      </c>
      <c r="E29" s="77" t="str">
        <f t="shared" si="0"/>
        <v>"[VARIABILITY RULE - STRICT] Each challenge MUST be structurally different. Vary: Code length, Logic type, Position of TODO, Number of TODOs (1–3), Data flow. | " &amp;</v>
      </c>
      <c r="F29" s="54" t="s">
        <v>224</v>
      </c>
    </row>
    <row r="30" spans="2:6">
      <c r="B30" s="54" t="s">
        <v>271</v>
      </c>
      <c r="C30" s="54" t="s">
        <v>353</v>
      </c>
      <c r="D30" s="92" t="s">
        <v>354</v>
      </c>
      <c r="E30" s="77" t="str">
        <f t="shared" si="0"/>
        <v>"[TODO REALISM RULE - STRICT] TODOs MUST represent realistic mistakes based on the topic: " &amp; I9 &amp; ". Describe what is incorrect or incomplete. Avoid imperative instructions. | " &amp;</v>
      </c>
      <c r="F30" s="54" t="s">
        <v>224</v>
      </c>
    </row>
    <row r="31" spans="2:6">
      <c r="B31" s="54" t="s">
        <v>271</v>
      </c>
      <c r="C31" s="54" t="s">
        <v>355</v>
      </c>
      <c r="D31" s="92" t="s">
        <v>356</v>
      </c>
      <c r="E31" s="77" t="str">
        <f t="shared" si="0"/>
        <v>"[TODO ISOLATION RULE - STRICT] ALL missing, incorrect, or output-affecting logic MUST exist ONLY inside the TODO block. | " &amp;</v>
      </c>
      <c r="F31" s="54" t="s">
        <v>224</v>
      </c>
    </row>
    <row r="32" spans="2:6">
      <c r="B32" s="54" t="s">
        <v>271</v>
      </c>
      <c r="C32" s="54" t="s">
        <v>303</v>
      </c>
      <c r="D32" s="92" t="s">
        <v>357</v>
      </c>
      <c r="E32" s="77" t="str">
        <f t="shared" si="0"/>
        <v>"[NO SOLUTION RULE - STRICT] The code under the # TODO MUST be left empty or with a 'pass'. DO NOT write the actual solution. | " &amp;</v>
      </c>
      <c r="F32" s="54" t="s">
        <v>224</v>
      </c>
    </row>
    <row r="33" spans="2:6">
      <c r="B33" s="54" t="s">
        <v>271</v>
      </c>
      <c r="C33" s="54" t="s">
        <v>358</v>
      </c>
      <c r="D33" s="92" t="s">
        <v>359</v>
      </c>
      <c r="E33" s="77" t="str">
        <f t="shared" si="0"/>
        <v>"[OUTPUT VERIFICATION RULE] The base code MUST print the final variables/results evaluated in the TODO block to verify correctness. | " &amp;</v>
      </c>
      <c r="F33" s="54" t="s">
        <v>224</v>
      </c>
    </row>
    <row r="34" spans="2:6">
      <c r="B34" s="54" t="s">
        <v>271</v>
      </c>
      <c r="C34" s="54" t="s">
        <v>360</v>
      </c>
      <c r="D34" s="92" t="s">
        <v>361</v>
      </c>
      <c r="E34" s="77" t="str">
        <f t="shared" si="0"/>
        <v>"[TODO GUIDANCE RULE] Rule " &amp; IF(G9="Beginner", "Clear explicit hint (no code) | ", IF(G9="Intermediate", "Brief hint | ", "Minimal hint | ")) &amp; " | " &amp;</v>
      </c>
      <c r="F34" s="54" t="s">
        <v>224</v>
      </c>
    </row>
    <row r="35" spans="2:6">
      <c r="B35" s="54" t="s">
        <v>271</v>
      </c>
      <c r="C35" s="54" t="s">
        <v>216</v>
      </c>
      <c r="D35" s="92" t="s">
        <v>362</v>
      </c>
      <c r="E35" s="77" t="str">
        <f t="shared" si="0"/>
        <v>"[OUTPUT] Only header, dataset summary or statement (if any), intro message, challenges (objective, expected output, incomplete code), and footer | " &amp;</v>
      </c>
      <c r="F35" s="54" t="s">
        <v>224</v>
      </c>
    </row>
    <row r="36" spans="2:6">
      <c r="B36" s="54" t="s">
        <v>271</v>
      </c>
      <c r="C36" s="54" t="s">
        <v>220</v>
      </c>
      <c r="D36" s="92" t="s">
        <v>364</v>
      </c>
      <c r="E36" s="77" t="str">
        <f t="shared" si="0"/>
        <v>"[FOOTER RULE - STRICT] End your entire response EXACTLY with this markdown string (ensure all code blocks are closed before it):" &amp; CHAR(10) &amp; "---" &amp; CHAR(10) &amp; "⚡ *Coding5s System - Learn Programming by Writing Code - Coding5S.com*",</v>
      </c>
      <c r="F36" s="54" t="s">
        <v>224</v>
      </c>
    </row>
    <row r="37" spans="2:6">
      <c r="B37" s="54"/>
      <c r="C37" s="54"/>
      <c r="D37" s="92"/>
      <c r="E37" s="77" t="str">
        <f t="shared" si="0"/>
        <v/>
      </c>
      <c r="F37" s="54" t="s">
        <v>224</v>
      </c>
    </row>
    <row r="38" spans="2:6">
      <c r="B38" s="54"/>
      <c r="C38" s="54"/>
      <c r="D38" s="92"/>
      <c r="E38" s="88" t="s">
        <v>363</v>
      </c>
      <c r="F38" s="54" t="s">
        <v>224</v>
      </c>
    </row>
    <row r="39" spans="2:6">
      <c r="B39" s="54"/>
      <c r="C39" s="54"/>
      <c r="D39" s="92"/>
      <c r="E39" s="77"/>
      <c r="F39" s="54" t="s">
        <v>224</v>
      </c>
    </row>
    <row r="40" spans="2:6">
      <c r="B40" s="54"/>
      <c r="C40" s="54"/>
      <c r="D40" s="92"/>
      <c r="E40" s="77"/>
      <c r="F40" s="54" t="s">
        <v>224</v>
      </c>
    </row>
    <row r="41" spans="2:6">
      <c r="B41" s="54"/>
      <c r="C41" s="54"/>
      <c r="D41" s="92"/>
      <c r="E41" s="77"/>
      <c r="F41" s="54" t="s">
        <v>224</v>
      </c>
    </row>
    <row r="42" spans="2:6">
      <c r="B42" s="54"/>
      <c r="C42" s="54"/>
      <c r="D42" s="92"/>
      <c r="E42" s="77"/>
      <c r="F42" s="54"/>
    </row>
    <row r="43" spans="2:6">
      <c r="B43" s="74"/>
      <c r="C43" s="74"/>
      <c r="E43" s="86"/>
    </row>
    <row r="44" spans="2:6">
      <c r="B44" s="74"/>
      <c r="C44" s="74"/>
      <c r="E44" s="86"/>
    </row>
    <row r="45" spans="2:6" ht="36">
      <c r="B45" s="79" t="s">
        <v>441</v>
      </c>
      <c r="C45" s="74"/>
      <c r="E45" s="86"/>
    </row>
    <row r="46" spans="2:6">
      <c r="B46" s="76" t="s">
        <v>264</v>
      </c>
      <c r="C46" s="76" t="s">
        <v>577</v>
      </c>
      <c r="D46" s="76" t="s">
        <v>578</v>
      </c>
      <c r="E46" s="88" t="s">
        <v>265</v>
      </c>
      <c r="F46" s="32" t="s">
        <v>224</v>
      </c>
    </row>
    <row r="47" spans="2:6">
      <c r="B47" s="54" t="s">
        <v>222</v>
      </c>
      <c r="C47" s="54" t="s">
        <v>160</v>
      </c>
      <c r="D47" s="92" t="s">
        <v>336</v>
      </c>
      <c r="E47" s="77" t="str">
        <f t="shared" ref="E47:E76" si="1">IF(D47="","",""""&amp;C47&amp;" "&amp;IF(C47="[FOOTER RULE - STRICT]",D47,IF(RIGHT(D47,6)=" | "&amp;CHAR(34)&amp;" &amp;",D47,D47&amp;" | "&amp;CHAR(34)&amp;" &amp;")))</f>
        <v>"[ROLE] Tech Lead | " &amp;</v>
      </c>
      <c r="F47" s="32" t="s">
        <v>224</v>
      </c>
    </row>
    <row r="48" spans="2:6">
      <c r="B48" s="54" t="s">
        <v>222</v>
      </c>
      <c r="C48" s="54" t="s">
        <v>162</v>
      </c>
      <c r="D48" s="92" t="s">
        <v>366</v>
      </c>
      <c r="E48" s="77" t="str">
        <f t="shared" si="1"/>
        <v>"[TASK] Assign incomplete project script | " &amp;</v>
      </c>
      <c r="F48" s="32" t="s">
        <v>224</v>
      </c>
    </row>
    <row r="49" spans="2:6">
      <c r="B49" s="54" t="s">
        <v>222</v>
      </c>
      <c r="C49" s="54" t="s">
        <v>311</v>
      </c>
      <c r="D49" s="92" t="s">
        <v>165</v>
      </c>
      <c r="E49" s="77" t="str">
        <f t="shared" si="1"/>
        <v>"[PROJECT] " &amp; I9 &amp; " | " &amp;</v>
      </c>
      <c r="F49" s="32" t="s">
        <v>224</v>
      </c>
    </row>
    <row r="50" spans="2:6">
      <c r="B50" s="54" t="s">
        <v>222</v>
      </c>
      <c r="C50" s="54" t="s">
        <v>253</v>
      </c>
      <c r="D50" s="92" t="s">
        <v>709</v>
      </c>
      <c r="E50" s="77" t="str">
        <f t="shared" si="1"/>
        <v>"[TOPICS USED] " &amp; A9 &amp; " | " &amp;</v>
      </c>
      <c r="F50" s="32" t="s">
        <v>224</v>
      </c>
    </row>
    <row r="51" spans="2:6">
      <c r="B51" s="54" t="s">
        <v>222</v>
      </c>
      <c r="C51" s="54" t="s">
        <v>166</v>
      </c>
      <c r="D51" s="92" t="s">
        <v>167</v>
      </c>
      <c r="E51" s="77" t="str">
        <f t="shared" si="1"/>
        <v>"[LEVEL] " &amp; G9 &amp; " | " &amp;</v>
      </c>
      <c r="F51" s="32" t="s">
        <v>224</v>
      </c>
    </row>
    <row r="52" spans="2:6">
      <c r="B52" s="54" t="s">
        <v>222</v>
      </c>
      <c r="C52" s="54" t="s">
        <v>229</v>
      </c>
      <c r="D52" s="92" t="s">
        <v>267</v>
      </c>
      <c r="E52" s="77" t="str">
        <f t="shared" si="1"/>
        <v>"[LIBRARY BEING LEARNED] " &amp; $I$3 &amp; " | " &amp;</v>
      </c>
      <c r="F52" s="32" t="s">
        <v>224</v>
      </c>
    </row>
    <row r="53" spans="2:6">
      <c r="B53" s="75" t="s">
        <v>222</v>
      </c>
      <c r="C53" s="54" t="s">
        <v>225</v>
      </c>
      <c r="D53"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v>
      </c>
      <c r="E53" s="77" t="str">
        <f t="shared" si="1"/>
        <v>"[ECOSYSTEM ORIENTATION RULE] If a data manipulation library, external package, or ecosystem like Pandas or NumPy is specified in " &amp; $I$3 &amp; ", you are CRITICALLY FORBIDDEN from using reinventing native OOP features, violating encapsulation, or ignoring Effective Dart object-oriented and pattern design idioms. You MUST enforce the official Effective Dart OOP guidelines, composition over inheritance, proper access modifiers ('_'), and idiomatic main() instantiations and data structures of that specific library. | " &amp;</v>
      </c>
      <c r="F53" s="32" t="s">
        <v>224</v>
      </c>
    </row>
    <row r="54" spans="2:6">
      <c r="B54" s="54" t="s">
        <v>223</v>
      </c>
      <c r="C54" s="32" t="s">
        <v>172</v>
      </c>
      <c r="D54" s="92" t="s">
        <v>254</v>
      </c>
      <c r="E54"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4" s="32" t="s">
        <v>224</v>
      </c>
    </row>
    <row r="55" spans="2:6">
      <c r="B55" s="54" t="s">
        <v>222</v>
      </c>
      <c r="C55" s="54" t="s">
        <v>489</v>
      </c>
      <c r="D55" s="92" t="s">
        <v>481</v>
      </c>
      <c r="E55" s="77" t="str">
        <f t="shared" si="1"/>
        <v>"[LANGUAGE SEED CONTEXT] " &amp; IF($AE$7 = "", "Language Seed Not Necessary", "You MUST strictly follow this seed context to enhance, adapt, and naturalize your tone, vocabulary, and instructional quality in " &amp; $B$6 &amp; ": " &amp; $AE$7) &amp; " | " &amp;</v>
      </c>
      <c r="F55" s="32" t="s">
        <v>224</v>
      </c>
    </row>
    <row r="56" spans="2:6">
      <c r="B56" s="54" t="s">
        <v>222</v>
      </c>
      <c r="C56" s="54" t="s">
        <v>215</v>
      </c>
      <c r="D56" s="92" t="s">
        <v>586</v>
      </c>
      <c r="E56" s="77" t="str">
        <f t="shared" si="1"/>
        <v>"[HEADER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v>
      </c>
      <c r="F56" s="32" t="s">
        <v>224</v>
      </c>
    </row>
    <row r="57" spans="2:6">
      <c r="B57" s="54" t="s">
        <v>223</v>
      </c>
      <c r="C57" s="32" t="s">
        <v>649</v>
      </c>
      <c r="D57" s="92" t="str">
        <f>Variables!E49 &amp; " | " &amp; CHAR(34) &amp; " &amp;"</f>
        <v>Require standard dart pub tooling and pubspec.yaml file for external dependencies when applicable. | " &amp;</v>
      </c>
      <c r="E57" s="77" t="str">
        <f t="shared" si="1"/>
        <v>"[EXTERNAL_PACKAGE_PROTOCOL] Require standard dart pub tooling and pubspec.yaml file for external dependencies when applicable. | " &amp;</v>
      </c>
      <c r="F57" s="32" t="s">
        <v>224</v>
      </c>
    </row>
    <row r="58" spans="2:6">
      <c r="B58" s="54" t="s">
        <v>223</v>
      </c>
      <c r="C58" s="32" t="s">
        <v>651</v>
      </c>
      <c r="D58" s="92" t="str">
        <f>Variables!E50 &amp; " " &amp; CHAR(34) &amp; " &amp; IF(G9=" &amp; CHAR(34) &amp; "Beginner" &amp; CHAR(34) &amp; "," &amp; CHAR(34) &amp; "25–40" &amp; CHAR(34) &amp; ", IF(G9=" &amp; CHAR(34) &amp; "Intermediate" &amp; CHAR(34) &amp; "," &amp; CHAR(34) &amp; "30–60" &amp; CHAR(34) &amp; "," &amp; CHAR(34) &amp; "40–100" &amp; CHAR(34) &amp; ")) &amp; " &amp; CHAR(34) &amp; " " &amp; Variables!E51 &amp; " | " &amp; CHAR(34) &amp; " &amp;"</f>
        <v>MUST be between 25-40 lines of EXECUTABLE base Dart code (STRICT: Do NOT count comments or // TODO blocks). " &amp; IF(G9="Beginner","25–40", IF(G9="Intermediate","30–60","40–100")) &amp; " Class-based object architecture. Require at least 1 class with internal state management. Logica de integracion ubicada exclusivamente dentro de los bloques // TODO. | " &amp;</v>
      </c>
      <c r="E58" s="77" t="str">
        <f t="shared" si="1"/>
        <v>"[CHALLENGE_CONSTRAINTS_POLICY] MUST be between 25-40 lines of EXECUTABLE base Dart code (STRICT: Do NOT count comments or // TODO blocks). " &amp; IF(G9="Beginner","25–40", IF(G9="Intermediate","30–60","40–100")) &amp; " Class-based object architecture. Require at least 1 class with internal state management. Logica de integracion ubicada exclusivamente dentro de los bloques // TODO. | " &amp;</v>
      </c>
      <c r="F58" s="32" t="s">
        <v>224</v>
      </c>
    </row>
    <row r="59" spans="2:6">
      <c r="B59" s="54" t="s">
        <v>271</v>
      </c>
      <c r="C59" s="54" t="s">
        <v>207</v>
      </c>
      <c r="D59" s="92" t="s">
        <v>280</v>
      </c>
      <c r="E59" s="77" t="str">
        <f t="shared" si="1"/>
        <v>"[FORMAT RULE] Only valid markdown code blocks allowed | " &amp;</v>
      </c>
      <c r="F59" s="32" t="s">
        <v>224</v>
      </c>
    </row>
    <row r="60" spans="2:6">
      <c r="B60" s="54" t="s">
        <v>271</v>
      </c>
      <c r="C60" s="54" t="s">
        <v>209</v>
      </c>
      <c r="D60" s="92" t="s">
        <v>281</v>
      </c>
      <c r="E60" s="77" t="str">
        <f t="shared" si="1"/>
        <v>"[LANGUAGE TAG RULE] ALWAYS label markdown code blocks with the correct underlying programming language (e.g., python, javascript, sql) | " &amp;</v>
      </c>
      <c r="F60" s="32" t="s">
        <v>224</v>
      </c>
    </row>
    <row r="61" spans="2:6">
      <c r="B61" s="54" t="s">
        <v>271</v>
      </c>
      <c r="C61" s="54" t="s">
        <v>339</v>
      </c>
      <c r="D61" s="92" t="s">
        <v>367</v>
      </c>
      <c r="E61" s="77" t="str">
        <f t="shared" si="1"/>
        <v>"[DATA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61" s="32" t="s">
        <v>224</v>
      </c>
    </row>
    <row r="62" spans="2:6">
      <c r="B62" s="54" t="s">
        <v>271</v>
      </c>
      <c r="C62" s="54" t="s">
        <v>187</v>
      </c>
      <c r="D62" s="92" t="s">
        <v>368</v>
      </c>
      <c r="E62" s="77" t="str">
        <f t="shared" si="1"/>
        <v>"[INTRO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v>
      </c>
      <c r="F62" s="32" t="s">
        <v>224</v>
      </c>
    </row>
    <row r="63" spans="2:6">
      <c r="B63" s="54" t="s">
        <v>271</v>
      </c>
      <c r="C63" s="54" t="s">
        <v>177</v>
      </c>
      <c r="D63" s="92" t="s">
        <v>369</v>
      </c>
      <c r="E63" s="77" t="str">
        <f t="shared" si="1"/>
        <v>"[OUTPUT CONTRACT] EXACTLY 1 project. Structure MUST be: Tech Lead Intro Message, Project: Objective (max 6 lines), Expected Output (code block), Incomplete Code | " &amp;</v>
      </c>
      <c r="F63" s="32" t="s">
        <v>224</v>
      </c>
    </row>
    <row r="64" spans="2:6">
      <c r="B64" s="54" t="s">
        <v>271</v>
      </c>
      <c r="C64" s="54" t="s">
        <v>370</v>
      </c>
      <c r="D64" s="92" t="s">
        <v>371</v>
      </c>
      <c r="E64" s="77" t="str">
        <f t="shared" si="1"/>
        <v>"[OUTPUT TRUNCATION RULE] If output is large, show only first 5 lines. Do NOT use ellipsis (...) | " &amp;</v>
      </c>
      <c r="F64" s="32" t="s">
        <v>224</v>
      </c>
    </row>
    <row r="65" spans="2:6">
      <c r="B65" s="54" t="s">
        <v>271</v>
      </c>
      <c r="C65" s="54" t="s">
        <v>345</v>
      </c>
      <c r="D65" s="92" t="s">
        <v>372</v>
      </c>
      <c r="E65" s="77" t="str">
        <f t="shared" si="1"/>
        <v>"[OUTPUT EXECUTION RULE - STRICT] Expected output MUST be explicit, complete, and produced via final print(). | " &amp;</v>
      </c>
      <c r="F65" s="32" t="s">
        <v>224</v>
      </c>
    </row>
    <row r="66" spans="2:6">
      <c r="B66" s="54" t="s">
        <v>271</v>
      </c>
      <c r="C66" s="54" t="s">
        <v>347</v>
      </c>
      <c r="D66" s="92" t="s">
        <v>373</v>
      </c>
      <c r="E66" s="77" t="str">
        <f t="shared" si="1"/>
        <v>"[BASE CODE INTEGRITY RULE - STRICT] Code outside the TODO block MUST be 100% valid, logically correct, and run without errors. Do NOT use 'pass', '...', or empty placeholders outside the TODO. | " &amp;</v>
      </c>
      <c r="F66" s="32" t="s">
        <v>224</v>
      </c>
    </row>
    <row r="67" spans="2:6">
      <c r="B67" s="54" t="s">
        <v>271</v>
      </c>
      <c r="C67" s="54" t="s">
        <v>374</v>
      </c>
      <c r="D67" s="92" t="s">
        <v>375</v>
      </c>
      <c r="E67" s="77" t="str">
        <f t="shared" si="1"/>
        <v>"[TODO REALISM RULE] TODO must represent realistic integration bugs. Describe what is incorrect/incomplete. | " &amp;</v>
      </c>
      <c r="F67" s="32" t="s">
        <v>224</v>
      </c>
    </row>
    <row r="68" spans="2:6">
      <c r="B68" s="54" t="s">
        <v>271</v>
      </c>
      <c r="C68" s="54" t="s">
        <v>355</v>
      </c>
      <c r="D68" s="92" t="s">
        <v>376</v>
      </c>
      <c r="E68" s="77" t="str">
        <f t="shared" si="1"/>
        <v>"[TODO ISOLATION RULE - STRICT] ALL missing, incorrect, or output-affecting logic MUST exist ONLY inside the TODO block. Replace ONLY integration logic. | " &amp;</v>
      </c>
      <c r="F68" s="32" t="s">
        <v>224</v>
      </c>
    </row>
    <row r="69" spans="2:6">
      <c r="B69" s="54" t="s">
        <v>271</v>
      </c>
      <c r="C69" s="54" t="s">
        <v>303</v>
      </c>
      <c r="D69" s="92" t="s">
        <v>357</v>
      </c>
      <c r="E69" s="77" t="str">
        <f t="shared" si="1"/>
        <v>"[NO SOLUTION RULE - STRICT] The code under the # TODO MUST be left empty or with a 'pass'. DO NOT write the actual solution. | " &amp;</v>
      </c>
      <c r="F69" s="32" t="s">
        <v>224</v>
      </c>
    </row>
    <row r="70" spans="2:6">
      <c r="B70" s="54" t="s">
        <v>271</v>
      </c>
      <c r="C70" s="54" t="s">
        <v>216</v>
      </c>
      <c r="D70" s="92" t="s">
        <v>377</v>
      </c>
      <c r="E70" s="77" t="str">
        <f t="shared" si="1"/>
        <v>"[OUTPUT] Only header, dataset summary or statement (if any), intro message, objective, expected output, incomplete code, and footer | " &amp;</v>
      </c>
      <c r="F70" s="32" t="s">
        <v>224</v>
      </c>
    </row>
    <row r="71" spans="2:6">
      <c r="B71" s="54" t="s">
        <v>271</v>
      </c>
      <c r="C71" s="54" t="s">
        <v>220</v>
      </c>
      <c r="D71" s="92" t="s">
        <v>378</v>
      </c>
      <c r="E71" s="77" t="str">
        <f t="shared" si="1"/>
        <v>"[FOOTER RULE - STRICT] End your entire response EXACTLY with this markdown string (ensure all code blocks are closed before it):" &amp; CHAR(10) &amp; "---" &amp; CHAR(10) &amp; "⚡ *Coding5s System - Learn Programming by Writing Code - Coding5S.com*")</v>
      </c>
      <c r="F71" s="32" t="s">
        <v>224</v>
      </c>
    </row>
    <row r="72" spans="2:6">
      <c r="B72" s="54"/>
      <c r="C72" s="54"/>
      <c r="D72" s="92"/>
      <c r="E72" s="77" t="str">
        <f t="shared" si="1"/>
        <v/>
      </c>
      <c r="F72" s="32" t="s">
        <v>224</v>
      </c>
    </row>
    <row r="73" spans="2:6">
      <c r="B73" s="54"/>
      <c r="C73" s="54"/>
      <c r="D73" s="92"/>
      <c r="E73" s="77" t="str">
        <f t="shared" si="1"/>
        <v/>
      </c>
      <c r="F73" s="32" t="s">
        <v>224</v>
      </c>
    </row>
    <row r="74" spans="2:6">
      <c r="B74" s="54"/>
      <c r="C74" s="54"/>
      <c r="D74" s="92"/>
      <c r="E74" s="77" t="str">
        <f t="shared" si="1"/>
        <v/>
      </c>
      <c r="F74" s="32" t="s">
        <v>224</v>
      </c>
    </row>
    <row r="75" spans="2:6">
      <c r="B75" s="54"/>
      <c r="C75" s="54"/>
      <c r="D75" s="92"/>
      <c r="E75" s="77" t="str">
        <f t="shared" si="1"/>
        <v/>
      </c>
      <c r="F75" s="32" t="s">
        <v>224</v>
      </c>
    </row>
    <row r="76" spans="2:6">
      <c r="B76" s="54"/>
      <c r="C76" s="54"/>
      <c r="D76" s="92"/>
      <c r="E76" s="77" t="str">
        <f t="shared" si="1"/>
        <v/>
      </c>
      <c r="F76" s="32" t="s">
        <v>224</v>
      </c>
    </row>
    <row r="77" spans="2:6">
      <c r="E77" s="86"/>
      <c r="F77" t="s">
        <v>224</v>
      </c>
    </row>
    <row r="79" spans="2:6" ht="36">
      <c r="B79" s="80" t="s">
        <v>439</v>
      </c>
    </row>
    <row r="80" spans="2:6">
      <c r="B80" s="76" t="s">
        <v>221</v>
      </c>
      <c r="C80" s="76" t="s">
        <v>577</v>
      </c>
      <c r="D80" s="76" t="s">
        <v>578</v>
      </c>
      <c r="E80" s="89" t="s">
        <v>234</v>
      </c>
      <c r="F80" s="54" t="s">
        <v>224</v>
      </c>
    </row>
    <row r="81" spans="2:6">
      <c r="B81" s="54" t="s">
        <v>222</v>
      </c>
      <c r="C81" s="54" t="s">
        <v>380</v>
      </c>
      <c r="D81" s="92" t="s">
        <v>381</v>
      </c>
      <c r="E81" s="17" t="str">
        <f t="shared" ref="E81:E95" si="2">IF(D81="","",""""&amp;C81&amp;" "&amp;IF(OR(C81="[FOOTER RULE - STRICT]",C81="[FOOTER RULE]"),D81,IF(RIGHT(D81,6)=" | "&amp;CHAR(34)&amp;" &amp;",D81,D81&amp;" | "&amp;CHAR(34)&amp;" &amp;")))</f>
        <v>"[MENTOR_S3_BUILDER] 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v>
      </c>
      <c r="F81" s="54" t="s">
        <v>224</v>
      </c>
    </row>
    <row r="82" spans="2:6">
      <c r="B82" s="54" t="s">
        <v>222</v>
      </c>
      <c r="C82" s="54" t="s">
        <v>236</v>
      </c>
      <c r="D82" s="92" t="s">
        <v>382</v>
      </c>
      <c r="E82" s="17" t="str">
        <f t="shared" si="2"/>
        <v>"[CULTURAL &amp; JARGON RULE] 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v>
      </c>
      <c r="F82" s="54" t="s">
        <v>224</v>
      </c>
    </row>
    <row r="83" spans="2:6">
      <c r="B83" s="54" t="s">
        <v>222</v>
      </c>
      <c r="C83" s="54" t="s">
        <v>237</v>
      </c>
      <c r="D83" s="92" t="s">
        <v>712</v>
      </c>
      <c r="E83" s="17" t="str">
        <f t="shared" si="2"/>
        <v>"[CONTEXT] You are helping a Junior Developer complete a " &amp; IF(UPPER(H9)="PROJECT", "PROJECT: " &amp; I9 &amp; ". Topics involved: " &amp; A9 &amp; ". Project objective: " &amp; J9, "TOPIC: " &amp; I9 &amp; ". Topic details: " &amp; J9) &amp; " | " &amp;</v>
      </c>
      <c r="F83" s="54" t="s">
        <v>224</v>
      </c>
    </row>
    <row r="84" spans="2:6">
      <c r="B84" s="54" t="s">
        <v>222</v>
      </c>
      <c r="C84" s="54" t="s">
        <v>162</v>
      </c>
      <c r="D84" s="92" t="s">
        <v>383</v>
      </c>
      <c r="E84" s="17" t="str">
        <f t="shared" si="2"/>
        <v>"[TASK] Analyze the student's code and explanation. If they completed the data flow perfectly, celebrate the 'solid foundation' and offer a 'System Extension' challenge. Otherwise, follow the 2-PHASE MENTORING PROTOCOL | " &amp;</v>
      </c>
      <c r="F84" s="54" t="s">
        <v>224</v>
      </c>
    </row>
    <row r="85" spans="2:6">
      <c r="B85" s="54" t="s">
        <v>222</v>
      </c>
      <c r="C85" s="54" t="s">
        <v>229</v>
      </c>
      <c r="D85" s="92" t="s">
        <v>267</v>
      </c>
      <c r="E85" s="17" t="str">
        <f t="shared" si="2"/>
        <v>"[LIBRARY BEING LEARNED] " &amp; $I$3 &amp; " | " &amp;</v>
      </c>
      <c r="F85" s="54" t="s">
        <v>224</v>
      </c>
    </row>
    <row r="86" spans="2:6">
      <c r="B86" s="54" t="s">
        <v>222</v>
      </c>
      <c r="C86" s="54" t="s">
        <v>172</v>
      </c>
      <c r="D86" s="92"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2" t="s">
        <v>481</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2" t="s">
        <v>587</v>
      </c>
      <c r="E88" s="17" t="str">
        <f t="shared" si="2"/>
        <v>"[HEADER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v>
      </c>
      <c r="F88" s="54" t="s">
        <v>224</v>
      </c>
    </row>
    <row r="89" spans="2:6">
      <c r="B89" s="54" t="s">
        <v>223</v>
      </c>
      <c r="C89" s="54" t="s">
        <v>230</v>
      </c>
      <c r="D89" s="92"/>
      <c r="E89" s="17" t="str">
        <f t="shared" si="2"/>
        <v/>
      </c>
      <c r="F89" s="54" t="s">
        <v>224</v>
      </c>
    </row>
    <row r="90" spans="2:6">
      <c r="B90" s="54" t="s">
        <v>223</v>
      </c>
      <c r="C90" s="32" t="s">
        <v>728</v>
      </c>
      <c r="D90" s="92" t="str">
        <f>Variables!E52 &amp; " " &amp; Variables!E53 &amp; " " &amp; Variables!E54 &amp; " " &amp; Variables!E55 &amp; " | " &amp; CHAR(34) &amp; " &amp;"</f>
        <v>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 &amp;</v>
      </c>
      <c r="E90" s="17" t="str">
        <f t="shared" si="2"/>
        <v>"[CORE_QUALITY_POLICY]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OOP code with 2-space indentation. Enforce Minimal Intervention Rule and NO KEYBOARD rule in Phase 1. Reject loose procedural code outside classes. Enforce explicit encapsulation (use private '_properties') and correct 'this' usage. | " &amp;</v>
      </c>
      <c r="F90" s="54" t="s">
        <v>224</v>
      </c>
    </row>
    <row r="91" spans="2:6">
      <c r="B91" s="54" t="s">
        <v>271</v>
      </c>
      <c r="C91" s="54" t="s">
        <v>238</v>
      </c>
      <c r="D91" s="92" t="s">
        <v>384</v>
      </c>
      <c r="E91" s="17" t="str">
        <f t="shared" si="2"/>
        <v>"[EMPTY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v>
      </c>
      <c r="F91" s="54" t="s">
        <v>224</v>
      </c>
    </row>
    <row r="92" spans="2:6">
      <c r="B92" s="54" t="s">
        <v>271</v>
      </c>
      <c r="C92" s="54" t="s">
        <v>240</v>
      </c>
      <c r="D92" s="92" t="s">
        <v>385</v>
      </c>
      <c r="E92" s="17" t="str">
        <f t="shared" si="2"/>
        <v>"[PHASE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v>
      </c>
      <c r="F92" s="54" t="s">
        <v>224</v>
      </c>
    </row>
    <row r="93" spans="2:6">
      <c r="B93" s="54" t="s">
        <v>271</v>
      </c>
      <c r="C93" s="54" t="s">
        <v>241</v>
      </c>
      <c r="D93" s="92" t="s">
        <v>386</v>
      </c>
      <c r="E93" s="17" t="str">
        <f t="shared" si="2"/>
        <v>"[EXPLANATION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v>
      </c>
      <c r="F93" s="54" t="s">
        <v>224</v>
      </c>
    </row>
    <row r="94" spans="2:6">
      <c r="B94" s="54" t="s">
        <v>271</v>
      </c>
      <c r="C94" s="54" t="s">
        <v>244</v>
      </c>
      <c r="D94" s="92" t="s">
        <v>387</v>
      </c>
      <c r="E94" s="17" t="str">
        <f t="shared" si="2"/>
        <v>"[PHASE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v>
      </c>
      <c r="F94" s="54" t="s">
        <v>224</v>
      </c>
    </row>
    <row r="95" spans="2:6">
      <c r="B95" s="54" t="s">
        <v>271</v>
      </c>
      <c r="C95" s="54" t="s">
        <v>328</v>
      </c>
      <c r="D95" s="92" t="s">
        <v>388</v>
      </c>
      <c r="E95" s="17" t="str">
        <f t="shared" si="2"/>
        <v>"[FOOTER RULE] End your response with: '--- ⚡ *Coding5s Mentor System — Eliminating Epistemic Debt &amp; Connecting the Flow*',</v>
      </c>
      <c r="F95" s="54" t="s">
        <v>224</v>
      </c>
    </row>
    <row r="96" spans="2:6">
      <c r="B96" s="54"/>
      <c r="C96" s="54"/>
      <c r="D96" s="54"/>
      <c r="E96" s="89" t="s">
        <v>334</v>
      </c>
      <c r="F96" s="54" t="s">
        <v>224</v>
      </c>
    </row>
    <row r="97" spans="2:6">
      <c r="B97" s="54"/>
      <c r="C97" s="54"/>
      <c r="D97" s="54"/>
      <c r="E97" s="77" t="str">
        <f t="shared" ref="E97:E100" si="3">IF(D97="","",""""&amp;C97&amp;" "&amp;IF(C97="[FOOTER RULE - STRICT]",D97,IF(RIGHT(D97,6)=" | "&amp;CHAR(34)&amp;" &amp;",D97,D97&amp;" | "&amp;CHAR(34)&amp;" &amp;")))</f>
        <v/>
      </c>
      <c r="F97" s="54" t="s">
        <v>224</v>
      </c>
    </row>
    <row r="98" spans="2:6">
      <c r="B98" s="54"/>
      <c r="C98" s="54"/>
      <c r="D98" s="54"/>
      <c r="E98" s="77" t="str">
        <f t="shared" si="3"/>
        <v/>
      </c>
      <c r="F98" s="54" t="s">
        <v>224</v>
      </c>
    </row>
    <row r="99" spans="2:6">
      <c r="B99" s="54"/>
      <c r="C99" s="54"/>
      <c r="D99" s="54"/>
      <c r="E99" s="77" t="str">
        <f t="shared" si="3"/>
        <v/>
      </c>
      <c r="F99" s="54" t="s">
        <v>224</v>
      </c>
    </row>
    <row r="100" spans="2:6">
      <c r="B100" s="54"/>
      <c r="C100" s="54"/>
      <c r="D100" s="54"/>
      <c r="E100" s="77" t="str">
        <f t="shared" si="3"/>
        <v/>
      </c>
      <c r="F100" s="54" t="s">
        <v>224</v>
      </c>
    </row>
  </sheetData>
  <conditionalFormatting sqref="B1:B1048576">
    <cfRule type="cellIs" dxfId="32" priority="10" operator="equal">
      <formula>"The Immutable Kernel"</formula>
    </cfRule>
    <cfRule type="cellIs" dxfId="31" priority="11" operator="equal">
      <formula>"Paradigm &amp; Ecosystem"</formula>
    </cfRule>
    <cfRule type="cellIs" dxfId="30" priority="12" operator="equal">
      <formula>"Global Variables &amp; Configuration"</formula>
    </cfRule>
  </conditionalFormatting>
  <conditionalFormatting sqref="C4:C42 C47:C76">
    <cfRule type="expression" dxfId="29" priority="7">
      <formula>$B4="The Immutable Kernel"</formula>
    </cfRule>
    <cfRule type="expression" dxfId="28" priority="8">
      <formula>$B4="Paradigm &amp; Ecosystem"</formula>
    </cfRule>
    <cfRule type="expression" dxfId="27" priority="9">
      <formula>$B4="Global Variables &amp; Configuration"</formula>
    </cfRule>
  </conditionalFormatting>
  <conditionalFormatting sqref="C81:C100">
    <cfRule type="expression" dxfId="26" priority="1">
      <formula>$B81="The Immutable Kernel"</formula>
    </cfRule>
    <cfRule type="expression" dxfId="25" priority="2">
      <formula>$B81="Paradigm &amp; Ecosystem"</formula>
    </cfRule>
    <cfRule type="expression" dxfId="24" priority="3">
      <formula>$B81="Global Variables &amp; Configuration"</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2F814-CC28-465C-954B-342AA4B9A726}">
  <sheetPr>
    <tabColor theme="9" tint="0.79998168889431442"/>
  </sheetPr>
  <dimension ref="B2:AC100"/>
  <sheetViews>
    <sheetView showGridLines="0" topLeftCell="A79" zoomScaleNormal="100" workbookViewId="0">
      <selection activeCell="E80" sqref="E80:E97"/>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438</v>
      </c>
      <c r="D2" s="81" t="s">
        <v>411</v>
      </c>
      <c r="H2" s="82"/>
      <c r="T2" s="82"/>
    </row>
    <row r="3" spans="2:29">
      <c r="B3" s="76" t="s">
        <v>221</v>
      </c>
      <c r="C3" s="76" t="s">
        <v>577</v>
      </c>
      <c r="D3" s="76" t="s">
        <v>578</v>
      </c>
      <c r="E3" s="88" t="s">
        <v>228</v>
      </c>
      <c r="F3" s="4" t="s">
        <v>224</v>
      </c>
      <c r="AC3" t="s">
        <v>224</v>
      </c>
    </row>
    <row r="4" spans="2:29">
      <c r="B4" s="75" t="s">
        <v>222</v>
      </c>
      <c r="C4" s="54" t="s">
        <v>160</v>
      </c>
      <c r="D4" s="90" t="s">
        <v>336</v>
      </c>
      <c r="E4" s="77" t="str">
        <f t="shared" ref="E4:E39" si="0">IF(D4="","",""""&amp;C4&amp;" "&amp;IF(C4="[FOOTER RULE - STRICT]",D4,IF(RIGHT(D4,6)=" | "&amp;CHAR(34)&amp;" &amp;",D4,D4&amp;" | "&amp;CHAR(34)&amp;" &amp;")))</f>
        <v>"[ROLE] Tech Lead | " &amp;</v>
      </c>
      <c r="F4" s="54" t="s">
        <v>224</v>
      </c>
    </row>
    <row r="5" spans="2:29">
      <c r="B5" s="75" t="s">
        <v>222</v>
      </c>
      <c r="C5" s="54" t="s">
        <v>162</v>
      </c>
      <c r="D5" s="90" t="s">
        <v>389</v>
      </c>
      <c r="E5" s="77" t="str">
        <f t="shared" si="0"/>
        <v>"[TASK] Provide intentionally messy but functional code for learning debugging and improvement | " &amp;</v>
      </c>
      <c r="F5" s="54" t="s">
        <v>224</v>
      </c>
    </row>
    <row r="6" spans="2:29">
      <c r="B6" s="75" t="s">
        <v>222</v>
      </c>
      <c r="C6" s="54" t="s">
        <v>164</v>
      </c>
      <c r="D6" s="90" t="s">
        <v>165</v>
      </c>
      <c r="E6" s="77" t="str">
        <f t="shared" si="0"/>
        <v>"[TOPIC] " &amp; I9 &amp; " | " &amp;</v>
      </c>
      <c r="F6" s="54" t="s">
        <v>224</v>
      </c>
    </row>
    <row r="7" spans="2:29">
      <c r="B7" s="75" t="s">
        <v>222</v>
      </c>
      <c r="C7" s="54" t="s">
        <v>166</v>
      </c>
      <c r="D7" s="90" t="s">
        <v>167</v>
      </c>
      <c r="E7" s="77" t="str">
        <f t="shared" si="0"/>
        <v>"[LEVEL] " &amp; G9 &amp; " | " &amp;</v>
      </c>
      <c r="F7" s="54" t="s">
        <v>224</v>
      </c>
    </row>
    <row r="8" spans="2:29">
      <c r="B8" s="75" t="s">
        <v>222</v>
      </c>
      <c r="C8" s="54" t="s">
        <v>168</v>
      </c>
      <c r="D8" s="90" t="s">
        <v>276</v>
      </c>
      <c r="E8" s="77" t="str">
        <f t="shared" si="0"/>
        <v>"[COUNT] " &amp; D9 &amp; " challenges | " &amp;</v>
      </c>
      <c r="F8" s="54" t="s">
        <v>224</v>
      </c>
    </row>
    <row r="9" spans="2:29">
      <c r="B9" s="75" t="s">
        <v>222</v>
      </c>
      <c r="C9" s="54" t="s">
        <v>229</v>
      </c>
      <c r="D9" s="90" t="s">
        <v>267</v>
      </c>
      <c r="E9" s="77" t="str">
        <f t="shared" si="0"/>
        <v>"[LIBRARY BEING LEARNED] " &amp; $I$3 &amp; " | " &amp;</v>
      </c>
      <c r="F9" s="54" t="s">
        <v>224</v>
      </c>
    </row>
    <row r="10" spans="2:29">
      <c r="B10" s="75" t="s">
        <v>222</v>
      </c>
      <c r="C10" s="54" t="s">
        <v>225</v>
      </c>
      <c r="D10" s="90" t="str">
        <f>"If a module or ecosystem like "&amp; Variables!E6 &amp;" is specified in "&amp; Variables!E7 &amp;", you are CRITICALLY FORBIDDEN from using "&amp; Variables!E8 &amp;". You MUST enforce the "&amp; Variables!E9 &amp;" and data structures of that specific library."</f>
        <v>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v>
      </c>
      <c r="E10" s="77" t="str">
        <f t="shared" si="0"/>
        <v>"[ECOSYSTEM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 &amp;</v>
      </c>
      <c r="F10" s="54" t="s">
        <v>224</v>
      </c>
    </row>
    <row r="11" spans="2:29">
      <c r="B11" s="75" t="s">
        <v>222</v>
      </c>
      <c r="C11" s="54" t="s">
        <v>170</v>
      </c>
      <c r="D11" s="90" t="s">
        <v>390</v>
      </c>
      <c r="E11" s="77" t="str">
        <f t="shared" si="0"/>
        <v>"[PERSONA RULE] Act as a Tech Lead. A junior wrote this working but messy code. Tone: professional but exhausted by the code quality | " &amp;</v>
      </c>
      <c r="F11" s="54" t="s">
        <v>224</v>
      </c>
    </row>
    <row r="12" spans="2:29">
      <c r="B12" s="75" t="s">
        <v>222</v>
      </c>
      <c r="C12" s="54" t="s">
        <v>172</v>
      </c>
      <c r="D12" s="90" t="s">
        <v>391</v>
      </c>
      <c r="E12"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2" s="54" t="s">
        <v>224</v>
      </c>
    </row>
    <row r="13" spans="2:29">
      <c r="B13" s="75" t="s">
        <v>222</v>
      </c>
      <c r="C13" s="54" t="s">
        <v>215</v>
      </c>
      <c r="D13" s="90" t="s">
        <v>588</v>
      </c>
      <c r="E13" s="77" t="str">
        <f t="shared" si="0"/>
        <v>"[HEADER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v>
      </c>
      <c r="F13" s="54" t="s">
        <v>224</v>
      </c>
    </row>
    <row r="14" spans="2:29">
      <c r="B14" s="83" t="s">
        <v>222</v>
      </c>
      <c r="C14" s="54" t="s">
        <v>489</v>
      </c>
      <c r="D14" s="90" t="s">
        <v>481</v>
      </c>
      <c r="E14" s="77" t="str">
        <f t="shared" si="0"/>
        <v>"[LANGUAGE SEED CONTEXT] " &amp; IF($AE$7 = "", "Language Seed Not Necessary", "You MUST strictly follow this seed context to enhance, adapt, and naturalize your tone, vocabulary, and instructional quality in " &amp; $B$6 &amp; ": " &amp; $AE$7) &amp; " | " &amp;</v>
      </c>
      <c r="F14" s="54" t="s">
        <v>224</v>
      </c>
    </row>
    <row r="15" spans="2:29">
      <c r="B15" s="83" t="s">
        <v>223</v>
      </c>
      <c r="C15" s="54" t="s">
        <v>230</v>
      </c>
      <c r="D15" s="90"/>
      <c r="E15" s="77" t="str">
        <f t="shared" si="0"/>
        <v/>
      </c>
      <c r="F15" s="54" t="s">
        <v>224</v>
      </c>
    </row>
    <row r="16" spans="2:29">
      <c r="B16" s="83" t="s">
        <v>223</v>
      </c>
      <c r="C16" s="54" t="s">
        <v>230</v>
      </c>
      <c r="D16" s="90"/>
      <c r="E16" s="77" t="str">
        <f t="shared" si="0"/>
        <v/>
      </c>
      <c r="F16" s="54" t="s">
        <v>224</v>
      </c>
    </row>
    <row r="17" spans="2:6">
      <c r="B17" s="83" t="s">
        <v>223</v>
      </c>
      <c r="C17" s="54" t="s">
        <v>230</v>
      </c>
      <c r="D17" s="90"/>
      <c r="E17" s="77" t="str">
        <f t="shared" si="0"/>
        <v/>
      </c>
      <c r="F17" s="54" t="s">
        <v>224</v>
      </c>
    </row>
    <row r="18" spans="2:6">
      <c r="B18" s="54" t="s">
        <v>271</v>
      </c>
      <c r="C18" s="54" t="s">
        <v>180</v>
      </c>
      <c r="D18" s="90" t="s">
        <v>392</v>
      </c>
      <c r="E18" s="77" t="str">
        <f t="shared" si="0"/>
        <v>"[CODE QUALITY RULE] Code MUST be executable and correct BUT intentionally messy, inconsistent, or suboptimal | " &amp;</v>
      </c>
      <c r="F18" s="54" t="s">
        <v>224</v>
      </c>
    </row>
    <row r="19" spans="2:6">
      <c r="B19" s="54" t="s">
        <v>271</v>
      </c>
      <c r="C19" s="54" t="s">
        <v>393</v>
      </c>
      <c r="D19" s="90" t="s">
        <v>394</v>
      </c>
      <c r="E19" s="77" t="str">
        <f t="shared" si="0"/>
        <v>"[DIRTY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v>
      </c>
      <c r="F19" s="54" t="s">
        <v>224</v>
      </c>
    </row>
    <row r="20" spans="2:6">
      <c r="B20" s="54" t="s">
        <v>271</v>
      </c>
      <c r="C20" s="54" t="s">
        <v>395</v>
      </c>
      <c r="D20" s="90" t="s">
        <v>396</v>
      </c>
      <c r="E20" s="77" t="str">
        <f t="shared" si="0"/>
        <v>"[STYLE INCONSISTENCY RULE] Each challenge should feel like it was written at a different time with different formatting styles | " &amp;</v>
      </c>
      <c r="F20" s="54" t="s">
        <v>224</v>
      </c>
    </row>
    <row r="21" spans="2:6">
      <c r="B21" s="54" t="s">
        <v>271</v>
      </c>
      <c r="C21" s="54" t="s">
        <v>188</v>
      </c>
      <c r="D21" s="90" t="s">
        <v>660</v>
      </c>
      <c r="E21" s="77" t="str">
        <f t="shared" si="0"/>
        <v>"[FILE HANDLING RULE] Use correct loaders and enforce encoding='utf-8' and newline='' when applicable if the programming language supports it. | " &amp;</v>
      </c>
      <c r="F21" s="54" t="s">
        <v>224</v>
      </c>
    </row>
    <row r="22" spans="2:6">
      <c r="B22" s="54" t="s">
        <v>271</v>
      </c>
      <c r="C22" s="54" t="s">
        <v>189</v>
      </c>
      <c r="D22" s="90" t="s">
        <v>659</v>
      </c>
      <c r="E22" s="77" t="str">
        <f t="shared" si="0"/>
        <v>"[DATA TYPE RULE] Explicit casting required before calculations when the programming language requires it. | " &amp;</v>
      </c>
      <c r="F22" s="54" t="s">
        <v>224</v>
      </c>
    </row>
    <row r="23" spans="2:6">
      <c r="B23" s="54" t="s">
        <v>271</v>
      </c>
      <c r="C23" s="54" t="s">
        <v>190</v>
      </c>
      <c r="D23" s="90" t="s">
        <v>397</v>
      </c>
      <c r="E23" s="77" t="str">
        <f t="shared" si="0"/>
        <v>"[DATA ROBUSTNESS RULE] Handle missing, malformed, or inconsistent data safely | " &amp;</v>
      </c>
      <c r="F23" s="54" t="s">
        <v>224</v>
      </c>
    </row>
    <row r="24" spans="2:6">
      <c r="B24" s="54" t="s">
        <v>271</v>
      </c>
      <c r="C24" s="54" t="s">
        <v>191</v>
      </c>
      <c r="D24" s="90" t="s">
        <v>658</v>
      </c>
      <c r="E24" s="77" t="str">
        <f t="shared" si="0"/>
        <v>"[BOOLEAN HANDLING RULE] Normalize boolean values before comparison when the programming language requires it. | " &amp;</v>
      </c>
      <c r="F24" s="54" t="s">
        <v>224</v>
      </c>
    </row>
    <row r="25" spans="2:6">
      <c r="B25" s="54" t="s">
        <v>271</v>
      </c>
      <c r="C25" s="54" t="s">
        <v>192</v>
      </c>
      <c r="D25" s="90" t="s">
        <v>398</v>
      </c>
      <c r="E25" s="77" t="str">
        <f t="shared" si="0"/>
        <v>"[DATA CONSISTENCY RULE] Respect dataset schema | " &amp;</v>
      </c>
      <c r="F25" s="54" t="s">
        <v>224</v>
      </c>
    </row>
    <row r="26" spans="2:6">
      <c r="B26" s="54" t="s">
        <v>271</v>
      </c>
      <c r="C26" s="54" t="s">
        <v>207</v>
      </c>
      <c r="D26" s="90" t="s">
        <v>280</v>
      </c>
      <c r="E26" s="77" t="str">
        <f t="shared" si="0"/>
        <v>"[FORMAT RULE] Only valid markdown code blocks allowed | " &amp;</v>
      </c>
      <c r="F26" s="54" t="s">
        <v>224</v>
      </c>
    </row>
    <row r="27" spans="2:6">
      <c r="B27" s="54" t="s">
        <v>271</v>
      </c>
      <c r="C27" s="54" t="s">
        <v>209</v>
      </c>
      <c r="D27" s="90" t="s">
        <v>281</v>
      </c>
      <c r="E27" s="77" t="str">
        <f t="shared" si="0"/>
        <v>"[LANGUAGE TAG RULE] ALWAYS label markdown code blocks with the correct underlying programming language (e.g., python, javascript, sql) | " &amp;</v>
      </c>
      <c r="F27" s="54" t="s">
        <v>224</v>
      </c>
    </row>
    <row r="28" spans="2:6">
      <c r="B28" s="54" t="s">
        <v>271</v>
      </c>
      <c r="C28" s="54" t="s">
        <v>211</v>
      </c>
      <c r="D28" s="90" t="s">
        <v>399</v>
      </c>
      <c r="E28" s="77" t="str">
        <f t="shared" si="0"/>
        <v>"[OUTPUT FORMAT RULE] Monetary values formatted with '$', commas, 2 decimals | " &amp;</v>
      </c>
      <c r="F28" s="54" t="s">
        <v>224</v>
      </c>
    </row>
    <row r="29" spans="2:6">
      <c r="B29" s="54" t="s">
        <v>271</v>
      </c>
      <c r="C29" s="54" t="s">
        <v>216</v>
      </c>
      <c r="D29" s="90" t="s">
        <v>400</v>
      </c>
      <c r="E29" s="77" t="str">
        <f t="shared" si="0"/>
        <v>"[OUTPUT] Only header, dataset summary or statement (if any), intro, challenges, code, outputs, and footer | " &amp;</v>
      </c>
      <c r="F29" s="54" t="s">
        <v>224</v>
      </c>
    </row>
    <row r="30" spans="2:6">
      <c r="B30" s="54" t="s">
        <v>271</v>
      </c>
      <c r="C30" s="54" t="s">
        <v>174</v>
      </c>
      <c r="D30" s="90" t="s">
        <v>340</v>
      </c>
      <c r="E30" s="77" t="str">
        <f t="shared" si="0"/>
        <v>"[DATA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30" s="54" t="s">
        <v>224</v>
      </c>
    </row>
    <row r="31" spans="2:6">
      <c r="B31" s="54" t="s">
        <v>271</v>
      </c>
      <c r="C31" s="54" t="s">
        <v>175</v>
      </c>
      <c r="D31" s="90" t="s">
        <v>401</v>
      </c>
      <c r="E31" s="77" t="str">
        <f t="shared" si="0"/>
        <v>"[DATA SUMMARY FORMAT RULE] When a dataset is present, you MUST display IMMEDIATELY AFTER THE HEADER: Dataset Summary: - File Type: - Columns / Fields: - Data Types: - Notes: | " &amp;</v>
      </c>
      <c r="F31" s="54" t="s">
        <v>224</v>
      </c>
    </row>
    <row r="32" spans="2:6">
      <c r="B32" s="54" t="s">
        <v>271</v>
      </c>
      <c r="C32" s="54" t="s">
        <v>187</v>
      </c>
      <c r="D32" s="90" t="s">
        <v>402</v>
      </c>
      <c r="E32" s="77" t="str">
        <f t="shared" si="0"/>
        <v>"[INTRO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 | " &amp;</v>
      </c>
      <c r="F32" s="54" t="s">
        <v>224</v>
      </c>
    </row>
    <row r="33" spans="2:6">
      <c r="B33" s="54" t="s">
        <v>271</v>
      </c>
      <c r="C33" s="54" t="s">
        <v>177</v>
      </c>
      <c r="D33" s="90" t="s">
        <v>403</v>
      </c>
      <c r="E33" s="77" t="str">
        <f t="shared" si="0"/>
        <v>"[OUTPUT CONTRACT] 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v>
      </c>
      <c r="F33" s="54" t="s">
        <v>224</v>
      </c>
    </row>
    <row r="34" spans="2:6">
      <c r="B34" s="54" t="s">
        <v>271</v>
      </c>
      <c r="C34" s="54" t="s">
        <v>404</v>
      </c>
      <c r="D34" s="90" t="s">
        <v>405</v>
      </c>
      <c r="E34" s="77" t="str">
        <f t="shared" si="0"/>
        <v>"[REVIEW INTENT RULE] The user is expected to review, identify issues, and refactor the code to production-level quality | " &amp;</v>
      </c>
      <c r="F34" s="54" t="s">
        <v>224</v>
      </c>
    </row>
    <row r="35" spans="2:6">
      <c r="B35" s="54" t="s">
        <v>271</v>
      </c>
      <c r="C35" s="54" t="s">
        <v>178</v>
      </c>
      <c r="D35" s="90" t="s">
        <v>406</v>
      </c>
      <c r="E35" s="77" t="str">
        <f t="shared" si="0"/>
        <v>"[CODE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v>
      </c>
      <c r="F35" s="54" t="s">
        <v>224</v>
      </c>
    </row>
    <row r="36" spans="2:6">
      <c r="B36" s="54" t="s">
        <v>271</v>
      </c>
      <c r="C36" s="54" t="s">
        <v>194</v>
      </c>
      <c r="D36" s="90" t="s">
        <v>407</v>
      </c>
      <c r="E36" s="77" t="str">
        <f t="shared" si="0"/>
        <v>"[SUPPORT FILES RULE] If env/config is used, include: 1. Instructional sentence 2. File content in markdown code block 3. BEFORE the main code | " &amp;</v>
      </c>
      <c r="F36" s="54" t="s">
        <v>224</v>
      </c>
    </row>
    <row r="37" spans="2:6">
      <c r="B37" s="54" t="s">
        <v>271</v>
      </c>
      <c r="C37" s="54" t="s">
        <v>195</v>
      </c>
      <c r="D37" s="90" t="s">
        <v>408</v>
      </c>
      <c r="E37" s="77" t="str">
        <f t="shared" si="0"/>
        <v>"[DIFFICULTY RULE] Complexity MUST match level | " &amp;</v>
      </c>
      <c r="F37" s="54" t="s">
        <v>224</v>
      </c>
    </row>
    <row r="38" spans="2:6">
      <c r="B38" s="54" t="s">
        <v>271</v>
      </c>
      <c r="C38" s="54" t="s">
        <v>409</v>
      </c>
      <c r="D38" s="90" t="s">
        <v>410</v>
      </c>
      <c r="E38" s="77" t="str">
        <f t="shared" si="0"/>
        <v>"[DIFFICULTY CONSISTENCY RULE] All challenges MUST have similar complexity and length, even if coding styles differ | " &amp;</v>
      </c>
      <c r="F38" s="54" t="s">
        <v>224</v>
      </c>
    </row>
    <row r="39" spans="2:6">
      <c r="B39" s="54" t="s">
        <v>271</v>
      </c>
      <c r="C39" s="54" t="s">
        <v>220</v>
      </c>
      <c r="D39" s="90" t="s">
        <v>364</v>
      </c>
      <c r="E39" s="77" t="str">
        <f t="shared" si="0"/>
        <v>"[FOOTER RULE - STRICT] End your entire response EXACTLY with this markdown string (ensure all code blocks are closed before it):" &amp; CHAR(10) &amp; "---" &amp; CHAR(10) &amp; "⚡ *Coding5s System - Learn Programming by Writing Code - Coding5S.com*",</v>
      </c>
      <c r="F39" s="54" t="s">
        <v>224</v>
      </c>
    </row>
    <row r="40" spans="2:6">
      <c r="B40" s="54"/>
      <c r="C40" s="54"/>
      <c r="D40" s="90"/>
      <c r="E40" s="88" t="s">
        <v>412</v>
      </c>
      <c r="F40" s="54" t="s">
        <v>224</v>
      </c>
    </row>
    <row r="41" spans="2:6">
      <c r="B41" s="54"/>
      <c r="C41" s="54"/>
      <c r="D41" s="90"/>
      <c r="E41" s="77"/>
      <c r="F41" s="54"/>
    </row>
    <row r="42" spans="2:6">
      <c r="B42" s="74"/>
      <c r="C42" s="74"/>
      <c r="E42" s="86"/>
    </row>
    <row r="43" spans="2:6">
      <c r="B43" s="74"/>
      <c r="C43" s="74"/>
      <c r="E43" s="86"/>
    </row>
    <row r="44" spans="2:6" ht="36">
      <c r="B44" s="79" t="s">
        <v>437</v>
      </c>
      <c r="C44" s="74"/>
      <c r="E44" s="86"/>
    </row>
    <row r="45" spans="2:6">
      <c r="B45" s="76" t="s">
        <v>264</v>
      </c>
      <c r="C45" s="76" t="s">
        <v>577</v>
      </c>
      <c r="D45" s="76" t="s">
        <v>578</v>
      </c>
      <c r="E45" s="88" t="s">
        <v>265</v>
      </c>
      <c r="F45" s="32" t="s">
        <v>224</v>
      </c>
    </row>
    <row r="46" spans="2:6">
      <c r="B46" s="54" t="s">
        <v>222</v>
      </c>
      <c r="C46" s="54" t="s">
        <v>160</v>
      </c>
      <c r="D46" s="90" t="s">
        <v>336</v>
      </c>
      <c r="E46" s="77" t="str">
        <f>IF(D46="","",""""&amp;C46&amp;" "&amp;IF(C46="[FOOTER RULE - STRICT]",D46,IF(RIGHT(D46,6)=" | "&amp;CHAR(34)&amp;" &amp;",D46,D46&amp;" | "&amp;CHAR(34)&amp;" &amp;")))</f>
        <v>"[ROLE] Tech Lead | " &amp;</v>
      </c>
      <c r="F46" s="32" t="s">
        <v>224</v>
      </c>
    </row>
    <row r="47" spans="2:6">
      <c r="B47" s="54" t="s">
        <v>222</v>
      </c>
      <c r="C47" s="54" t="s">
        <v>162</v>
      </c>
      <c r="D47" s="90" t="s">
        <v>413</v>
      </c>
      <c r="E47" s="77" t="str">
        <f t="shared" ref="E47:E76" si="1">IF(D47="","",""""&amp;C47&amp;" "&amp;IF(C47="[FOOTER RULE - STRICT]",D47,IF(RIGHT(D47,6)=" | "&amp;CHAR(34)&amp;" &amp;",D47,D47&amp;" | "&amp;CHAR(34)&amp;" &amp;")))</f>
        <v>"[TASK] Provide a messy but functional project for refactoring | " &amp;</v>
      </c>
      <c r="F47" s="32" t="s">
        <v>224</v>
      </c>
    </row>
    <row r="48" spans="2:6">
      <c r="B48" s="54" t="s">
        <v>222</v>
      </c>
      <c r="C48" s="54" t="s">
        <v>311</v>
      </c>
      <c r="D48" s="90" t="s">
        <v>165</v>
      </c>
      <c r="E48" s="77" t="str">
        <f t="shared" si="1"/>
        <v>"[PROJECT] " &amp; I9 &amp; " | " &amp;</v>
      </c>
      <c r="F48" s="32" t="s">
        <v>224</v>
      </c>
    </row>
    <row r="49" spans="2:6">
      <c r="B49" s="54" t="s">
        <v>222</v>
      </c>
      <c r="C49" s="54" t="s">
        <v>253</v>
      </c>
      <c r="D49" s="90" t="s">
        <v>709</v>
      </c>
      <c r="E49" s="77" t="str">
        <f t="shared" si="1"/>
        <v>"[TOPICS USED] " &amp; A9 &amp; " | " &amp;</v>
      </c>
      <c r="F49" s="32" t="s">
        <v>224</v>
      </c>
    </row>
    <row r="50" spans="2:6">
      <c r="B50" s="54" t="s">
        <v>222</v>
      </c>
      <c r="C50" s="54" t="s">
        <v>166</v>
      </c>
      <c r="D50" s="90" t="s">
        <v>167</v>
      </c>
      <c r="E50" s="77" t="str">
        <f t="shared" si="1"/>
        <v>"[LEVEL] " &amp; G9 &amp; " | " &amp;</v>
      </c>
      <c r="F50" s="32" t="s">
        <v>224</v>
      </c>
    </row>
    <row r="51" spans="2:6">
      <c r="B51" s="54" t="s">
        <v>222</v>
      </c>
      <c r="C51" s="54" t="s">
        <v>170</v>
      </c>
      <c r="D51" s="90" t="s">
        <v>414</v>
      </c>
      <c r="E51" s="77" t="str">
        <f t="shared" si="1"/>
        <v>"[PERSONA RULE] Act as a Tech Lead. A junior wrote this working but messy code. Tone: professional but exhausted | " &amp;</v>
      </c>
      <c r="F51" s="32" t="s">
        <v>224</v>
      </c>
    </row>
    <row r="52" spans="2:6">
      <c r="B52" s="54" t="s">
        <v>222</v>
      </c>
      <c r="C52" s="54" t="s">
        <v>215</v>
      </c>
      <c r="D52" s="90" t="s">
        <v>589</v>
      </c>
      <c r="E52" s="77" t="str">
        <f t="shared" si="1"/>
        <v>"[HEADER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v>
      </c>
      <c r="F52" s="32" t="s">
        <v>224</v>
      </c>
    </row>
    <row r="53" spans="2:6">
      <c r="B53" s="54" t="s">
        <v>222</v>
      </c>
      <c r="C53" s="54" t="s">
        <v>229</v>
      </c>
      <c r="D53" s="90" t="s">
        <v>267</v>
      </c>
      <c r="E53" s="77" t="str">
        <f t="shared" si="1"/>
        <v>"[LIBRARY BEING LEARNED] " &amp; $I$3 &amp; " | " &amp;</v>
      </c>
      <c r="F53" s="32" t="s">
        <v>224</v>
      </c>
    </row>
    <row r="54" spans="2:6">
      <c r="B54" s="75" t="s">
        <v>222</v>
      </c>
      <c r="C54" s="54" t="s">
        <v>225</v>
      </c>
      <c r="D54" s="90" t="str">
        <f>"If a module or ecosystem like "&amp; Variables!E6 &amp;" is specified in "&amp; Variables!E7 &amp;", you are CRITICALLY FORBIDDEN from using "&amp; Variables!E8 &amp;". You MUST enforce the "&amp; Variables!E9 &amp;" and data structures of that specific library."</f>
        <v>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v>
      </c>
      <c r="E54" s="77"/>
      <c r="F54" s="32" t="s">
        <v>224</v>
      </c>
    </row>
    <row r="55" spans="2:6">
      <c r="B55" s="54" t="s">
        <v>222</v>
      </c>
      <c r="C55" s="54" t="s">
        <v>172</v>
      </c>
      <c r="D55" s="90" t="s">
        <v>254</v>
      </c>
      <c r="E55"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489</v>
      </c>
      <c r="D56" s="90" t="s">
        <v>481</v>
      </c>
      <c r="E56" s="77" t="str">
        <f t="shared" si="1"/>
        <v>"[LANGUAGE SEED CONTEXT] " &amp; IF($AE$7 = "", "Language Seed Not Necessary", "You MUST strictly follow this seed context to enhance, adapt, and naturalize your tone, vocabulary, and instructional quality in " &amp; $B$6 &amp; ": " &amp; $AE$7) &amp; " | " &amp;</v>
      </c>
      <c r="F56" s="32" t="s">
        <v>224</v>
      </c>
    </row>
    <row r="57" spans="2:6">
      <c r="B57" s="54" t="s">
        <v>223</v>
      </c>
      <c r="C57" s="54" t="s">
        <v>230</v>
      </c>
      <c r="D57" s="90"/>
      <c r="E57" s="77" t="str">
        <f t="shared" si="1"/>
        <v/>
      </c>
      <c r="F57" s="32" t="s">
        <v>224</v>
      </c>
    </row>
    <row r="58" spans="2:6">
      <c r="B58" s="54" t="s">
        <v>223</v>
      </c>
      <c r="C58" s="54" t="s">
        <v>230</v>
      </c>
      <c r="D58" s="90"/>
      <c r="E58" s="77" t="str">
        <f t="shared" si="1"/>
        <v/>
      </c>
      <c r="F58" s="32" t="s">
        <v>224</v>
      </c>
    </row>
    <row r="59" spans="2:6">
      <c r="B59" s="54" t="s">
        <v>223</v>
      </c>
      <c r="C59" s="54" t="s">
        <v>230</v>
      </c>
      <c r="D59" s="90"/>
      <c r="E59" s="77" t="str">
        <f t="shared" si="1"/>
        <v/>
      </c>
      <c r="F59" s="32" t="s">
        <v>224</v>
      </c>
    </row>
    <row r="60" spans="2:6">
      <c r="B60" s="54" t="s">
        <v>271</v>
      </c>
      <c r="C60" s="54" t="s">
        <v>180</v>
      </c>
      <c r="D60" s="90" t="s">
        <v>415</v>
      </c>
      <c r="E60" s="77" t="str">
        <f t="shared" si="1"/>
        <v>"[CODE QUALITY RULE] Code MUST be correct and executable but not perfectly clean | " &amp;</v>
      </c>
      <c r="F60" s="32" t="s">
        <v>224</v>
      </c>
    </row>
    <row r="61" spans="2:6">
      <c r="B61" s="54" t="s">
        <v>271</v>
      </c>
      <c r="C61" s="54" t="s">
        <v>393</v>
      </c>
      <c r="D61" s="90" t="s">
        <v>416</v>
      </c>
      <c r="E61" s="77" t="str">
        <f t="shared" si="1"/>
        <v>"[DIRTY CODE RULE] Code MUST NOT include ANY comments and should include inconsistent naming, redundant logic, minor structural issues, and slightly messy organization while still remaining understandable as a complete working program | " &amp;</v>
      </c>
      <c r="F61" s="32" t="s">
        <v>224</v>
      </c>
    </row>
    <row r="62" spans="2:6">
      <c r="B62" s="54" t="s">
        <v>271</v>
      </c>
      <c r="C62" s="54" t="s">
        <v>190</v>
      </c>
      <c r="D62" s="90" t="s">
        <v>417</v>
      </c>
      <c r="E62" s="77" t="str">
        <f t="shared" si="1"/>
        <v>"[DATA ROBUSTNESS RULE] Handle real-world data safely | " &amp;</v>
      </c>
      <c r="F62" s="32" t="s">
        <v>224</v>
      </c>
    </row>
    <row r="63" spans="2:6">
      <c r="B63" s="54" t="s">
        <v>271</v>
      </c>
      <c r="C63" s="54" t="s">
        <v>207</v>
      </c>
      <c r="D63" s="90" t="s">
        <v>280</v>
      </c>
      <c r="E63" s="77" t="str">
        <f t="shared" si="1"/>
        <v>"[FORMAT RULE] Only valid markdown code blocks allowed | " &amp;</v>
      </c>
      <c r="F63" s="32" t="s">
        <v>224</v>
      </c>
    </row>
    <row r="64" spans="2:6">
      <c r="B64" s="54" t="s">
        <v>271</v>
      </c>
      <c r="C64" s="54" t="s">
        <v>209</v>
      </c>
      <c r="D64" s="90" t="s">
        <v>281</v>
      </c>
      <c r="E64" s="77" t="str">
        <f t="shared" si="1"/>
        <v>"[LANGUAGE TAG RULE] ALWAYS label markdown code blocks with the correct underlying programming language (e.g., python, javascript, sql) | " &amp;</v>
      </c>
      <c r="F64" s="32" t="s">
        <v>224</v>
      </c>
    </row>
    <row r="65" spans="2:6">
      <c r="B65" s="54" t="s">
        <v>271</v>
      </c>
      <c r="C65" s="54" t="s">
        <v>174</v>
      </c>
      <c r="D65" s="90" t="s">
        <v>418</v>
      </c>
      <c r="E65"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v>
      </c>
      <c r="F65" s="32" t="s">
        <v>224</v>
      </c>
    </row>
    <row r="66" spans="2:6">
      <c r="B66" s="54" t="s">
        <v>271</v>
      </c>
      <c r="C66" s="54" t="s">
        <v>187</v>
      </c>
      <c r="D66" s="90" t="s">
        <v>419</v>
      </c>
      <c r="E66" s="77" t="str">
        <f t="shared" si="1"/>
        <v>"[INTRO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v>
      </c>
      <c r="F66" s="32" t="s">
        <v>224</v>
      </c>
    </row>
    <row r="67" spans="2:6">
      <c r="B67" s="54" t="s">
        <v>271</v>
      </c>
      <c r="C67" s="54" t="s">
        <v>177</v>
      </c>
      <c r="D67" s="90" t="s">
        <v>420</v>
      </c>
      <c r="E67" s="77" t="str">
        <f t="shared" si="1"/>
        <v>"[OUTPUT CONTRACT] EXACTLY 1 project. Structure MUST be: 1. Tech Lead Intro Email 2. Project: Objective (max 6 lines), Expected Output (code block), Dirty Code | " &amp;</v>
      </c>
      <c r="F67" s="32" t="s">
        <v>224</v>
      </c>
    </row>
    <row r="68" spans="2:6">
      <c r="B68" s="54" t="s">
        <v>271</v>
      </c>
      <c r="C68" s="54" t="s">
        <v>404</v>
      </c>
      <c r="D68" s="90" t="s">
        <v>421</v>
      </c>
      <c r="E68" s="77" t="str">
        <f t="shared" si="1"/>
        <v>"[REVIEW INTENT RULE] The user is expected to review and refactor the project to improve structure, readability, and maintainability | " &amp;</v>
      </c>
      <c r="F68" s="32" t="s">
        <v>224</v>
      </c>
    </row>
    <row r="69" spans="2:6">
      <c r="B69" s="54" t="s">
        <v>271</v>
      </c>
      <c r="C69" s="54" t="s">
        <v>178</v>
      </c>
      <c r="D69" s="90" t="s">
        <v>422</v>
      </c>
      <c r="E69" s="77" t="str">
        <f t="shared" si="1"/>
        <v>"[CODE CONSTRAINTS] MUST be between " &amp; IF(G9="Beginner", "25–40", IF(G9="Intermediate", "30–60", "40–100")) &amp; " lines of EXECUTABLE code (STRICT: Do NOT count blank lines towards this limit) - Multi-step flow - NO classes - Code MUST run correctly BUT be slightly messy and contain NO comments | " &amp;</v>
      </c>
      <c r="F69" s="32" t="s">
        <v>224</v>
      </c>
    </row>
    <row r="70" spans="2:6">
      <c r="B70" s="54" t="s">
        <v>271</v>
      </c>
      <c r="C70" s="54" t="s">
        <v>194</v>
      </c>
      <c r="D70" s="90" t="s">
        <v>423</v>
      </c>
      <c r="E70" s="77" t="str">
        <f t="shared" si="1"/>
        <v>"[SUPPORT FILES RULE] Include config files before code if needed | " &amp;</v>
      </c>
      <c r="F70" s="32" t="s">
        <v>224</v>
      </c>
    </row>
    <row r="71" spans="2:6">
      <c r="B71" s="54" t="s">
        <v>271</v>
      </c>
      <c r="C71" s="54" t="s">
        <v>259</v>
      </c>
      <c r="D71" s="90" t="s">
        <v>424</v>
      </c>
      <c r="E71" s="77" t="str">
        <f t="shared" si="1"/>
        <v>"[EXECUTION RULE] Code MUST run and produce correct output | " &amp;</v>
      </c>
      <c r="F71" s="32" t="s">
        <v>224</v>
      </c>
    </row>
    <row r="72" spans="2:6">
      <c r="B72" s="54" t="s">
        <v>271</v>
      </c>
      <c r="C72" s="54" t="s">
        <v>212</v>
      </c>
      <c r="D72" s="90" t="s">
        <v>425</v>
      </c>
      <c r="E72" s="77" t="str">
        <f t="shared" si="1"/>
        <v>"[CONSISTENCY RULE] Project must match objective | " &amp;</v>
      </c>
      <c r="F72" s="32" t="s">
        <v>224</v>
      </c>
    </row>
    <row r="73" spans="2:6">
      <c r="B73" s="54" t="s">
        <v>271</v>
      </c>
      <c r="C73" s="54" t="s">
        <v>216</v>
      </c>
      <c r="D73" s="90" t="s">
        <v>426</v>
      </c>
      <c r="E73" s="77" t="str">
        <f t="shared" si="1"/>
        <v>"[OUTPUT] Only header, dataset summary or statement (if any), intro email, objective, expected output, code, and footer | " &amp;</v>
      </c>
      <c r="F73" s="32" t="s">
        <v>224</v>
      </c>
    </row>
    <row r="74" spans="2:6">
      <c r="B74" s="54" t="s">
        <v>271</v>
      </c>
      <c r="C74" s="54" t="s">
        <v>220</v>
      </c>
      <c r="D74" s="90" t="s">
        <v>378</v>
      </c>
      <c r="E74" s="77" t="str">
        <f t="shared" si="1"/>
        <v>"[FOOTER RULE - STRICT] End your entire response EXACTLY with this markdown string (ensure all code blocks are closed before it):" &amp; CHAR(10) &amp; "---" &amp; CHAR(10) &amp; "⚡ *Coding5s System - Learn Programming by Writing Code - Coding5S.com*")</v>
      </c>
      <c r="F74" s="32" t="s">
        <v>224</v>
      </c>
    </row>
    <row r="75" spans="2:6">
      <c r="B75" s="54"/>
      <c r="C75" s="54"/>
      <c r="D75" s="90"/>
      <c r="E75" s="77" t="str">
        <f t="shared" si="1"/>
        <v/>
      </c>
      <c r="F75" s="32" t="s">
        <v>224</v>
      </c>
    </row>
    <row r="76" spans="2:6">
      <c r="B76" s="54"/>
      <c r="C76" s="54"/>
      <c r="D76" s="90"/>
      <c r="E76" s="77" t="str">
        <f t="shared" si="1"/>
        <v/>
      </c>
      <c r="F76" s="32" t="s">
        <v>224</v>
      </c>
    </row>
    <row r="77" spans="2:6">
      <c r="E77" s="86"/>
      <c r="F77" t="s">
        <v>224</v>
      </c>
    </row>
    <row r="79" spans="2:6" ht="36">
      <c r="B79" s="80" t="s">
        <v>436</v>
      </c>
    </row>
    <row r="80" spans="2:6">
      <c r="B80" s="76" t="s">
        <v>221</v>
      </c>
      <c r="C80" s="76" t="s">
        <v>577</v>
      </c>
      <c r="D80" s="76" t="s">
        <v>578</v>
      </c>
      <c r="E80" s="89" t="s">
        <v>234</v>
      </c>
      <c r="F80" s="54" t="s">
        <v>224</v>
      </c>
    </row>
    <row r="81" spans="2:6">
      <c r="B81" s="54" t="s">
        <v>222</v>
      </c>
      <c r="C81" s="54" t="s">
        <v>427</v>
      </c>
      <c r="D81" s="90" t="s">
        <v>428</v>
      </c>
      <c r="E81" s="17" t="str">
        <f t="shared" ref="E81:E96" si="2">IF(D81="","",""""&amp;C81&amp;" "&amp;IF(OR(C81="[FOOTER RULE - STRICT]",C81="[FOOTER RULE]"),D81,IF(RIGHT(D81,6)=" | "&amp;CHAR(34)&amp;" &amp;",D81,D81&amp;" | "&amp;CHAR(34)&amp;" &amp;")))</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v>
      </c>
      <c r="F81" s="54" t="s">
        <v>224</v>
      </c>
    </row>
    <row r="82" spans="2:6">
      <c r="B82" s="54" t="s">
        <v>222</v>
      </c>
      <c r="C82" s="54" t="s">
        <v>236</v>
      </c>
      <c r="D82" s="90" t="s">
        <v>429</v>
      </c>
      <c r="E82" s="17" t="str">
        <f t="shared" si="2"/>
        <v>"[CULTURAL &amp; JARGON RULE] 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v>
      </c>
      <c r="F82" s="54" t="s">
        <v>224</v>
      </c>
    </row>
    <row r="83" spans="2:6">
      <c r="B83" s="54" t="s">
        <v>222</v>
      </c>
      <c r="C83" s="54" t="s">
        <v>237</v>
      </c>
      <c r="D83" s="90" t="s">
        <v>713</v>
      </c>
      <c r="E83" s="17" t="str">
        <f t="shared" si="2"/>
        <v>"[CONTEXT] You are performing a Code Review for a " &amp; IF(UPPER(H9)="PROJECT", "PROJECT: " &amp; I9 &amp; ". Topics involved: " &amp; A9 &amp; ". Project objective: " &amp; J9, "TOPIC: " &amp; I9 &amp; ". Topic details: " &amp; J9) &amp; " | " &amp;</v>
      </c>
      <c r="F83" s="54" t="s">
        <v>224</v>
      </c>
    </row>
    <row r="84" spans="2:6">
      <c r="B84" s="54" t="s">
        <v>222</v>
      </c>
      <c r="C84" s="54" t="s">
        <v>162</v>
      </c>
      <c r="D84" s="90" t="s">
        <v>430</v>
      </c>
      <c r="E84" s="17" t="str">
        <f t="shared" si="2"/>
        <v>"[TASK]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v>
      </c>
      <c r="F84" s="54" t="s">
        <v>224</v>
      </c>
    </row>
    <row r="85" spans="2:6">
      <c r="B85" s="54" t="s">
        <v>222</v>
      </c>
      <c r="C85" s="54" t="s">
        <v>229</v>
      </c>
      <c r="D85" s="90" t="s">
        <v>267</v>
      </c>
      <c r="E85" s="17" t="str">
        <f t="shared" si="2"/>
        <v>"[LIBRARY BEING LEARNED] " &amp; $I$3 &amp; " | " &amp;</v>
      </c>
      <c r="F85" s="54" t="s">
        <v>224</v>
      </c>
    </row>
    <row r="86" spans="2:6">
      <c r="B86" s="54" t="s">
        <v>222</v>
      </c>
      <c r="C86" s="54" t="s">
        <v>172</v>
      </c>
      <c r="D86" s="90"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0" t="s">
        <v>481</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0" t="s">
        <v>590</v>
      </c>
      <c r="E88" s="17" t="str">
        <f t="shared" si="2"/>
        <v>"[HEADER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v>
      </c>
      <c r="F88" s="54" t="s">
        <v>224</v>
      </c>
    </row>
    <row r="89" spans="2:6">
      <c r="B89" s="54" t="s">
        <v>223</v>
      </c>
      <c r="C89" s="54" t="s">
        <v>230</v>
      </c>
      <c r="D89" s="90"/>
      <c r="E89" s="17" t="str">
        <f t="shared" si="2"/>
        <v/>
      </c>
      <c r="F89" s="54" t="s">
        <v>224</v>
      </c>
    </row>
    <row r="90" spans="2:6">
      <c r="B90" s="54" t="s">
        <v>223</v>
      </c>
      <c r="C90" s="54" t="s">
        <v>230</v>
      </c>
      <c r="D90" s="90"/>
      <c r="E90" s="17" t="str">
        <f t="shared" si="2"/>
        <v/>
      </c>
      <c r="F90" s="54" t="s">
        <v>224</v>
      </c>
    </row>
    <row r="91" spans="2:6">
      <c r="B91" s="54" t="s">
        <v>223</v>
      </c>
      <c r="C91" s="54" t="s">
        <v>243</v>
      </c>
      <c r="D91" s="90" t="str">
        <f>Variables!E56 &amp; " | " &amp; CHAR(34) &amp; " &amp;"</f>
        <v>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 &amp;</v>
      </c>
      <c r="E91" s="17" t="str">
        <f t="shared" si="2"/>
        <v>"[PYTHON QUALITY RULE - STRICT] Code MUST adhere strictly to Effective Dart guidelines. Use PascalCase for Classes, camelCase for methods/variables, lowerCamelCase for constants, snake_case for files. Avoid global state; emphasize strong static typing, OOP patterns (encapsulation, mixins, factory constructors), and clean class architectures. | " &amp;</v>
      </c>
      <c r="F91" s="54" t="s">
        <v>224</v>
      </c>
    </row>
    <row r="92" spans="2:6">
      <c r="B92" s="54" t="s">
        <v>271</v>
      </c>
      <c r="C92" s="54" t="s">
        <v>238</v>
      </c>
      <c r="D92" s="90" t="s">
        <v>431</v>
      </c>
      <c r="E92" s="17" t="str">
        <f t="shared" si="2"/>
        <v>"[EMPTY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v>
      </c>
      <c r="F92" s="54" t="s">
        <v>224</v>
      </c>
    </row>
    <row r="93" spans="2:6">
      <c r="B93" s="54" t="s">
        <v>271</v>
      </c>
      <c r="C93" s="54" t="s">
        <v>240</v>
      </c>
      <c r="D93" s="90" t="s">
        <v>432</v>
      </c>
      <c r="E93" s="17" t="str">
        <f t="shared" si="2"/>
        <v>"[PHASE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v>
      </c>
      <c r="F93" s="54" t="s">
        <v>224</v>
      </c>
    </row>
    <row r="94" spans="2:6">
      <c r="B94" s="54" t="s">
        <v>271</v>
      </c>
      <c r="C94" s="54" t="s">
        <v>241</v>
      </c>
      <c r="D94" s="90" t="s">
        <v>433</v>
      </c>
      <c r="E94" s="17" t="str">
        <f t="shared" si="2"/>
        <v>"[EXPLANATION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v>
      </c>
      <c r="F94" s="54" t="s">
        <v>224</v>
      </c>
    </row>
    <row r="95" spans="2:6">
      <c r="B95" s="54" t="s">
        <v>271</v>
      </c>
      <c r="C95" s="54" t="s">
        <v>244</v>
      </c>
      <c r="D95" s="90" t="s">
        <v>434</v>
      </c>
      <c r="E95" s="17" t="str">
        <f t="shared" si="2"/>
        <v>"[PHASE 2: FULL SOLUTION - STRICT] 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v>
      </c>
      <c r="F95" s="54" t="s">
        <v>224</v>
      </c>
    </row>
    <row r="96" spans="2:6">
      <c r="B96" s="54" t="s">
        <v>271</v>
      </c>
      <c r="C96" s="54" t="s">
        <v>328</v>
      </c>
      <c r="D96" s="90" t="s">
        <v>498</v>
      </c>
      <c r="E96" s="17" t="str">
        <f t="shared" si="2"/>
        <v>"[FOOTER RULE] End your response with: '--- ⚡ *Coding5s Mentor System — Eliminating Technical Debt with Elegance*'",</v>
      </c>
      <c r="F96" s="54" t="s">
        <v>224</v>
      </c>
    </row>
    <row r="97" spans="2:6">
      <c r="B97" s="54"/>
      <c r="C97" s="54"/>
      <c r="D97" s="90"/>
      <c r="E97" s="88" t="s">
        <v>435</v>
      </c>
      <c r="F97" s="54" t="s">
        <v>224</v>
      </c>
    </row>
    <row r="98" spans="2:6">
      <c r="B98" s="54"/>
      <c r="C98" s="54"/>
      <c r="D98" s="90"/>
      <c r="E98" s="77" t="str">
        <f t="shared" ref="E98:E100" si="3">IF(D98="","",""""&amp;C98&amp;" "&amp;IF(C98="[FOOTER RULE - STRICT]",D98,IF(RIGHT(D98,6)=" | "&amp;CHAR(34)&amp;" &amp;",D98,D98&amp;" | "&amp;CHAR(34)&amp;" &amp;")))</f>
        <v/>
      </c>
      <c r="F98" s="54" t="s">
        <v>224</v>
      </c>
    </row>
    <row r="99" spans="2:6">
      <c r="B99" s="54"/>
      <c r="C99" s="54"/>
      <c r="D99" s="90"/>
      <c r="E99" s="77" t="str">
        <f t="shared" si="3"/>
        <v/>
      </c>
      <c r="F99" s="54" t="s">
        <v>224</v>
      </c>
    </row>
    <row r="100" spans="2:6">
      <c r="B100" s="54"/>
      <c r="C100" s="54"/>
      <c r="D100" s="90"/>
      <c r="E100" s="77" t="str">
        <f t="shared" si="3"/>
        <v/>
      </c>
      <c r="F100" s="54" t="s">
        <v>224</v>
      </c>
    </row>
  </sheetData>
  <conditionalFormatting sqref="B1:B1048576">
    <cfRule type="cellIs" dxfId="23" priority="13" operator="equal">
      <formula>"The Immutable Kernel"</formula>
    </cfRule>
    <cfRule type="cellIs" dxfId="22" priority="14" operator="equal">
      <formula>"Paradigm &amp; Ecosystem"</formula>
    </cfRule>
    <cfRule type="cellIs" dxfId="21" priority="15" operator="equal">
      <formula>"Global Variables &amp; Configuration"</formula>
    </cfRule>
  </conditionalFormatting>
  <conditionalFormatting sqref="C4:C41">
    <cfRule type="expression" dxfId="20" priority="10">
      <formula>$B4="The Immutable Kernel"</formula>
    </cfRule>
    <cfRule type="expression" dxfId="19" priority="11">
      <formula>$B4="Paradigm &amp; Ecosystem"</formula>
    </cfRule>
    <cfRule type="expression" dxfId="18" priority="12">
      <formula>$B4="Global Variables &amp; Configuration"</formula>
    </cfRule>
  </conditionalFormatting>
  <conditionalFormatting sqref="C46:C76">
    <cfRule type="expression" dxfId="17" priority="1">
      <formula>$B46="The Immutable Kernel"</formula>
    </cfRule>
    <cfRule type="expression" dxfId="16" priority="2">
      <formula>$B46="Paradigm &amp; Ecosystem"</formula>
    </cfRule>
    <cfRule type="expression" dxfId="15" priority="3">
      <formula>$B46="Global Variables &amp; Configuration"</formula>
    </cfRule>
  </conditionalFormatting>
  <conditionalFormatting sqref="C81:C100">
    <cfRule type="expression" dxfId="14" priority="4">
      <formula>$B81="The Immutable Kernel"</formula>
    </cfRule>
    <cfRule type="expression" dxfId="13" priority="5">
      <formula>$B81="Paradigm &amp; Ecosystem"</formula>
    </cfRule>
    <cfRule type="expression" dxfId="12" priority="6">
      <formula>$B81="Global Variables &amp; Configuration"</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25615-307B-4FE6-8E0D-5A0ED377C484}">
  <sheetPr>
    <tabColor theme="4" tint="0.79998168889431442"/>
  </sheetPr>
  <dimension ref="B2:AC100"/>
  <sheetViews>
    <sheetView showGridLines="0" topLeftCell="A73" zoomScaleNormal="100" workbookViewId="0">
      <selection activeCell="E80" sqref="E80:E96"/>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447</v>
      </c>
      <c r="D2" s="81" t="s">
        <v>448</v>
      </c>
      <c r="H2" s="82"/>
      <c r="T2" s="82"/>
    </row>
    <row r="3" spans="2:29">
      <c r="B3" s="76" t="s">
        <v>221</v>
      </c>
      <c r="C3" s="76" t="s">
        <v>577</v>
      </c>
      <c r="D3" s="76" t="s">
        <v>578</v>
      </c>
      <c r="E3" s="88" t="s">
        <v>228</v>
      </c>
      <c r="F3" s="4" t="s">
        <v>224</v>
      </c>
      <c r="AC3" t="s">
        <v>224</v>
      </c>
    </row>
    <row r="4" spans="2:29">
      <c r="B4" s="75" t="s">
        <v>222</v>
      </c>
      <c r="C4" s="54" t="s">
        <v>160</v>
      </c>
      <c r="D4" s="91" t="s">
        <v>451</v>
      </c>
      <c r="E4" s="77" t="str">
        <f t="shared" ref="E4:E41" si="0">IF(D4="","",""""&amp;C4&amp;" "&amp;IF(C4="[FOOTER RULE - STRICT]",D4,IF(RIGHT(D4,6)=" | "&amp;CHAR(34)&amp;" &amp;",D4,D4&amp;" | "&amp;CHAR(34)&amp;" &amp;")))</f>
        <v>"[ROLE] Tech Product Manager assigning a " &amp; $I$2 &amp; " Jira Ticket | " &amp;</v>
      </c>
      <c r="F4" s="54" t="s">
        <v>224</v>
      </c>
    </row>
    <row r="5" spans="2:29">
      <c r="B5" s="75" t="s">
        <v>222</v>
      </c>
      <c r="C5" s="54" t="s">
        <v>162</v>
      </c>
      <c r="D5" s="91" t="s">
        <v>452</v>
      </c>
      <c r="E5" s="77" t="str">
        <f t="shared" si="0"/>
        <v>"[TASK] Provide a guided implementation exercise with full solution for learning purposes | " &amp;</v>
      </c>
      <c r="F5" s="54" t="s">
        <v>224</v>
      </c>
    </row>
    <row r="6" spans="2:29">
      <c r="B6" s="75" t="s">
        <v>222</v>
      </c>
      <c r="C6" s="54" t="s">
        <v>164</v>
      </c>
      <c r="D6" s="91" t="s">
        <v>165</v>
      </c>
      <c r="E6" s="77" t="str">
        <f t="shared" si="0"/>
        <v>"[TOPIC] " &amp; I9 &amp; " | " &amp;</v>
      </c>
      <c r="F6" s="54" t="s">
        <v>224</v>
      </c>
    </row>
    <row r="7" spans="2:29">
      <c r="B7" s="75" t="s">
        <v>222</v>
      </c>
      <c r="C7" s="54" t="s">
        <v>166</v>
      </c>
      <c r="D7" s="91" t="s">
        <v>167</v>
      </c>
      <c r="E7" s="77" t="str">
        <f t="shared" si="0"/>
        <v>"[LEVEL] " &amp; G9 &amp; " | " &amp;</v>
      </c>
      <c r="F7" s="54" t="s">
        <v>224</v>
      </c>
    </row>
    <row r="8" spans="2:29">
      <c r="B8" s="75" t="s">
        <v>222</v>
      </c>
      <c r="C8" s="54" t="s">
        <v>229</v>
      </c>
      <c r="D8" s="91" t="s">
        <v>267</v>
      </c>
      <c r="E8" s="77" t="str">
        <f t="shared" si="0"/>
        <v>"[LIBRARY BEING LEARNED] " &amp; $I$3 &amp; " | " &amp;</v>
      </c>
      <c r="F8" s="54" t="s">
        <v>224</v>
      </c>
    </row>
    <row r="9" spans="2:29">
      <c r="B9" s="75" t="s">
        <v>222</v>
      </c>
      <c r="C9" s="54" t="s">
        <v>225</v>
      </c>
      <c r="D9" s="91" t="str">
        <f>"If a module or ecosystem like "&amp; Variables!E6 &amp;" is specified in "&amp; Variables!E7 &amp;", you are CRITICALLY FORBIDDEN from using "&amp; Variables!E8 &amp;". You MUST enforce the "&amp; Variables!E9 &amp;" and data structures of that specific library."</f>
        <v>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v>
      </c>
      <c r="E9" s="77" t="str">
        <f t="shared" si="0"/>
        <v>"[ECOSYSTEM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 &amp;</v>
      </c>
      <c r="F9" s="54" t="s">
        <v>224</v>
      </c>
    </row>
    <row r="10" spans="2:29">
      <c r="B10" s="75" t="s">
        <v>222</v>
      </c>
      <c r="C10" s="54" t="s">
        <v>170</v>
      </c>
      <c r="D10" s="91" t="s">
        <v>453</v>
      </c>
      <c r="E10" s="77" t="str">
        <f t="shared" si="0"/>
        <v>"[PERSONA RULE] Act as a professional Tech Product Manager writing clear Jira tickets | " &amp;</v>
      </c>
      <c r="F10" s="54" t="s">
        <v>224</v>
      </c>
    </row>
    <row r="11" spans="2:29">
      <c r="B11" s="75" t="s">
        <v>222</v>
      </c>
      <c r="C11" s="54" t="s">
        <v>172</v>
      </c>
      <c r="D11" s="91" t="s">
        <v>391</v>
      </c>
      <c r="E11"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1" s="54" t="s">
        <v>224</v>
      </c>
    </row>
    <row r="12" spans="2:29">
      <c r="B12" s="75" t="s">
        <v>222</v>
      </c>
      <c r="C12" s="54" t="s">
        <v>489</v>
      </c>
      <c r="D12" s="91" t="s">
        <v>481</v>
      </c>
      <c r="E12" s="77" t="str">
        <f t="shared" si="0"/>
        <v>"[LANGUAGE SEED CONTEXT] " &amp; IF($AE$7 = "", "Language Seed Not Necessary", "You MUST strictly follow this seed context to enhance, adapt, and naturalize your tone, vocabulary, and instructional quality in " &amp; $B$6 &amp; ": " &amp; $AE$7) &amp; " | " &amp;</v>
      </c>
      <c r="F12" s="54" t="s">
        <v>224</v>
      </c>
    </row>
    <row r="13" spans="2:29">
      <c r="B13" s="75" t="s">
        <v>222</v>
      </c>
      <c r="C13" s="54" t="s">
        <v>215</v>
      </c>
      <c r="D13" s="91" t="s">
        <v>591</v>
      </c>
      <c r="E13" s="77" t="str">
        <f t="shared" si="0"/>
        <v>"[HEADER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v>
      </c>
      <c r="F13" s="54" t="s">
        <v>224</v>
      </c>
    </row>
    <row r="14" spans="2:29">
      <c r="B14" s="83" t="s">
        <v>223</v>
      </c>
      <c r="C14" s="54" t="s">
        <v>230</v>
      </c>
      <c r="D14" s="91"/>
      <c r="E14" s="77" t="str">
        <f t="shared" si="0"/>
        <v/>
      </c>
      <c r="F14" s="54" t="s">
        <v>224</v>
      </c>
    </row>
    <row r="15" spans="2:29">
      <c r="B15" s="83" t="s">
        <v>223</v>
      </c>
      <c r="C15" s="54" t="s">
        <v>230</v>
      </c>
      <c r="D15" s="91"/>
      <c r="E15" s="77" t="str">
        <f t="shared" si="0"/>
        <v/>
      </c>
      <c r="F15" s="54" t="s">
        <v>224</v>
      </c>
    </row>
    <row r="16" spans="2:29">
      <c r="B16" s="54" t="s">
        <v>271</v>
      </c>
      <c r="C16" s="54" t="s">
        <v>667</v>
      </c>
      <c r="D16" s="91" t="s">
        <v>458</v>
      </c>
      <c r="E16" s="77" t="str">
        <f t="shared" si="0"/>
        <v>"[FUNCTIONAL_STRUCTURE_POLICY] Rule: " &amp; IF(G9="Beginner", "Use simple scripts or minimal functions. ", IF(G9="Intermediate", "Use functions where appropriate. ", "Use modular functions with clear structure. ")) &amp; " | " &amp;</v>
      </c>
      <c r="F16" s="54" t="s">
        <v>224</v>
      </c>
    </row>
    <row r="17" spans="2:6">
      <c r="B17" s="54" t="s">
        <v>271</v>
      </c>
      <c r="C17" s="54" t="s">
        <v>666</v>
      </c>
      <c r="D17" s="91" t="s">
        <v>668</v>
      </c>
      <c r="E17" s="77" t="str">
        <f t="shared" si="0"/>
        <v>"[DETERMINISTIC_OUTPUT_PROTOCOL]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v>
      </c>
      <c r="F17" s="54" t="s">
        <v>224</v>
      </c>
    </row>
    <row r="18" spans="2:6">
      <c r="B18" s="54" t="s">
        <v>271</v>
      </c>
      <c r="C18" s="54" t="s">
        <v>180</v>
      </c>
      <c r="D18" s="91" t="s">
        <v>459</v>
      </c>
      <c r="E18" s="77" t="str">
        <f t="shared" si="0"/>
        <v>"[CODE QUALITY RULE] Code MUST be clean, readable, and production-like | " &amp;</v>
      </c>
      <c r="F18" s="54" t="s">
        <v>224</v>
      </c>
    </row>
    <row r="19" spans="2:6">
      <c r="B19" s="54" t="s">
        <v>271</v>
      </c>
      <c r="C19" s="54" t="s">
        <v>188</v>
      </c>
      <c r="D19" s="91" t="s">
        <v>665</v>
      </c>
      <c r="E19" s="77" t="str">
        <f t="shared" si="0"/>
        <v>"[FILE HANDLING RULE] Use correct loaders and enforce encoding='utf-8' and newline=' when applicable or supported by the programming language. | " &amp;</v>
      </c>
      <c r="F19" s="54" t="s">
        <v>224</v>
      </c>
    </row>
    <row r="20" spans="2:6">
      <c r="B20" s="54" t="s">
        <v>271</v>
      </c>
      <c r="C20" s="54" t="s">
        <v>189</v>
      </c>
      <c r="D20" s="91" t="s">
        <v>664</v>
      </c>
      <c r="E20" s="77" t="str">
        <f t="shared" si="0"/>
        <v>"[DATA TYPE RULE] Explicit casting required before calculations if the programming language requires it. | " &amp;</v>
      </c>
      <c r="F20" s="54" t="s">
        <v>224</v>
      </c>
    </row>
    <row r="21" spans="2:6">
      <c r="B21" s="54" t="s">
        <v>271</v>
      </c>
      <c r="C21" s="54" t="s">
        <v>190</v>
      </c>
      <c r="D21" s="91" t="s">
        <v>460</v>
      </c>
      <c r="E21" s="77" t="str">
        <f t="shared" si="0"/>
        <v>"[DATA ROBUSTNESS RULE] Handle missing or malformed data safely | " &amp;</v>
      </c>
      <c r="F21" s="54" t="s">
        <v>224</v>
      </c>
    </row>
    <row r="22" spans="2:6">
      <c r="B22" s="54" t="s">
        <v>271</v>
      </c>
      <c r="C22" s="54" t="s">
        <v>191</v>
      </c>
      <c r="D22" s="91" t="s">
        <v>663</v>
      </c>
      <c r="E22" s="77" t="str">
        <f t="shared" si="0"/>
        <v>"[BOOLEAN HANDLING RULE] Normalize boolean values before comparison if the programming language requires it. | " &amp;</v>
      </c>
      <c r="F22" s="54" t="s">
        <v>224</v>
      </c>
    </row>
    <row r="23" spans="2:6">
      <c r="B23" s="54" t="s">
        <v>271</v>
      </c>
      <c r="C23" s="54" t="s">
        <v>192</v>
      </c>
      <c r="D23" s="91" t="s">
        <v>398</v>
      </c>
      <c r="E23" s="77" t="str">
        <f t="shared" si="0"/>
        <v>"[DATA CONSISTENCY RULE] Respect dataset schema | " &amp;</v>
      </c>
      <c r="F23" s="54" t="s">
        <v>224</v>
      </c>
    </row>
    <row r="24" spans="2:6">
      <c r="B24" s="54" t="s">
        <v>271</v>
      </c>
      <c r="C24" s="54" t="s">
        <v>454</v>
      </c>
      <c r="D24" s="91" t="s">
        <v>455</v>
      </c>
      <c r="E24" s="77" t="str">
        <f t="shared" si="0"/>
        <v>"[TICKET FORMAT RULE - STRICT] 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v>
      </c>
      <c r="F24" s="54" t="s">
        <v>224</v>
      </c>
    </row>
    <row r="25" spans="2:6">
      <c r="B25" s="54" t="s">
        <v>271</v>
      </c>
      <c r="C25" s="54" t="s">
        <v>174</v>
      </c>
      <c r="D25" s="91" t="s">
        <v>670</v>
      </c>
      <c r="E25" s="77" t="str">
        <f t="shared" si="0"/>
        <v>"[DATA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v>
      </c>
      <c r="F25" s="54" t="s">
        <v>224</v>
      </c>
    </row>
    <row r="26" spans="2:6">
      <c r="B26" s="54" t="s">
        <v>271</v>
      </c>
      <c r="C26" s="54" t="s">
        <v>175</v>
      </c>
      <c r="D26" s="91" t="s">
        <v>401</v>
      </c>
      <c r="E26" s="77" t="str">
        <f t="shared" si="0"/>
        <v>"[DATA SUMMARY FORMAT RULE] When a dataset is present, you MUST display IMMEDIATELY AFTER THE HEADER: Dataset Summary: - File Type: - Columns / Fields: - Data Types: - Notes: | " &amp;</v>
      </c>
      <c r="F26" s="54" t="s">
        <v>224</v>
      </c>
    </row>
    <row r="27" spans="2:6">
      <c r="B27" s="54" t="s">
        <v>271</v>
      </c>
      <c r="C27" s="54" t="s">
        <v>177</v>
      </c>
      <c r="D27" s="91" t="s">
        <v>488</v>
      </c>
      <c r="E27" s="77" t="str">
        <f t="shared" si="0"/>
        <v>"[OUTPUT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v>
      </c>
      <c r="F27" s="54" t="s">
        <v>224</v>
      </c>
    </row>
    <row r="28" spans="2:6">
      <c r="B28" s="54" t="s">
        <v>271</v>
      </c>
      <c r="C28" s="54" t="s">
        <v>178</v>
      </c>
      <c r="D28" s="91" t="s">
        <v>456</v>
      </c>
      <c r="E28" s="77" t="str">
        <f t="shared" si="0"/>
        <v>"[CODE CONSTRAINTS] 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 | " &amp;</v>
      </c>
      <c r="F28" s="54" t="s">
        <v>224</v>
      </c>
    </row>
    <row r="29" spans="2:6">
      <c r="B29" s="54" t="s">
        <v>271</v>
      </c>
      <c r="C29" s="54" t="s">
        <v>299</v>
      </c>
      <c r="D29" s="91" t="s">
        <v>461</v>
      </c>
      <c r="E29" s="77" t="str">
        <f t="shared" si="0"/>
        <v>"[SUPPORT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v>
      </c>
      <c r="F29" s="54" t="s">
        <v>224</v>
      </c>
    </row>
    <row r="30" spans="2:6">
      <c r="B30" s="54" t="s">
        <v>271</v>
      </c>
      <c r="C30" s="54" t="s">
        <v>195</v>
      </c>
      <c r="D30" s="91" t="s">
        <v>408</v>
      </c>
      <c r="E30" s="77" t="str">
        <f t="shared" si="0"/>
        <v>"[DIFFICULTY RULE] Complexity MUST match level | " &amp;</v>
      </c>
      <c r="F30" s="54" t="s">
        <v>224</v>
      </c>
    </row>
    <row r="31" spans="2:6">
      <c r="B31" s="54" t="s">
        <v>271</v>
      </c>
      <c r="C31" s="54" t="s">
        <v>207</v>
      </c>
      <c r="D31" s="91" t="s">
        <v>280</v>
      </c>
      <c r="E31" s="77" t="str">
        <f t="shared" si="0"/>
        <v>"[FORMAT RULE] Only valid markdown code blocks allowed | " &amp;</v>
      </c>
      <c r="F31" s="54" t="s">
        <v>224</v>
      </c>
    </row>
    <row r="32" spans="2:6">
      <c r="B32" s="54" t="s">
        <v>271</v>
      </c>
      <c r="C32" s="54" t="s">
        <v>209</v>
      </c>
      <c r="D32" s="91" t="s">
        <v>281</v>
      </c>
      <c r="E32" s="77" t="str">
        <f t="shared" si="0"/>
        <v>"[LANGUAGE TAG RULE] ALWAYS label markdown code blocks with the correct underlying programming language (e.g., python, javascript, sql) | " &amp;</v>
      </c>
      <c r="F32" s="54" t="s">
        <v>224</v>
      </c>
    </row>
    <row r="33" spans="2:6">
      <c r="B33" s="54" t="s">
        <v>271</v>
      </c>
      <c r="C33" s="54" t="s">
        <v>216</v>
      </c>
      <c r="D33" s="91" t="s">
        <v>462</v>
      </c>
      <c r="E33" s="77" t="str">
        <f t="shared" si="0"/>
        <v>"[OUTPUT] Only header, dataset summary or statement (if any), the defined sections, and footer | " &amp;</v>
      </c>
      <c r="F33" s="54" t="s">
        <v>224</v>
      </c>
    </row>
    <row r="34" spans="2:6">
      <c r="B34" s="54" t="s">
        <v>271</v>
      </c>
      <c r="C34" s="54" t="s">
        <v>220</v>
      </c>
      <c r="D34" s="91" t="s">
        <v>463</v>
      </c>
      <c r="E34" s="77" t="str">
        <f t="shared" si="0"/>
        <v>"[FOOTER RULE - STRICT] End your entire response EXACTLY with this markdown string (ensure all code blocks are closed before it):" &amp; CHAR(10) &amp; "---" &amp; CHAR(10) &amp; "⚡ *Coding5s System — Learn Programming by Writing Code*",</v>
      </c>
      <c r="F34" s="54" t="s">
        <v>224</v>
      </c>
    </row>
    <row r="35" spans="2:6">
      <c r="B35" s="54"/>
      <c r="C35" s="54"/>
      <c r="D35" s="91"/>
      <c r="E35" s="88" t="s">
        <v>464</v>
      </c>
      <c r="F35" s="54" t="s">
        <v>224</v>
      </c>
    </row>
    <row r="36" spans="2:6">
      <c r="B36" s="54"/>
      <c r="C36" s="54"/>
      <c r="D36" s="91"/>
      <c r="E36" s="77" t="str">
        <f t="shared" si="0"/>
        <v/>
      </c>
      <c r="F36" s="54" t="s">
        <v>224</v>
      </c>
    </row>
    <row r="37" spans="2:6">
      <c r="B37" s="54"/>
      <c r="C37" s="54"/>
      <c r="D37" s="91"/>
      <c r="E37" s="77" t="str">
        <f t="shared" si="0"/>
        <v/>
      </c>
      <c r="F37" s="54" t="s">
        <v>224</v>
      </c>
    </row>
    <row r="38" spans="2:6">
      <c r="B38" s="54"/>
      <c r="C38" s="54"/>
      <c r="D38" s="91"/>
      <c r="E38" s="77" t="str">
        <f t="shared" si="0"/>
        <v/>
      </c>
      <c r="F38" s="54" t="s">
        <v>224</v>
      </c>
    </row>
    <row r="39" spans="2:6">
      <c r="B39" s="54"/>
      <c r="C39" s="54"/>
      <c r="D39" s="91"/>
      <c r="E39" s="77" t="str">
        <f t="shared" si="0"/>
        <v/>
      </c>
      <c r="F39" s="54" t="s">
        <v>224</v>
      </c>
    </row>
    <row r="40" spans="2:6">
      <c r="B40" s="54"/>
      <c r="C40" s="54"/>
      <c r="D40" s="91"/>
      <c r="E40" s="77" t="str">
        <f t="shared" si="0"/>
        <v/>
      </c>
      <c r="F40" s="54" t="s">
        <v>224</v>
      </c>
    </row>
    <row r="41" spans="2:6">
      <c r="B41" s="54"/>
      <c r="C41" s="54"/>
      <c r="D41" s="91"/>
      <c r="E41" s="77" t="str">
        <f t="shared" si="0"/>
        <v/>
      </c>
      <c r="F41" s="54" t="s">
        <v>224</v>
      </c>
    </row>
    <row r="42" spans="2:6">
      <c r="B42" s="54"/>
      <c r="C42" s="54"/>
      <c r="D42" s="91"/>
      <c r="E42" s="77"/>
      <c r="F42" s="54"/>
    </row>
    <row r="43" spans="2:6">
      <c r="B43" s="74"/>
      <c r="C43" s="74"/>
      <c r="E43" s="86"/>
    </row>
    <row r="44" spans="2:6">
      <c r="B44" s="74"/>
      <c r="C44" s="74"/>
      <c r="E44" s="86"/>
    </row>
    <row r="45" spans="2:6" ht="36">
      <c r="B45" s="79" t="s">
        <v>449</v>
      </c>
      <c r="C45" s="74"/>
      <c r="E45" s="86"/>
    </row>
    <row r="46" spans="2:6">
      <c r="B46" s="76" t="s">
        <v>264</v>
      </c>
      <c r="C46" s="76" t="s">
        <v>577</v>
      </c>
      <c r="D46" s="76" t="s">
        <v>578</v>
      </c>
      <c r="E46" s="88" t="s">
        <v>265</v>
      </c>
      <c r="F46" s="32" t="s">
        <v>224</v>
      </c>
    </row>
    <row r="47" spans="2:6">
      <c r="B47" s="54" t="s">
        <v>222</v>
      </c>
      <c r="C47" s="54" t="s">
        <v>160</v>
      </c>
      <c r="D47" s="91" t="s">
        <v>451</v>
      </c>
      <c r="E47" s="77" t="str">
        <f>IF(D47="","",""""&amp;C47&amp;" "&amp;IF(C47="[FOOTER RULE - STRICT]",D47,IF(RIGHT(D47,6)=" | "&amp;CHAR(34)&amp;" &amp;",D47,D47&amp;" | "&amp;CHAR(34)&amp;" &amp;")))</f>
        <v>"[ROLE] Tech Product Manager assigning a " &amp; $I$2 &amp; " Jira Ticket | " &amp;</v>
      </c>
      <c r="F47" s="32" t="s">
        <v>224</v>
      </c>
    </row>
    <row r="48" spans="2:6">
      <c r="B48" s="54" t="s">
        <v>222</v>
      </c>
      <c r="C48" s="54" t="s">
        <v>162</v>
      </c>
      <c r="D48" s="91" t="s">
        <v>465</v>
      </c>
      <c r="E48" s="77" t="str">
        <f t="shared" ref="E48:E76" si="1">IF(D48="","",""""&amp;C48&amp;" "&amp;IF(C48="[FOOTER RULE - STRICT]",D48,IF(RIGHT(D48,6)=" | "&amp;CHAR(34)&amp;" &amp;",D48,D48&amp;" | "&amp;CHAR(34)&amp;" &amp;")))</f>
        <v>"[TASK] Provide a guided project implementation with full solution | " &amp;</v>
      </c>
      <c r="F48" s="32" t="s">
        <v>224</v>
      </c>
    </row>
    <row r="49" spans="2:6">
      <c r="B49" s="54" t="s">
        <v>222</v>
      </c>
      <c r="C49" s="54" t="s">
        <v>311</v>
      </c>
      <c r="D49" s="91" t="s">
        <v>165</v>
      </c>
      <c r="E49" s="77" t="str">
        <f t="shared" si="1"/>
        <v>"[PROJECT] " &amp; I9 &amp; " | " &amp;</v>
      </c>
      <c r="F49" s="32" t="s">
        <v>224</v>
      </c>
    </row>
    <row r="50" spans="2:6">
      <c r="B50" s="54" t="s">
        <v>222</v>
      </c>
      <c r="C50" s="54" t="s">
        <v>253</v>
      </c>
      <c r="D50" s="91" t="s">
        <v>709</v>
      </c>
      <c r="E50" s="77" t="str">
        <f t="shared" si="1"/>
        <v>"[TOPICS USED] " &amp; A9 &amp; " | " &amp;</v>
      </c>
      <c r="F50" s="32" t="s">
        <v>224</v>
      </c>
    </row>
    <row r="51" spans="2:6">
      <c r="B51" s="54" t="s">
        <v>222</v>
      </c>
      <c r="C51" s="54" t="s">
        <v>166</v>
      </c>
      <c r="D51" s="91" t="s">
        <v>167</v>
      </c>
      <c r="E51" s="77" t="str">
        <f t="shared" si="1"/>
        <v>"[LEVEL] " &amp; G9 &amp; " | " &amp;</v>
      </c>
      <c r="F51" s="32" t="s">
        <v>224</v>
      </c>
    </row>
    <row r="52" spans="2:6">
      <c r="B52" s="54" t="s">
        <v>222</v>
      </c>
      <c r="C52" s="54" t="s">
        <v>170</v>
      </c>
      <c r="D52" s="91" t="s">
        <v>466</v>
      </c>
      <c r="E52" s="77" t="str">
        <f t="shared" si="1"/>
        <v>"[PERSONA RULE] Act as a professional Tech Product Manager defining a project ticket | " &amp;</v>
      </c>
      <c r="F52" s="32" t="s">
        <v>224</v>
      </c>
    </row>
    <row r="53" spans="2:6">
      <c r="B53" s="54" t="s">
        <v>222</v>
      </c>
      <c r="C53" s="54" t="s">
        <v>229</v>
      </c>
      <c r="D53" s="91" t="s">
        <v>267</v>
      </c>
      <c r="E53" s="77" t="str">
        <f t="shared" si="1"/>
        <v>"[LIBRARY BEING LEARNED] " &amp; $I$3 &amp; " | " &amp;</v>
      </c>
      <c r="F53" s="32" t="s">
        <v>224</v>
      </c>
    </row>
    <row r="54" spans="2:6">
      <c r="B54" s="54" t="s">
        <v>222</v>
      </c>
      <c r="C54" s="54" t="s">
        <v>225</v>
      </c>
      <c r="D54" s="91" t="str">
        <f>"If a module or ecosystem like "&amp; Variables!E6 &amp;" is specified in "&amp; Variables!E7 &amp;", you are CRITICALLY FORBIDDEN from using "&amp; Variables!E8 &amp;". You MUST enforce the "&amp; Variables!E9 &amp;" and data structures of that specific library."</f>
        <v>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v>
      </c>
      <c r="E54" s="77" t="str">
        <f t="shared" si="1"/>
        <v>"[ECOSYSTEM ORIENTATION RULE] If a module or ecosystem like Dart native classes, constructors, OOP patterns, and standard core execution models utilizing top-level main(). is specified in Focus strictly on basic class definitions, constructors, properties, and object instantiation inside main(). DO NOT use procedural scripts., you are CRITICALLY FORBIDDEN from using STRICT REQUIREMENT: Integrate custom class definitions ('class'), constructors, instance methods, and getters/setters in EVERY example.. You MUST enforce the Advanced OOP &amp; patterns: abstract classes, mixins, factory/named constructors, interfaces ('implements'), extensions, and overriding ('@override'). and data structures of that specific library. | " &amp;</v>
      </c>
      <c r="F54" s="32" t="s">
        <v>224</v>
      </c>
    </row>
    <row r="55" spans="2:6">
      <c r="B55" s="54" t="s">
        <v>222</v>
      </c>
      <c r="C55" s="54" t="s">
        <v>215</v>
      </c>
      <c r="D55" s="91" t="s">
        <v>592</v>
      </c>
      <c r="E55" s="77" t="str">
        <f t="shared" si="1"/>
        <v>"[HEADER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v>
      </c>
      <c r="F55" s="32" t="s">
        <v>224</v>
      </c>
    </row>
    <row r="56" spans="2:6">
      <c r="B56" s="54" t="s">
        <v>222</v>
      </c>
      <c r="C56" s="54" t="s">
        <v>172</v>
      </c>
      <c r="D56" s="91" t="s">
        <v>467</v>
      </c>
      <c r="E56" s="77" t="str">
        <f t="shared" si="1"/>
        <v>"[LANGUAGE CONSISTENCY RULE] 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v>
      </c>
      <c r="F56" s="32" t="s">
        <v>224</v>
      </c>
    </row>
    <row r="57" spans="2:6">
      <c r="B57" s="54" t="s">
        <v>222</v>
      </c>
      <c r="C57" s="54" t="s">
        <v>489</v>
      </c>
      <c r="D57" s="91" t="s">
        <v>481</v>
      </c>
      <c r="E57" s="77" t="str">
        <f t="shared" si="1"/>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1"/>
      <c r="E58" s="77" t="str">
        <f t="shared" si="1"/>
        <v/>
      </c>
      <c r="F58" s="32" t="s">
        <v>224</v>
      </c>
    </row>
    <row r="59" spans="2:6">
      <c r="B59" s="54" t="s">
        <v>223</v>
      </c>
      <c r="C59" s="54" t="s">
        <v>230</v>
      </c>
      <c r="D59" s="91"/>
      <c r="E59" s="77" t="str">
        <f t="shared" si="1"/>
        <v/>
      </c>
      <c r="F59" s="32" t="s">
        <v>224</v>
      </c>
    </row>
    <row r="60" spans="2:6">
      <c r="B60" s="54" t="s">
        <v>271</v>
      </c>
      <c r="C60" s="54" t="s">
        <v>178</v>
      </c>
      <c r="D60" s="91" t="s">
        <v>669</v>
      </c>
      <c r="E60" s="77" t="str">
        <f t="shared" si="1"/>
        <v>"[CODE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v>
      </c>
      <c r="F60" s="32" t="s">
        <v>224</v>
      </c>
    </row>
    <row r="61" spans="2:6">
      <c r="B61" s="54" t="s">
        <v>271</v>
      </c>
      <c r="C61" s="54" t="s">
        <v>457</v>
      </c>
      <c r="D61" s="91" t="s">
        <v>468</v>
      </c>
      <c r="E61" s="77" t="str">
        <f t="shared" si="1"/>
        <v>"[CRITICAL OUTPUT RULE] Output MUST match real execution - Convert sets to sorted lists before printing | " &amp;</v>
      </c>
      <c r="F61" s="32" t="s">
        <v>224</v>
      </c>
    </row>
    <row r="62" spans="2:6">
      <c r="B62" s="54" t="s">
        <v>271</v>
      </c>
      <c r="C62" s="54" t="s">
        <v>179</v>
      </c>
      <c r="D62" s="91" t="s">
        <v>469</v>
      </c>
      <c r="E62" s="77" t="str">
        <f t="shared" si="1"/>
        <v>"[FUNCTION RULE] " &amp; IF(G9="Beginner", "Avoid complex structure. ", IF(G9="Intermediate", "Functions optional. ", "Use structured modular functions. ")) &amp; " | " &amp;</v>
      </c>
      <c r="F62" s="32" t="s">
        <v>224</v>
      </c>
    </row>
    <row r="63" spans="2:6">
      <c r="B63" s="54" t="s">
        <v>271</v>
      </c>
      <c r="C63" s="54" t="s">
        <v>454</v>
      </c>
      <c r="D63" s="91" t="s">
        <v>470</v>
      </c>
      <c r="E63" s="77" t="str">
        <f t="shared" si="1"/>
        <v>"[TICKET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v>
      </c>
      <c r="F63" s="32" t="s">
        <v>224</v>
      </c>
    </row>
    <row r="64" spans="2:6">
      <c r="B64" s="54" t="s">
        <v>271</v>
      </c>
      <c r="C64" s="54" t="s">
        <v>174</v>
      </c>
      <c r="D64" s="91" t="s">
        <v>471</v>
      </c>
      <c r="E64"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v>
      </c>
      <c r="F64" s="32" t="s">
        <v>224</v>
      </c>
    </row>
    <row r="65" spans="2:6">
      <c r="B65" s="54" t="s">
        <v>271</v>
      </c>
      <c r="C65" s="54" t="s">
        <v>177</v>
      </c>
      <c r="D65" s="91" t="s">
        <v>472</v>
      </c>
      <c r="E65" s="77" t="str">
        <f t="shared" si="1"/>
        <v>"[OUTPUT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v>
      </c>
      <c r="F65" s="32" t="s">
        <v>224</v>
      </c>
    </row>
    <row r="66" spans="2:6">
      <c r="B66" s="54" t="s">
        <v>271</v>
      </c>
      <c r="C66" s="54" t="s">
        <v>180</v>
      </c>
      <c r="D66" s="91" t="s">
        <v>473</v>
      </c>
      <c r="E66" s="77" t="str">
        <f t="shared" si="1"/>
        <v>"[CODE QUALITY RULE] Code MUST be clean and realistic | " &amp;</v>
      </c>
      <c r="F66" s="32" t="s">
        <v>224</v>
      </c>
    </row>
    <row r="67" spans="2:6">
      <c r="B67" s="54" t="s">
        <v>271</v>
      </c>
      <c r="C67" s="54" t="s">
        <v>190</v>
      </c>
      <c r="D67" s="91" t="s">
        <v>417</v>
      </c>
      <c r="E67" s="77" t="str">
        <f t="shared" si="1"/>
        <v>"[DATA ROBUSTNESS RULE] Handle real-world data safely | " &amp;</v>
      </c>
      <c r="F67" s="32" t="s">
        <v>224</v>
      </c>
    </row>
    <row r="68" spans="2:6">
      <c r="B68" s="54" t="s">
        <v>271</v>
      </c>
      <c r="C68" s="54" t="s">
        <v>207</v>
      </c>
      <c r="D68" s="91" t="s">
        <v>474</v>
      </c>
      <c r="E68" s="77" t="str">
        <f t="shared" si="1"/>
        <v>"[FORMAT RULE] Only markdown code blocks allowed | " &amp;</v>
      </c>
      <c r="F68" s="32" t="s">
        <v>224</v>
      </c>
    </row>
    <row r="69" spans="2:6">
      <c r="B69" s="54" t="s">
        <v>271</v>
      </c>
      <c r="C69" s="54" t="s">
        <v>209</v>
      </c>
      <c r="D69" s="91" t="s">
        <v>281</v>
      </c>
      <c r="E69" s="77" t="str">
        <f t="shared" si="1"/>
        <v>"[LANGUAGE TAG RULE] ALWAYS label markdown code blocks with the correct underlying programming language (e.g., python, javascript, sql) | " &amp;</v>
      </c>
      <c r="F69" s="32" t="s">
        <v>224</v>
      </c>
    </row>
    <row r="70" spans="2:6">
      <c r="B70" s="54" t="s">
        <v>271</v>
      </c>
      <c r="C70" s="54" t="s">
        <v>259</v>
      </c>
      <c r="D70" s="91" t="s">
        <v>475</v>
      </c>
      <c r="E70" s="77" t="str">
        <f t="shared" si="1"/>
        <v>"[EXECUTION RULE] Code MUST run correctly | " &amp;</v>
      </c>
      <c r="F70" s="32" t="s">
        <v>224</v>
      </c>
    </row>
    <row r="71" spans="2:6">
      <c r="B71" s="54" t="s">
        <v>271</v>
      </c>
      <c r="C71" s="54" t="s">
        <v>216</v>
      </c>
      <c r="D71" s="91" t="s">
        <v>476</v>
      </c>
      <c r="E71" s="77" t="str">
        <f t="shared" si="1"/>
        <v>"[OUTPUT] Only header, dataset summary or statement (if any), defined sections, and footer, | " &amp;</v>
      </c>
      <c r="F71" s="32" t="s">
        <v>224</v>
      </c>
    </row>
    <row r="72" spans="2:6">
      <c r="B72" s="54" t="s">
        <v>271</v>
      </c>
      <c r="C72" s="54" t="s">
        <v>220</v>
      </c>
      <c r="D72" s="91" t="s">
        <v>263</v>
      </c>
      <c r="E72" s="77" t="str">
        <f t="shared" si="1"/>
        <v>"[FOOTER RULE - STRICT] End your entire response EXACTLY with this markdown string (ensure all code blocks are closed before it):" &amp; CHAR(10) &amp; "---" &amp; CHAR(10) &amp; "⚡ *Coding5s System — Learn Programming by Writing Code*")</v>
      </c>
      <c r="F72" s="32" t="s">
        <v>224</v>
      </c>
    </row>
    <row r="73" spans="2:6">
      <c r="B73" s="54"/>
      <c r="C73" s="54"/>
      <c r="D73" s="91"/>
      <c r="E73" s="77" t="str">
        <f t="shared" si="1"/>
        <v/>
      </c>
      <c r="F73" s="32" t="s">
        <v>224</v>
      </c>
    </row>
    <row r="74" spans="2:6">
      <c r="B74" s="54"/>
      <c r="C74" s="54"/>
      <c r="D74" s="91"/>
      <c r="E74" s="77" t="str">
        <f t="shared" si="1"/>
        <v/>
      </c>
      <c r="F74" s="32" t="s">
        <v>224</v>
      </c>
    </row>
    <row r="75" spans="2:6">
      <c r="B75" s="54"/>
      <c r="C75" s="54"/>
      <c r="D75" s="91"/>
      <c r="E75" s="77" t="str">
        <f t="shared" si="1"/>
        <v/>
      </c>
      <c r="F75" s="32" t="s">
        <v>224</v>
      </c>
    </row>
    <row r="76" spans="2:6">
      <c r="B76" s="54"/>
      <c r="C76" s="54"/>
      <c r="D76" s="91"/>
      <c r="E76" s="77" t="str">
        <f t="shared" si="1"/>
        <v/>
      </c>
      <c r="F76" s="32" t="s">
        <v>224</v>
      </c>
    </row>
    <row r="77" spans="2:6">
      <c r="E77" s="86"/>
      <c r="F77" t="s">
        <v>224</v>
      </c>
    </row>
    <row r="79" spans="2:6" ht="36">
      <c r="B79" s="80" t="s">
        <v>450</v>
      </c>
    </row>
    <row r="80" spans="2:6">
      <c r="B80" s="76" t="s">
        <v>221</v>
      </c>
      <c r="C80" s="76" t="s">
        <v>577</v>
      </c>
      <c r="D80" s="76" t="s">
        <v>578</v>
      </c>
      <c r="E80" s="89" t="s">
        <v>234</v>
      </c>
      <c r="F80" s="54" t="s">
        <v>224</v>
      </c>
    </row>
    <row r="81" spans="2:6">
      <c r="B81" s="54" t="s">
        <v>222</v>
      </c>
      <c r="C81" s="54" t="s">
        <v>477</v>
      </c>
      <c r="D81" s="91" t="s">
        <v>478</v>
      </c>
      <c r="E81" s="17" t="str">
        <f t="shared" ref="E81:E95" si="2">IF(D81="","",""""&amp;C81&amp;" "&amp;IF(OR(C81="[FOOTER RULE - STRICT]",C81="[FOOTER RULE]"),D81,IF(RIGHT(D81,6)=" | "&amp;CHAR(34)&amp;" &amp;",D81,D81&amp;" | "&amp;CHAR(34)&amp;" &amp;")))</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v>
      </c>
      <c r="F81" s="54" t="s">
        <v>224</v>
      </c>
    </row>
    <row r="82" spans="2:6">
      <c r="B82" s="54" t="s">
        <v>222</v>
      </c>
      <c r="C82" s="54" t="s">
        <v>236</v>
      </c>
      <c r="D82" s="91" t="s">
        <v>479</v>
      </c>
      <c r="E82" s="17" t="str">
        <f t="shared" si="2"/>
        <v>"[CULTURAL &amp; JARGON RULE] 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 | " &amp;</v>
      </c>
      <c r="F82" s="54" t="s">
        <v>224</v>
      </c>
    </row>
    <row r="83" spans="2:6">
      <c r="B83" s="54" t="s">
        <v>222</v>
      </c>
      <c r="C83" s="54" t="s">
        <v>237</v>
      </c>
      <c r="D83" s="91" t="s">
        <v>714</v>
      </c>
      <c r="E83" s="17" t="str">
        <f t="shared" si="2"/>
        <v>"[CONTEXT] You are reviewing the final implementation of a new feature for a " &amp; IF(UPPER(H9)="PROJECT", "PROJECT: " &amp; I9 &amp; ". Topics integrated: " &amp; A9 &amp; ". Business Goal: " &amp; J9, "TOPIC: " &amp; I9 &amp; ". Goal: " &amp; J9) &amp; " | " &amp;</v>
      </c>
      <c r="F83" s="54" t="s">
        <v>224</v>
      </c>
    </row>
    <row r="84" spans="2:6">
      <c r="B84" s="54" t="s">
        <v>222</v>
      </c>
      <c r="C84" s="54" t="s">
        <v>162</v>
      </c>
      <c r="D84" s="91" t="s">
        <v>480</v>
      </c>
      <c r="E84" s="17" t="str">
        <f t="shared" si="2"/>
        <v>"[TASK] Analyze the extension code. If they already anticipated the edge cases and scalability issues (e.g., using generators or async patterns), give them the 'Architect's Approval' and discuss a more advanced trade-off. Otherwise, follow the 2-PHASE MENTORING PROTOCOL | " &amp;</v>
      </c>
      <c r="F84" s="54" t="s">
        <v>224</v>
      </c>
    </row>
    <row r="85" spans="2:6">
      <c r="B85" s="54" t="s">
        <v>222</v>
      </c>
      <c r="C85" s="54" t="s">
        <v>229</v>
      </c>
      <c r="D85" s="91" t="s">
        <v>267</v>
      </c>
      <c r="E85" s="17" t="str">
        <f t="shared" si="2"/>
        <v>"[LIBRARY BEING LEARNED] " &amp; $I$3 &amp; " | " &amp;</v>
      </c>
      <c r="F85" s="54" t="s">
        <v>224</v>
      </c>
    </row>
    <row r="86" spans="2:6">
      <c r="B86" s="54" t="s">
        <v>222</v>
      </c>
      <c r="C86" s="54" t="s">
        <v>172</v>
      </c>
      <c r="D86" s="91"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1" t="s">
        <v>481</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1" t="s">
        <v>593</v>
      </c>
      <c r="E88" s="17" t="str">
        <f t="shared" si="2"/>
        <v>"[HEADER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v>
      </c>
      <c r="F88" s="54" t="s">
        <v>224</v>
      </c>
    </row>
    <row r="89" spans="2:6">
      <c r="B89" s="54" t="s">
        <v>223</v>
      </c>
      <c r="C89" s="54" t="s">
        <v>230</v>
      </c>
      <c r="D89" s="91"/>
      <c r="E89" s="17" t="str">
        <f t="shared" si="2"/>
        <v/>
      </c>
      <c r="F89" s="54" t="s">
        <v>224</v>
      </c>
    </row>
    <row r="90" spans="2:6">
      <c r="B90" s="54" t="s">
        <v>223</v>
      </c>
      <c r="C90" s="54" t="s">
        <v>661</v>
      </c>
      <c r="D90" s="91" t="str">
        <f>Variables!E57 &amp; " | " &amp; CHAR(34) &amp; " &amp;"</f>
        <v>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 &amp;</v>
      </c>
      <c r="E90" s="17" t="str">
        <f t="shared" si="2"/>
        <v>"[CODE_QUALITY_PROTOCOL] Code MUST adhere strictly to Effective Dart guidelines. Use PascalCase for Classes, camelCase for methods/variables, lowerCamelCase for constants, snake_case for files. NEVER leak state globally; enforce strong static typing. Prioritize robust OOP architecture, design patterns (Factory, Singleton, Strategy), abstract classes, and composition over inheritance. | " &amp;</v>
      </c>
      <c r="F90" s="54" t="s">
        <v>224</v>
      </c>
    </row>
    <row r="91" spans="2:6">
      <c r="B91" s="54" t="s">
        <v>271</v>
      </c>
      <c r="C91" s="54" t="s">
        <v>238</v>
      </c>
      <c r="D91" s="91" t="s">
        <v>482</v>
      </c>
      <c r="E91" s="17" t="str">
        <f t="shared" si="2"/>
        <v>"[EMPTY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v>
      </c>
      <c r="F91" s="54" t="s">
        <v>224</v>
      </c>
    </row>
    <row r="92" spans="2:6">
      <c r="B92" s="54" t="s">
        <v>271</v>
      </c>
      <c r="C92" s="54" t="s">
        <v>240</v>
      </c>
      <c r="D92" s="91" t="s">
        <v>483</v>
      </c>
      <c r="E92" s="17" t="str">
        <f t="shared" si="2"/>
        <v>"[PHASE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v>
      </c>
      <c r="F92" s="54" t="s">
        <v>224</v>
      </c>
    </row>
    <row r="93" spans="2:6">
      <c r="B93" s="54" t="s">
        <v>271</v>
      </c>
      <c r="C93" s="54" t="s">
        <v>241</v>
      </c>
      <c r="D93" s="91" t="s">
        <v>484</v>
      </c>
      <c r="E93" s="17" t="str">
        <f t="shared" si="2"/>
        <v>"[EXPLANATION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v>
      </c>
      <c r="F93" s="54" t="s">
        <v>224</v>
      </c>
    </row>
    <row r="94" spans="2:6">
      <c r="B94" s="54" t="s">
        <v>271</v>
      </c>
      <c r="C94" s="54" t="s">
        <v>485</v>
      </c>
      <c r="D94" s="91" t="s">
        <v>486</v>
      </c>
      <c r="E94" s="17" t="str">
        <f t="shared" si="2"/>
        <v>"[PHASE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v>
      </c>
      <c r="F94" s="54" t="s">
        <v>224</v>
      </c>
    </row>
    <row r="95" spans="2:6">
      <c r="B95" s="54" t="s">
        <v>271</v>
      </c>
      <c r="C95" s="54" t="s">
        <v>328</v>
      </c>
      <c r="D95" s="91" t="s">
        <v>487</v>
      </c>
      <c r="E95" s="17" t="str">
        <f t="shared" si="2"/>
        <v>"[FOOTER RULE] End your response with: '--- ⚡ *Coding5s Mentor System — Eliminating Epistemic Debt &amp; Shipping to Production*'",</v>
      </c>
      <c r="F95" s="54" t="s">
        <v>224</v>
      </c>
    </row>
    <row r="96" spans="2:6">
      <c r="B96" s="54"/>
      <c r="C96" s="54"/>
      <c r="D96" s="91"/>
      <c r="E96" s="89" t="s">
        <v>435</v>
      </c>
      <c r="F96" s="54" t="s">
        <v>224</v>
      </c>
    </row>
    <row r="97" spans="2:6">
      <c r="B97" s="54"/>
      <c r="C97" s="54"/>
      <c r="D97" s="91"/>
      <c r="E97" s="77" t="str">
        <f t="shared" ref="E97:E100" si="3">IF(D97="","",""""&amp;C97&amp;" "&amp;IF(C97="[FOOTER RULE - STRICT]",D97,IF(RIGHT(D97,6)=" | "&amp;CHAR(34)&amp;" &amp;",D97,D97&amp;" | "&amp;CHAR(34)&amp;" &amp;")))</f>
        <v/>
      </c>
      <c r="F97" s="54" t="s">
        <v>224</v>
      </c>
    </row>
    <row r="98" spans="2:6">
      <c r="B98" s="54"/>
      <c r="C98" s="54"/>
      <c r="D98" s="91"/>
      <c r="E98" s="77" t="str">
        <f t="shared" si="3"/>
        <v/>
      </c>
      <c r="F98" s="54" t="s">
        <v>224</v>
      </c>
    </row>
    <row r="99" spans="2:6">
      <c r="B99" s="54"/>
      <c r="C99" s="54"/>
      <c r="D99" s="91"/>
      <c r="E99" s="77" t="str">
        <f t="shared" si="3"/>
        <v/>
      </c>
      <c r="F99" s="54" t="s">
        <v>224</v>
      </c>
    </row>
    <row r="100" spans="2:6">
      <c r="B100" s="54"/>
      <c r="C100" s="54"/>
      <c r="D100" s="91"/>
      <c r="E100" s="77" t="str">
        <f t="shared" si="3"/>
        <v/>
      </c>
      <c r="F100" s="54" t="s">
        <v>224</v>
      </c>
    </row>
  </sheetData>
  <conditionalFormatting sqref="B1:B1048576">
    <cfRule type="cellIs" dxfId="11" priority="10" operator="equal">
      <formula>"The Immutable Kernel"</formula>
    </cfRule>
    <cfRule type="cellIs" dxfId="10" priority="11" operator="equal">
      <formula>"Paradigm &amp; Ecosystem"</formula>
    </cfRule>
    <cfRule type="cellIs" dxfId="9" priority="12" operator="equal">
      <formula>"Global Variables &amp; Configuration"</formula>
    </cfRule>
  </conditionalFormatting>
  <conditionalFormatting sqref="C4:C42">
    <cfRule type="expression" dxfId="8" priority="7">
      <formula>$B4="The Immutable Kernel"</formula>
    </cfRule>
    <cfRule type="expression" dxfId="7" priority="8">
      <formula>$B4="Paradigm &amp; Ecosystem"</formula>
    </cfRule>
    <cfRule type="expression" dxfId="6" priority="9">
      <formula>$B4="Global Variables &amp; Configuration"</formula>
    </cfRule>
  </conditionalFormatting>
  <conditionalFormatting sqref="C47:C76">
    <cfRule type="expression" dxfId="5" priority="4">
      <formula>$B47="The Immutable Kernel"</formula>
    </cfRule>
    <cfRule type="expression" dxfId="4" priority="5">
      <formula>$B47="Paradigm &amp; Ecosystem"</formula>
    </cfRule>
    <cfRule type="expression" dxfId="3" priority="6">
      <formula>$B47="Global Variables &amp; Configuration"</formula>
    </cfRule>
  </conditionalFormatting>
  <conditionalFormatting sqref="C81:C100">
    <cfRule type="expression" dxfId="2" priority="1">
      <formula>$B81="The Immutable Kernel"</formula>
    </cfRule>
    <cfRule type="expression" dxfId="1" priority="2">
      <formula>$B81="Paradigm &amp; Ecosystem"</formula>
    </cfRule>
    <cfRule type="expression" dxfId="0" priority="3">
      <formula>$B81="Global Variables &amp; Configuration"</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967FC-E7C3-4DC7-B5E1-4045F280E864}">
  <dimension ref="B2:E19"/>
  <sheetViews>
    <sheetView workbookViewId="0">
      <selection activeCell="E6" sqref="E6"/>
    </sheetView>
  </sheetViews>
  <sheetFormatPr defaultRowHeight="15"/>
  <cols>
    <col min="2" max="2" width="6.42578125" customWidth="1"/>
    <col min="3" max="3" width="34.5703125" bestFit="1" customWidth="1"/>
    <col min="4" max="4" width="8.7109375" bestFit="1" customWidth="1"/>
    <col min="5" max="5" width="152.85546875" bestFit="1" customWidth="1"/>
  </cols>
  <sheetData>
    <row r="2" spans="2:5">
      <c r="B2" t="s">
        <v>548</v>
      </c>
      <c r="C2" t="s">
        <v>519</v>
      </c>
      <c r="D2" t="s">
        <v>23</v>
      </c>
      <c r="E2" t="s">
        <v>549</v>
      </c>
    </row>
    <row r="3" spans="2:5">
      <c r="B3" t="s">
        <v>520</v>
      </c>
      <c r="C3" t="s">
        <v>18</v>
      </c>
      <c r="D3" t="s">
        <v>521</v>
      </c>
      <c r="E3" t="s">
        <v>550</v>
      </c>
    </row>
    <row r="4" spans="2:5">
      <c r="B4" t="s">
        <v>522</v>
      </c>
      <c r="C4" t="s">
        <v>540</v>
      </c>
      <c r="D4" t="s">
        <v>521</v>
      </c>
      <c r="E4" t="s">
        <v>551</v>
      </c>
    </row>
    <row r="5" spans="2:5">
      <c r="B5" t="s">
        <v>523</v>
      </c>
      <c r="C5" t="s">
        <v>21</v>
      </c>
      <c r="D5" t="s">
        <v>521</v>
      </c>
      <c r="E5" t="s">
        <v>552</v>
      </c>
    </row>
    <row r="6" spans="2:5">
      <c r="B6" t="s">
        <v>524</v>
      </c>
      <c r="C6" t="s">
        <v>22</v>
      </c>
      <c r="D6" t="s">
        <v>521</v>
      </c>
      <c r="E6" t="s">
        <v>553</v>
      </c>
    </row>
    <row r="7" spans="2:5">
      <c r="B7" t="s">
        <v>525</v>
      </c>
      <c r="C7" t="s">
        <v>23</v>
      </c>
      <c r="D7" t="s">
        <v>521</v>
      </c>
      <c r="E7" t="s">
        <v>554</v>
      </c>
    </row>
    <row r="8" spans="2:5">
      <c r="B8" t="s">
        <v>526</v>
      </c>
      <c r="C8" t="s">
        <v>24</v>
      </c>
      <c r="D8" t="s">
        <v>521</v>
      </c>
      <c r="E8" t="s">
        <v>555</v>
      </c>
    </row>
    <row r="9" spans="2:5">
      <c r="B9" t="s">
        <v>527</v>
      </c>
      <c r="C9" t="s">
        <v>25</v>
      </c>
      <c r="D9" t="s">
        <v>521</v>
      </c>
      <c r="E9" t="s">
        <v>556</v>
      </c>
    </row>
    <row r="10" spans="2:5">
      <c r="B10" t="s">
        <v>528</v>
      </c>
      <c r="C10" t="s">
        <v>45</v>
      </c>
      <c r="D10" t="s">
        <v>529</v>
      </c>
      <c r="E10" t="s">
        <v>557</v>
      </c>
    </row>
    <row r="11" spans="2:5">
      <c r="B11" t="s">
        <v>530</v>
      </c>
      <c r="C11" t="s">
        <v>531</v>
      </c>
      <c r="D11" t="s">
        <v>529</v>
      </c>
      <c r="E11" t="s">
        <v>558</v>
      </c>
    </row>
    <row r="12" spans="2:5">
      <c r="B12" t="s">
        <v>532</v>
      </c>
      <c r="C12" t="s">
        <v>541</v>
      </c>
      <c r="D12" t="s">
        <v>529</v>
      </c>
      <c r="E12" t="s">
        <v>559</v>
      </c>
    </row>
    <row r="13" spans="2:5">
      <c r="B13" t="s">
        <v>533</v>
      </c>
      <c r="C13" t="s">
        <v>496</v>
      </c>
      <c r="D13" t="s">
        <v>529</v>
      </c>
      <c r="E13" t="s">
        <v>560</v>
      </c>
    </row>
    <row r="14" spans="2:5">
      <c r="B14" t="s">
        <v>534</v>
      </c>
      <c r="C14" t="s">
        <v>542</v>
      </c>
      <c r="D14" t="s">
        <v>521</v>
      </c>
      <c r="E14" t="s">
        <v>561</v>
      </c>
    </row>
    <row r="15" spans="2:5">
      <c r="B15" t="s">
        <v>535</v>
      </c>
      <c r="C15" t="s">
        <v>543</v>
      </c>
      <c r="D15" t="s">
        <v>521</v>
      </c>
      <c r="E15" t="s">
        <v>562</v>
      </c>
    </row>
    <row r="16" spans="2:5">
      <c r="B16" t="s">
        <v>536</v>
      </c>
      <c r="C16" t="s">
        <v>544</v>
      </c>
      <c r="D16" t="s">
        <v>521</v>
      </c>
      <c r="E16" t="s">
        <v>563</v>
      </c>
    </row>
    <row r="17" spans="2:5">
      <c r="B17" t="s">
        <v>537</v>
      </c>
      <c r="C17" t="s">
        <v>545</v>
      </c>
      <c r="D17" t="s">
        <v>521</v>
      </c>
      <c r="E17" t="s">
        <v>564</v>
      </c>
    </row>
    <row r="18" spans="2:5">
      <c r="B18" t="s">
        <v>538</v>
      </c>
      <c r="C18" t="s">
        <v>546</v>
      </c>
      <c r="D18" t="s">
        <v>521</v>
      </c>
      <c r="E18" t="s">
        <v>565</v>
      </c>
    </row>
    <row r="19" spans="2:5">
      <c r="B19" t="s">
        <v>539</v>
      </c>
      <c r="C19" t="s">
        <v>547</v>
      </c>
      <c r="D19" t="s">
        <v>521</v>
      </c>
      <c r="E19" t="s">
        <v>566</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C0CD-3B2A-4DA0-A954-04B702664FC8}">
  <dimension ref="B2:K25"/>
  <sheetViews>
    <sheetView showGridLines="0" workbookViewId="0">
      <selection activeCell="A26" sqref="A26"/>
    </sheetView>
  </sheetViews>
  <sheetFormatPr defaultRowHeight="15"/>
  <cols>
    <col min="1" max="1" width="3.140625" customWidth="1"/>
  </cols>
  <sheetData>
    <row r="2" spans="2:11">
      <c r="B2" s="105" t="s">
        <v>500</v>
      </c>
      <c r="C2" s="106"/>
      <c r="D2" s="106"/>
      <c r="E2" s="106"/>
      <c r="F2" s="106"/>
      <c r="G2" s="106"/>
      <c r="H2" s="106"/>
      <c r="I2" s="106"/>
      <c r="J2" s="106"/>
      <c r="K2" s="107"/>
    </row>
    <row r="3" spans="2:11">
      <c r="B3" s="108"/>
      <c r="K3" s="109"/>
    </row>
    <row r="4" spans="2:11">
      <c r="B4" s="108" t="s">
        <v>501</v>
      </c>
      <c r="K4" s="109"/>
    </row>
    <row r="5" spans="2:11">
      <c r="B5" s="108"/>
      <c r="K5" s="109"/>
    </row>
    <row r="6" spans="2:11">
      <c r="B6" s="110" t="s">
        <v>502</v>
      </c>
      <c r="K6" s="109"/>
    </row>
    <row r="7" spans="2:11">
      <c r="B7" s="110" t="s">
        <v>503</v>
      </c>
      <c r="K7" s="109"/>
    </row>
    <row r="8" spans="2:11">
      <c r="B8" s="110" t="s">
        <v>504</v>
      </c>
      <c r="K8" s="109"/>
    </row>
    <row r="9" spans="2:11">
      <c r="B9" s="110" t="s">
        <v>505</v>
      </c>
      <c r="K9" s="109"/>
    </row>
    <row r="10" spans="2:11">
      <c r="B10" s="110" t="s">
        <v>506</v>
      </c>
      <c r="K10" s="109"/>
    </row>
    <row r="11" spans="2:11">
      <c r="B11" s="110" t="s">
        <v>507</v>
      </c>
      <c r="K11" s="109"/>
    </row>
    <row r="12" spans="2:11">
      <c r="B12" s="110"/>
      <c r="K12" s="109"/>
    </row>
    <row r="13" spans="2:11">
      <c r="B13" s="110" t="s">
        <v>508</v>
      </c>
      <c r="K13" s="109"/>
    </row>
    <row r="14" spans="2:11">
      <c r="B14" s="110" t="s">
        <v>509</v>
      </c>
      <c r="K14" s="109"/>
    </row>
    <row r="15" spans="2:11">
      <c r="B15" s="110"/>
      <c r="K15" s="109"/>
    </row>
    <row r="16" spans="2:11">
      <c r="B16" s="110" t="s">
        <v>510</v>
      </c>
      <c r="K16" s="109"/>
    </row>
    <row r="17" spans="2:11">
      <c r="B17" s="110" t="s">
        <v>511</v>
      </c>
      <c r="K17" s="109"/>
    </row>
    <row r="18" spans="2:11">
      <c r="B18" s="110" t="s">
        <v>512</v>
      </c>
      <c r="K18" s="109"/>
    </row>
    <row r="19" spans="2:11">
      <c r="B19" s="110" t="s">
        <v>513</v>
      </c>
      <c r="K19" s="109"/>
    </row>
    <row r="20" spans="2:11">
      <c r="B20" s="110" t="s">
        <v>514</v>
      </c>
      <c r="K20" s="109"/>
    </row>
    <row r="21" spans="2:11">
      <c r="B21" s="110" t="s">
        <v>515</v>
      </c>
      <c r="K21" s="109"/>
    </row>
    <row r="22" spans="2:11">
      <c r="B22" s="110" t="s">
        <v>516</v>
      </c>
      <c r="K22" s="109"/>
    </row>
    <row r="23" spans="2:11">
      <c r="B23" s="110"/>
      <c r="K23" s="109"/>
    </row>
    <row r="24" spans="2:11">
      <c r="B24" s="110" t="s">
        <v>517</v>
      </c>
      <c r="D24" s="114" t="s">
        <v>518</v>
      </c>
      <c r="K24" s="109"/>
    </row>
    <row r="25" spans="2:11">
      <c r="B25" s="111" t="s">
        <v>706</v>
      </c>
      <c r="C25" s="112"/>
      <c r="D25" s="135" t="s">
        <v>707</v>
      </c>
      <c r="E25" s="112"/>
      <c r="F25" s="112"/>
      <c r="G25" s="112"/>
      <c r="H25" s="112"/>
      <c r="I25" s="112"/>
      <c r="J25" s="112"/>
      <c r="K25" s="113"/>
    </row>
  </sheetData>
  <hyperlinks>
    <hyperlink ref="D24" r:id="rId1" xr:uid="{C1585F6D-E84E-4BDD-BFC6-8C9DE04D69FF}"/>
    <hyperlink ref="D25" r:id="rId2" xr:uid="{A95008B9-006C-4ED2-8260-C9DECD11B08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58C24-33BE-44DB-863E-82947C8C3CEA}">
  <dimension ref="A1:A16"/>
  <sheetViews>
    <sheetView showGridLines="0" workbookViewId="0">
      <selection activeCell="F14" sqref="F14"/>
    </sheetView>
  </sheetViews>
  <sheetFormatPr defaultRowHeight="15"/>
  <sheetData>
    <row r="1" spans="1:1" ht="18">
      <c r="A1" s="115" t="s">
        <v>567</v>
      </c>
    </row>
    <row r="3" spans="1:1">
      <c r="A3" t="s">
        <v>568</v>
      </c>
    </row>
    <row r="4" spans="1:1">
      <c r="A4" s="116"/>
    </row>
    <row r="5" spans="1:1">
      <c r="A5" s="117" t="s">
        <v>569</v>
      </c>
    </row>
    <row r="6" spans="1:1">
      <c r="A6" s="118"/>
    </row>
    <row r="7" spans="1:1">
      <c r="A7" s="119" t="s">
        <v>570</v>
      </c>
    </row>
    <row r="8" spans="1:1">
      <c r="A8" s="119" t="s">
        <v>571</v>
      </c>
    </row>
    <row r="9" spans="1:1">
      <c r="A9" s="116"/>
    </row>
    <row r="10" spans="1:1">
      <c r="A10" s="117" t="s">
        <v>572</v>
      </c>
    </row>
    <row r="11" spans="1:1">
      <c r="A11" s="118"/>
    </row>
    <row r="12" spans="1:1">
      <c r="A12" s="118" t="s">
        <v>573</v>
      </c>
    </row>
    <row r="13" spans="1:1">
      <c r="A13" s="118" t="s">
        <v>574</v>
      </c>
    </row>
    <row r="14" spans="1:1">
      <c r="A14" s="118" t="s">
        <v>575</v>
      </c>
    </row>
    <row r="15" spans="1:1">
      <c r="A15" s="116"/>
    </row>
    <row r="16" spans="1:1">
      <c r="A16" s="117" t="s">
        <v>576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PromptGenerator</vt:lpstr>
      <vt:lpstr>HowToStudy</vt:lpstr>
      <vt:lpstr>Variables</vt:lpstr>
      <vt:lpstr>FGen_S1</vt:lpstr>
      <vt:lpstr>FGen_S2</vt:lpstr>
      <vt:lpstr>FGen_S3</vt:lpstr>
      <vt:lpstr>FGen_S4</vt:lpstr>
      <vt:lpstr>FGen_S5</vt:lpstr>
      <vt:lpstr>CellReference</vt:lpstr>
      <vt:lpstr>License</vt:lpstr>
      <vt:lpstr>HowTo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 Barrios</dc:creator>
  <cp:lastModifiedBy>Wil Barrios</cp:lastModifiedBy>
  <dcterms:created xsi:type="dcterms:W3CDTF">2026-06-26T06:07:42Z</dcterms:created>
  <dcterms:modified xsi:type="dcterms:W3CDTF">2026-08-23T21:59:52Z</dcterms:modified>
</cp:coreProperties>
</file>