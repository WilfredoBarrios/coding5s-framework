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A5F6D8AF-8D08-4BC0-A7F0-1FF59F3E6437}"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720" yWindow="99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47" i="1" l="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6" i="1"/>
  <c r="AD18" i="1"/>
  <c r="AD19" i="1"/>
  <c r="AD20" i="1"/>
  <c r="AD21" i="1"/>
  <c r="AD22" i="1"/>
  <c r="AD23" i="1"/>
  <c r="AD24" i="1"/>
  <c r="AD25" i="1"/>
  <c r="AD27" i="1"/>
  <c r="AD28" i="1"/>
  <c r="AD29" i="1"/>
  <c r="AD30" i="1"/>
  <c r="AD31" i="1"/>
  <c r="AD32" i="1"/>
  <c r="AD33" i="1"/>
  <c r="AD34" i="1"/>
  <c r="AD36" i="1"/>
  <c r="AD37" i="1"/>
  <c r="AD38" i="1"/>
  <c r="AD39" i="1"/>
  <c r="AD40" i="1"/>
  <c r="AD41" i="1"/>
  <c r="AD42" i="1"/>
  <c r="AD43" i="1"/>
  <c r="AD44" i="1"/>
  <c r="AD45"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6" i="1"/>
  <c r="AC18" i="1"/>
  <c r="AC19" i="1"/>
  <c r="AC20" i="1"/>
  <c r="AC21" i="1"/>
  <c r="AC22" i="1"/>
  <c r="AC23" i="1"/>
  <c r="AC24" i="1"/>
  <c r="AC25" i="1"/>
  <c r="AC27" i="1"/>
  <c r="AC28" i="1"/>
  <c r="AC29" i="1"/>
  <c r="AC30" i="1"/>
  <c r="AC31" i="1"/>
  <c r="AC32" i="1"/>
  <c r="AC33" i="1"/>
  <c r="AC34" i="1"/>
  <c r="AC36" i="1"/>
  <c r="AC37" i="1"/>
  <c r="AC38" i="1"/>
  <c r="AC39" i="1"/>
  <c r="AC40" i="1"/>
  <c r="AC41" i="1"/>
  <c r="AC42" i="1"/>
  <c r="AC43" i="1"/>
  <c r="AC44" i="1"/>
  <c r="AC45"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6" i="1"/>
  <c r="AB18" i="1"/>
  <c r="AB19" i="1"/>
  <c r="AB20" i="1"/>
  <c r="AB21" i="1"/>
  <c r="AB22" i="1"/>
  <c r="AB23" i="1"/>
  <c r="AB24" i="1"/>
  <c r="AB25" i="1"/>
  <c r="AB27" i="1"/>
  <c r="AB28" i="1"/>
  <c r="AB29" i="1"/>
  <c r="AB30" i="1"/>
  <c r="AB31" i="1"/>
  <c r="AB32" i="1"/>
  <c r="AB33" i="1"/>
  <c r="AB34" i="1"/>
  <c r="AB36" i="1"/>
  <c r="AB37" i="1"/>
  <c r="AB38" i="1"/>
  <c r="AB39" i="1"/>
  <c r="AB40" i="1"/>
  <c r="AB41" i="1"/>
  <c r="AB42" i="1"/>
  <c r="AB43" i="1"/>
  <c r="AB44" i="1"/>
  <c r="AB45"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5" i="1"/>
  <c r="AA16" i="1"/>
  <c r="AA18" i="1"/>
  <c r="AA19" i="1"/>
  <c r="AA20" i="1"/>
  <c r="AA21" i="1"/>
  <c r="AA22" i="1"/>
  <c r="AA23" i="1"/>
  <c r="AA24" i="1"/>
  <c r="AA25" i="1"/>
  <c r="AA27" i="1"/>
  <c r="AA28" i="1"/>
  <c r="AA29" i="1"/>
  <c r="AA30" i="1"/>
  <c r="AA31" i="1"/>
  <c r="AA32" i="1"/>
  <c r="AA33" i="1"/>
  <c r="AA34" i="1"/>
  <c r="AA36" i="1"/>
  <c r="AA37" i="1"/>
  <c r="AA38" i="1"/>
  <c r="AA39" i="1"/>
  <c r="AA40" i="1"/>
  <c r="AA41" i="1"/>
  <c r="AA42" i="1"/>
  <c r="AA43" i="1"/>
  <c r="AA44" i="1"/>
  <c r="AA45"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6" i="1"/>
  <c r="Z18" i="1"/>
  <c r="Z19" i="1"/>
  <c r="Z20" i="1"/>
  <c r="Z21" i="1"/>
  <c r="Z22" i="1"/>
  <c r="Z23" i="1"/>
  <c r="Z24" i="1"/>
  <c r="Z25" i="1"/>
  <c r="Z27" i="1"/>
  <c r="Z28" i="1"/>
  <c r="Z29" i="1"/>
  <c r="Z30" i="1"/>
  <c r="Z31" i="1"/>
  <c r="Z32" i="1"/>
  <c r="Z33" i="1"/>
  <c r="Z34" i="1"/>
  <c r="Z36" i="1"/>
  <c r="Z37" i="1"/>
  <c r="Z38" i="1"/>
  <c r="Z39" i="1"/>
  <c r="Z40" i="1"/>
  <c r="Z41" i="1"/>
  <c r="Z42" i="1"/>
  <c r="Z43" i="1"/>
  <c r="Z44" i="1"/>
  <c r="Z45"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E54" i="16" l="1"/>
  <c r="E55" i="16"/>
  <c r="E56" i="16"/>
  <c r="E59" i="16"/>
  <c r="E60" i="16"/>
  <c r="E61" i="16"/>
  <c r="E62" i="16"/>
  <c r="E63" i="16"/>
  <c r="E64" i="16"/>
  <c r="E65" i="16"/>
  <c r="E66" i="16"/>
  <c r="E67" i="16"/>
  <c r="E68" i="16"/>
  <c r="E69" i="16"/>
  <c r="E70" i="16"/>
  <c r="E71" i="16"/>
  <c r="E72" i="16"/>
  <c r="E73" i="16"/>
  <c r="E74" i="16"/>
  <c r="E75" i="16"/>
  <c r="E76" i="16"/>
  <c r="D53" i="16"/>
  <c r="E53" i="16" s="1"/>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X10" i="1" l="1"/>
  <c r="X22" i="1"/>
  <c r="X34" i="1"/>
  <c r="X46" i="1"/>
  <c r="AD46" i="1"/>
  <c r="W46" i="1" s="1"/>
  <c r="W10" i="1"/>
  <c r="W23" i="1"/>
  <c r="U11" i="1"/>
  <c r="U23" i="1"/>
  <c r="U35" i="1"/>
  <c r="AC35" i="1"/>
  <c r="T35" i="1" s="1"/>
  <c r="T11" i="1"/>
  <c r="T23" i="1"/>
  <c r="R11" i="1"/>
  <c r="R23" i="1"/>
  <c r="R35" i="1"/>
  <c r="AB35" i="1"/>
  <c r="Q35" i="1" s="1"/>
  <c r="Q11" i="1"/>
  <c r="Q23" i="1"/>
  <c r="O11" i="1"/>
  <c r="O23" i="1"/>
  <c r="O35" i="1"/>
  <c r="AA35" i="1"/>
  <c r="N35" i="1" s="1"/>
  <c r="N11" i="1"/>
  <c r="N23" i="1"/>
  <c r="L12" i="1"/>
  <c r="L24" i="1"/>
  <c r="L36" i="1"/>
  <c r="K12" i="1"/>
  <c r="K24" i="1"/>
  <c r="K36" i="1"/>
  <c r="L25" i="1"/>
  <c r="K13" i="1"/>
  <c r="K37" i="1"/>
  <c r="K15" i="1"/>
  <c r="K31" i="1"/>
  <c r="X11" i="1"/>
  <c r="X23" i="1"/>
  <c r="X35" i="1"/>
  <c r="AD35" i="1"/>
  <c r="W35" i="1" s="1"/>
  <c r="W11" i="1"/>
  <c r="W24" i="1"/>
  <c r="W36" i="1"/>
  <c r="U12" i="1"/>
  <c r="U24" i="1"/>
  <c r="U36" i="1"/>
  <c r="T12" i="1"/>
  <c r="T24" i="1"/>
  <c r="T36" i="1"/>
  <c r="R12" i="1"/>
  <c r="R24" i="1"/>
  <c r="R36" i="1"/>
  <c r="Q12" i="1"/>
  <c r="Q24" i="1"/>
  <c r="Q36" i="1"/>
  <c r="O12" i="1"/>
  <c r="O24" i="1"/>
  <c r="O36" i="1"/>
  <c r="N12" i="1"/>
  <c r="N24" i="1"/>
  <c r="N36" i="1"/>
  <c r="L13" i="1"/>
  <c r="L37" i="1"/>
  <c r="K25" i="1"/>
  <c r="K38" i="1"/>
  <c r="K27" i="1"/>
  <c r="X12" i="1"/>
  <c r="X24" i="1"/>
  <c r="X36" i="1"/>
  <c r="W12" i="1"/>
  <c r="W25" i="1"/>
  <c r="W37" i="1"/>
  <c r="U13" i="1"/>
  <c r="U25" i="1"/>
  <c r="U37" i="1"/>
  <c r="T13" i="1"/>
  <c r="T25" i="1"/>
  <c r="T37" i="1"/>
  <c r="R13" i="1"/>
  <c r="R25" i="1"/>
  <c r="R37" i="1"/>
  <c r="Q13" i="1"/>
  <c r="Q25" i="1"/>
  <c r="Q37" i="1"/>
  <c r="O13" i="1"/>
  <c r="O25" i="1"/>
  <c r="O37" i="1"/>
  <c r="N13" i="1"/>
  <c r="N25" i="1"/>
  <c r="N37" i="1"/>
  <c r="L14" i="1"/>
  <c r="L26" i="1"/>
  <c r="L38" i="1"/>
  <c r="Z26" i="1"/>
  <c r="K26" i="1" s="1"/>
  <c r="K14" i="1"/>
  <c r="K39" i="1"/>
  <c r="X13" i="1"/>
  <c r="X25" i="1"/>
  <c r="X37" i="1"/>
  <c r="W13" i="1"/>
  <c r="W38" i="1"/>
  <c r="U14" i="1"/>
  <c r="U26" i="1"/>
  <c r="U38" i="1"/>
  <c r="AC26" i="1"/>
  <c r="T26" i="1" s="1"/>
  <c r="T14" i="1"/>
  <c r="T38" i="1"/>
  <c r="R14" i="1"/>
  <c r="R26" i="1"/>
  <c r="R38" i="1"/>
  <c r="AB26" i="1"/>
  <c r="Q26" i="1" s="1"/>
  <c r="Q14" i="1"/>
  <c r="Q38" i="1"/>
  <c r="O14" i="1"/>
  <c r="O26" i="1"/>
  <c r="O38" i="1"/>
  <c r="AA26" i="1"/>
  <c r="N26" i="1" s="1"/>
  <c r="N14" i="1"/>
  <c r="N38" i="1"/>
  <c r="L15" i="1"/>
  <c r="L27" i="1"/>
  <c r="L39" i="1"/>
  <c r="X14" i="1"/>
  <c r="X26" i="1"/>
  <c r="X38" i="1"/>
  <c r="AD26" i="1"/>
  <c r="W26" i="1" s="1"/>
  <c r="W14" i="1"/>
  <c r="W27" i="1"/>
  <c r="W39" i="1"/>
  <c r="U15" i="1"/>
  <c r="U27" i="1"/>
  <c r="U39" i="1"/>
  <c r="T15" i="1"/>
  <c r="T27" i="1"/>
  <c r="T39" i="1"/>
  <c r="R15" i="1"/>
  <c r="R27" i="1"/>
  <c r="R39" i="1"/>
  <c r="Q15" i="1"/>
  <c r="Q27" i="1"/>
  <c r="Q39" i="1"/>
  <c r="O15" i="1"/>
  <c r="O27" i="1"/>
  <c r="O39" i="1"/>
  <c r="N15" i="1"/>
  <c r="N27" i="1"/>
  <c r="N39" i="1"/>
  <c r="L16" i="1"/>
  <c r="L28" i="1"/>
  <c r="L40" i="1"/>
  <c r="K16" i="1"/>
  <c r="K28" i="1"/>
  <c r="K40" i="1"/>
  <c r="X15" i="1"/>
  <c r="X27" i="1"/>
  <c r="X39" i="1"/>
  <c r="W15" i="1"/>
  <c r="W28" i="1"/>
  <c r="W40" i="1"/>
  <c r="U16" i="1"/>
  <c r="U28" i="1"/>
  <c r="U40" i="1"/>
  <c r="T16" i="1"/>
  <c r="T28" i="1"/>
  <c r="T40" i="1"/>
  <c r="R16" i="1"/>
  <c r="R28" i="1"/>
  <c r="R40" i="1"/>
  <c r="Q16" i="1"/>
  <c r="Q28" i="1"/>
  <c r="Q40" i="1"/>
  <c r="O16" i="1"/>
  <c r="O28" i="1"/>
  <c r="O40" i="1"/>
  <c r="N16" i="1"/>
  <c r="N28" i="1"/>
  <c r="N40" i="1"/>
  <c r="L17" i="1"/>
  <c r="L29" i="1"/>
  <c r="L41" i="1"/>
  <c r="Z17" i="1"/>
  <c r="K17" i="1" s="1"/>
  <c r="K29" i="1"/>
  <c r="K41" i="1"/>
  <c r="L30" i="1"/>
  <c r="K18" i="1"/>
  <c r="K42" i="1"/>
  <c r="N42" i="1"/>
  <c r="L31" i="1"/>
  <c r="X16" i="1"/>
  <c r="X28" i="1"/>
  <c r="X40" i="1"/>
  <c r="W16" i="1"/>
  <c r="W29" i="1"/>
  <c r="W41" i="1"/>
  <c r="U17" i="1"/>
  <c r="U29" i="1"/>
  <c r="U41" i="1"/>
  <c r="AC17" i="1"/>
  <c r="T17" i="1" s="1"/>
  <c r="T29" i="1"/>
  <c r="T41" i="1"/>
  <c r="R17" i="1"/>
  <c r="R29" i="1"/>
  <c r="R41" i="1"/>
  <c r="AB17" i="1"/>
  <c r="Q17" i="1" s="1"/>
  <c r="Q29" i="1"/>
  <c r="Q41" i="1"/>
  <c r="O17" i="1"/>
  <c r="O29" i="1"/>
  <c r="O41" i="1"/>
  <c r="AA17" i="1"/>
  <c r="N17" i="1" s="1"/>
  <c r="N29" i="1"/>
  <c r="N41" i="1"/>
  <c r="L18" i="1"/>
  <c r="L42" i="1"/>
  <c r="K30" i="1"/>
  <c r="N30" i="1"/>
  <c r="L19" i="1"/>
  <c r="X17" i="1"/>
  <c r="X29" i="1"/>
  <c r="X41" i="1"/>
  <c r="AD17" i="1"/>
  <c r="W17" i="1" s="1"/>
  <c r="W18" i="1"/>
  <c r="W30" i="1"/>
  <c r="W42" i="1"/>
  <c r="U18" i="1"/>
  <c r="U30" i="1"/>
  <c r="U42" i="1"/>
  <c r="T18" i="1"/>
  <c r="T30" i="1"/>
  <c r="T42" i="1"/>
  <c r="R18" i="1"/>
  <c r="R30" i="1"/>
  <c r="R42" i="1"/>
  <c r="Q18" i="1"/>
  <c r="Q30" i="1"/>
  <c r="Q42" i="1"/>
  <c r="O18" i="1"/>
  <c r="O30" i="1"/>
  <c r="O42" i="1"/>
  <c r="N18" i="1"/>
  <c r="L43" i="1"/>
  <c r="K43" i="1"/>
  <c r="X18" i="1"/>
  <c r="X30" i="1"/>
  <c r="X42" i="1"/>
  <c r="W19" i="1"/>
  <c r="W31" i="1"/>
  <c r="W43" i="1"/>
  <c r="U19" i="1"/>
  <c r="U31" i="1"/>
  <c r="U43" i="1"/>
  <c r="T19" i="1"/>
  <c r="T31" i="1"/>
  <c r="T43" i="1"/>
  <c r="R19" i="1"/>
  <c r="R31" i="1"/>
  <c r="R43" i="1"/>
  <c r="Q19" i="1"/>
  <c r="Q31" i="1"/>
  <c r="Q43" i="1"/>
  <c r="O19" i="1"/>
  <c r="O31" i="1"/>
  <c r="O43" i="1"/>
  <c r="N19" i="1"/>
  <c r="N31" i="1"/>
  <c r="N43" i="1"/>
  <c r="L20" i="1"/>
  <c r="L32" i="1"/>
  <c r="L44" i="1"/>
  <c r="K20" i="1"/>
  <c r="K32" i="1"/>
  <c r="K44" i="1"/>
  <c r="N32" i="1"/>
  <c r="N9" i="1"/>
  <c r="L45" i="1"/>
  <c r="L9" i="1"/>
  <c r="K21" i="1"/>
  <c r="K45" i="1"/>
  <c r="L35" i="1"/>
  <c r="X19" i="1"/>
  <c r="X31" i="1"/>
  <c r="X43" i="1"/>
  <c r="W20" i="1"/>
  <c r="W32" i="1"/>
  <c r="W44" i="1"/>
  <c r="U20" i="1"/>
  <c r="U32" i="1"/>
  <c r="U44" i="1"/>
  <c r="T20" i="1"/>
  <c r="T32" i="1"/>
  <c r="T44" i="1"/>
  <c r="R20" i="1"/>
  <c r="R32" i="1"/>
  <c r="R44" i="1"/>
  <c r="Q20" i="1"/>
  <c r="Q32" i="1"/>
  <c r="Q44" i="1"/>
  <c r="O20" i="1"/>
  <c r="O32" i="1"/>
  <c r="O44" i="1"/>
  <c r="N20" i="1"/>
  <c r="N44" i="1"/>
  <c r="L21" i="1"/>
  <c r="L33" i="1"/>
  <c r="K33" i="1"/>
  <c r="K9" i="1"/>
  <c r="K23" i="1"/>
  <c r="X20" i="1"/>
  <c r="X32" i="1"/>
  <c r="X44" i="1"/>
  <c r="W21" i="1"/>
  <c r="W33" i="1"/>
  <c r="W45" i="1"/>
  <c r="W9" i="1"/>
  <c r="U21" i="1"/>
  <c r="U33" i="1"/>
  <c r="U45" i="1"/>
  <c r="U9" i="1"/>
  <c r="T21" i="1"/>
  <c r="T33" i="1"/>
  <c r="T45" i="1"/>
  <c r="T9" i="1"/>
  <c r="R21" i="1"/>
  <c r="R33" i="1"/>
  <c r="R45" i="1"/>
  <c r="R9" i="1"/>
  <c r="Q21" i="1"/>
  <c r="Q33" i="1"/>
  <c r="Q45" i="1"/>
  <c r="Q9" i="1"/>
  <c r="O21" i="1"/>
  <c r="O33" i="1"/>
  <c r="O45" i="1"/>
  <c r="O9" i="1"/>
  <c r="N21" i="1"/>
  <c r="N33" i="1"/>
  <c r="N45" i="1"/>
  <c r="L10" i="1"/>
  <c r="L22" i="1"/>
  <c r="L34" i="1"/>
  <c r="L46" i="1"/>
  <c r="Z46" i="1"/>
  <c r="K46" i="1" s="1"/>
  <c r="K10" i="1"/>
  <c r="K22" i="1"/>
  <c r="K34" i="1"/>
  <c r="N10" i="1"/>
  <c r="N34" i="1"/>
  <c r="L11" i="1"/>
  <c r="Z35" i="1"/>
  <c r="K35" i="1" s="1"/>
  <c r="K11" i="1"/>
  <c r="K19" i="1"/>
  <c r="X21" i="1"/>
  <c r="X33" i="1"/>
  <c r="X45" i="1"/>
  <c r="X9" i="1"/>
  <c r="W22" i="1"/>
  <c r="W34" i="1"/>
  <c r="U10" i="1"/>
  <c r="U22" i="1"/>
  <c r="U34" i="1"/>
  <c r="U46" i="1"/>
  <c r="AC46" i="1"/>
  <c r="T46" i="1" s="1"/>
  <c r="T10" i="1"/>
  <c r="T22" i="1"/>
  <c r="T34" i="1"/>
  <c r="R10" i="1"/>
  <c r="R22" i="1"/>
  <c r="R34" i="1"/>
  <c r="R46" i="1"/>
  <c r="AB46" i="1"/>
  <c r="Q46" i="1" s="1"/>
  <c r="Q10" i="1"/>
  <c r="Q22" i="1"/>
  <c r="Q34" i="1"/>
  <c r="O10" i="1"/>
  <c r="O22" i="1"/>
  <c r="O34" i="1"/>
  <c r="O46" i="1"/>
  <c r="AA46" i="1"/>
  <c r="N46" i="1" s="1"/>
  <c r="N22" i="1"/>
  <c r="L23" i="1"/>
  <c r="L1" i="1"/>
  <c r="B50" i="1"/>
  <c r="B51" i="1" s="1"/>
  <c r="B52" i="1" s="1"/>
  <c r="B53" i="1" s="1"/>
  <c r="B54" i="1" s="1"/>
  <c r="B55" i="1" s="1"/>
  <c r="B56" i="1" s="1"/>
  <c r="B57" i="1" l="1"/>
  <c r="B58" i="1" s="1"/>
  <c r="B59" i="1" s="1"/>
  <c r="B60" i="1" s="1"/>
  <c r="B61" i="1" s="1"/>
  <c r="B62" i="1" s="1"/>
  <c r="B63" i="1" s="1"/>
  <c r="B64" i="1" s="1"/>
  <c r="A36" i="1" a="1"/>
  <c r="A36" i="1" s="1"/>
  <c r="A34" i="1" a="1"/>
  <c r="A34" i="1" s="1"/>
  <c r="A25" i="1" a="1"/>
  <c r="A25" i="1" s="1"/>
  <c r="A50" i="1" a="1"/>
  <c r="A50" i="1" s="1"/>
  <c r="A42" i="1" a="1"/>
  <c r="A42" i="1" s="1"/>
  <c r="A55" i="1" a="1"/>
  <c r="A55" i="1" s="1"/>
  <c r="A66" i="1" a="1"/>
  <c r="A66" i="1" s="1"/>
  <c r="A85" i="1" a="1"/>
  <c r="A85" i="1" s="1"/>
  <c r="A14" i="1" a="1"/>
  <c r="A14" i="1" s="1"/>
  <c r="A20" i="1" a="1"/>
  <c r="A20" i="1" s="1"/>
  <c r="A27" i="1" a="1"/>
  <c r="A27"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47" i="1" l="1" a="1"/>
  <c r="A47" i="1" s="1"/>
  <c r="A46" i="1" a="1"/>
  <c r="A46" i="1" s="1"/>
  <c r="A44" i="1" a="1"/>
  <c r="A44" i="1" s="1"/>
  <c r="A26" i="1" a="1"/>
  <c r="A26" i="1" s="1"/>
  <c r="A35" i="1" a="1"/>
  <c r="A35" i="1" s="1"/>
  <c r="A17" i="1" a="1"/>
  <c r="A17"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<sst xmlns="http://schemas.openxmlformats.org/spreadsheetml/2006/main" count="2509" uniqueCount="853">
  <si>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</si>
  <si>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</si>
  <si>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</si>
  <si>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</si>
  <si>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</si>
  <si>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</si>
  <si>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</si>
  <si>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</si>
  <si>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</si>
  <si>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</si>
  <si>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</si>
  <si>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</si>
  <si>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</si>
  <si>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</si>
  <si>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</si>
  <si>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</si>
  <si>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</si>
  <si>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</si>
  <si>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</si>
  <si>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</si>
  <si>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</si>
  <si>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</si>
  <si>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</si>
  <si>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</si>
  <si>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</si>
  <si>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</si>
  <si>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</si>
  <si>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</si>
  <si>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</si>
  <si>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</si>
  <si>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</si>
  <si>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</si>
  <si>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</si>
  <si>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</si>
  <si>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</si>
  <si>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</si>
  <si>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</si>
  <si>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</si>
  <si>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</si>
  <si>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</si>
  <si>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</si>
  <si>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</si>
  <si>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</si>
  <si>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</si>
  <si>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</si>
  <si>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</si>
  <si>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</si>
  <si>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</si>
  <si>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</si>
  <si>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</si>
  <si>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</si>
  <si>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</si>
  <si>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</si>
  <si>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</si>
  <si>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</si>
  <si>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</si>
  <si>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</si>
  <si>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</si>
  <si>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</si>
  <si>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</si>
  <si>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</si>
  <si>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</si>
  <si>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</si>
  <si>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</si>
  <si>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</si>
  <si>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</si>
  <si>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</si>
  <si>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</si>
  <si>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</si>
  <si>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</si>
  <si>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</si>
  <si>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</si>
  <si>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</si>
  <si>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</si>
  <si>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</si>
  <si>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</si>
  <si>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</si>
  <si>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</si>
  <si>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</si>
  <si>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</si>
  <si>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</si>
  <si>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</si>
  <si>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</si>
  <si>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</si>
  <si>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</si>
  <si>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</si>
  <si>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</si>
  <si>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</si>
  <si>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</si>
  <si>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</si>
  <si>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</si>
  <si>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</si>
  <si>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</si>
  <si>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</si>
  <si>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</si>
  <si>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</si>
  <si>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</si>
  <si>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</si>
  <si>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</si>
  <si>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</si>
  <si>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</si>
  <si>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</si>
  <si>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</si>
  <si>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</si>
  <si>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</si>
  <si>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</si>
  <si>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</si>
  <si>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</si>
  <si>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</si>
  <si>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</si>
  <si>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</si>
  <si>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</si>
  <si>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</si>
  <si>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</si>
  <si>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</si>
  <si>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</si>
  <si>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</si>
  <si>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</si>
  <si>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</si>
  <si>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</si>
  <si>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</si>
  <si>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</si>
  <si>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</si>
  <si>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</si>
  <si>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</si>
  <si>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</si>
  <si>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</si>
  <si>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</si>
  <si>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</si>
  <si>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</si>
  <si>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</si>
  <si>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</si>
  <si>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</si>
  <si>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</si>
  <si>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</si>
  <si>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</si>
  <si>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</si>
  <si>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</si>
  <si>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</si>
  <si>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</si>
  <si>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</si>
  <si>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</si>
  <si>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</si>
  <si>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</si>
  <si>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</si>
  <si>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</si>
  <si>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</si>
  <si>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</si>
  <si>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</si>
  <si>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</si>
  <si>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</si>
  <si>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</si>
  <si>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</si>
  <si>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</si>
  <si>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</si>
  <si>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</si>
  <si>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</si>
  <si>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</si>
  <si>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</si>
  <si>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</si>
  <si>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</si>
  <si>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</si>
  <si>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</si>
  <si>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</si>
  <si>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</si>
  <si>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</si>
  <si>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</si>
  <si>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</si>
  <si>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</si>
  <si>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</si>
  <si>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</si>
  <si>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</si>
  <si>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</si>
  <si>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</si>
  <si>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</si>
  <si>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</si>
  <si>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</si>
  <si>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</si>
  <si>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</si>
  <si>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</si>
  <si>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</si>
  <si>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</si>
  <si>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</si>
  <si>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</si>
  <si>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</si>
  <si>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</si>
  <si>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</si>
  <si>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</si>
  <si>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</si>
  <si>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</si>
  <si>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</si>
  <si>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</si>
  <si>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</si>
  <si>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</si>
  <si>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</si>
  <si>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</si>
  <si>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</si>
  <si>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</si>
  <si>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</si>
  <si>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</si>
  <si>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</si>
  <si>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</si>
  <si>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</si>
  <si>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</si>
  <si>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</si>
  <si>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</si>
  <si>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</si>
  <si>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</si>
  <si>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</si>
  <si>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</si>
  <si>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</si>
  <si>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</si>
  <si>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</si>
  <si>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</si>
  <si>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</si>
  <si>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</si>
  <si>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</si>
  <si>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</si>
  <si>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</si>
  <si>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</si>
  <si>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</si>
  <si>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</si>
  <si>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</si>
  <si>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</si>
  <si>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</si>
  <si>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</si>
  <si>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</si>
  <si>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</si>
  <si>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</si>
  <si>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</si>
  <si>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</si>
  <si>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</si>
  <si>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</si>
  <si>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</si>
  <si>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</si>
  <si>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</si>
  <si>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</si>
  <si>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</si>
  <si>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</si>
  <si>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</si>
  <si>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</si>
  <si>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</si>
  <si>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</si>
  <si>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</si>
  <si>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</si>
  <si>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</si>
  <si>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</si>
  <si>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</si>
  <si>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</si>
  <si>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</si>
  <si>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</si>
  <si>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</si>
  <si>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</si>
  <si>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</si>
  <si>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</si>
  <si>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</si>
  <si>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</si>
  <si>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</si>
  <si>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</si>
  <si>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</si>
  <si>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</si>
  <si>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</si>
  <si>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</si>
  <si>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</si>
  <si>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</si>
  <si>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</si>
  <si>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</si>
  <si>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</si>
  <si>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</si>
  <si>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</si>
  <si>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</si>
  <si>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</si>
  <si>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</si>
  <si>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</si>
  <si>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</si>
  <si>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</si>
  <si>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</si>
  <si>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</si>
  <si>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</si>
  <si>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</si>
  <si>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</si>
  <si>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</si>
  <si>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</si>
  <si>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</si>
  <si>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</si>
  <si>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</si>
  <si>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</si>
  <si>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</si>
  <si>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</si>
  <si>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</si>
  <si>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</si>
  <si>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</si>
  <si>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</si>
  <si>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</si>
  <si>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</si>
  <si>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</si>
  <si>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</si>
  <si>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</si>
  <si>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</si>
  <si>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</si>
  <si>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</si>
  <si>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</si>
  <si>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</si>
  <si>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</si>
  <si>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</si>
  <si>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</si>
  <si>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</si>
  <si>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</si>
  <si>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</si>
  <si>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</si>
  <si>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</si>
  <si>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</si>
  <si>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</si>
  <si>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</si>
  <si>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</si>
  <si>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</si>
  <si>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</si>
  <si>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</si>
  <si>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</si>
  <si>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</si>
  <si>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</si>
  <si>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</si>
  <si>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</si>
  <si>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</si>
  <si>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</si>
  <si>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</si>
  <si>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</si>
  <si>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</si>
  <si>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</si>
  <si>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</si>
  <si>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</si>
  <si>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</si>
  <si>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</si>
  <si>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</si>
  <si>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</si>
  <si>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</si>
  <si>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</si>
  <si>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</si>
  <si>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</si>
  <si>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</si>
  <si>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</si>
  <si>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</si>
  <si>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</si>
  <si>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</si>
  <si>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</si>
  <si>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</si>
  <si>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</si>
  <si>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</si>
  <si>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</si>
  <si>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</si>
  <si>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</si>
  <si>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</si>
  <si>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</si>
  <si>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</si>
  <si>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</si>
  <si>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</si>
  <si>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</si>
  <si>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</si>
  <si>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</si>
  <si>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</si>
  <si>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</si>
  <si>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</si>
  <si>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</si>
  <si>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</si>
  <si>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</si>
  <si>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</si>
  <si>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</si>
  <si>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</si>
  <si>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</si>
  <si>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</si>
  <si>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</si>
  <si>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</si>
  <si>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</si>
  <si>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</si>
  <si>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</si>
  <si>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</si>
  <si>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</si>
  <si>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</si>
  <si>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</si>
  <si>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</si>
  <si>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</si>
  <si>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</si>
  <si>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</si>
  <si>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</si>
  <si>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</si>
  <si>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</si>
  <si>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</si>
  <si>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</si>
  <si>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</si>
  <si>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</si>
  <si>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</si>
  <si>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</si>
  <si>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</si>
  <si>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</si>
  <si>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</si>
  <si>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</si>
  <si>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</si>
  <si>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</si>
  <si>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</si>
  <si>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</si>
  <si>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</si>
  <si>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</si>
  <si>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</si>
  <si>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</si>
  <si>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</si>
  <si>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</si>
  <si>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</si>
  <si>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</si>
  <si>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</si>
  <si>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</si>
  <si>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</si>
  <si>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</si>
  <si>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</si>
  <si>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</si>
  <si>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</si>
  <si>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</si>
  <si>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</si>
  <si>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</si>
  <si>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</si>
  <si>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</si>
  <si>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</si>
  <si>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</si>
  <si>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</si>
  <si>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</si>
  <si>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</si>
  <si>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</si>
  <si>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</si>
  <si>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</si>
  <si>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</si>
  <si>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</si>
  <si>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</si>
  <si>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</si>
  <si>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</si>
  <si>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</si>
  <si>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</si>
  <si>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</si>
  <si>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</si>
  <si>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</si>
  <si>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</si>
  <si>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</si>
  <si>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</si>
  <si>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</si>
  <si>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</si>
  <si>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</si>
  <si>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</si>
  <si>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</si>
  <si>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</si>
  <si>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</si>
  <si>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</si>
  <si>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</si>
  <si>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</si>
  <si>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</si>
  <si>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</si>
  <si>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</si>
  <si>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</si>
  <si>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</si>
  <si>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</si>
  <si>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</si>
  <si>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</si>
  <si>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</si>
  <si>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</si>
  <si>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</si>
  <si>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</si>
  <si>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</si>
  <si>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</si>
  <si>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</si>
  <si>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</si>
  <si>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</si>
  <si>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</si>
  <si>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</si>
  <si>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</si>
  <si>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</si>
  <si>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</si>
  <si>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</si>
  <si>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</si>
  <si>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</si>
  <si>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</si>
  <si>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</si>
  <si>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</si>
  <si>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</si>
  <si>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</si>
  <si>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</si>
  <si>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</si>
  <si>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</si>
  <si>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</si>
  <si>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</si>
  <si>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</si>
  <si>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</si>
  <si>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</si>
  <si>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</si>
  <si>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</si>
  <si>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</si>
  <si>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</si>
  <si>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</si>
  <si>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</si>
  <si>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</si>
  <si>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</si>
  <si>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</si>
  <si>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</si>
  <si>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</si>
  <si>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</si>
  <si>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</si>
  <si>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</si>
  <si>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</si>
  <si>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</si>
  <si>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</si>
  <si>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</si>
  <si>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</si>
  <si>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</si>
  <si>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</si>
  <si>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</si>
  <si>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</si>
  <si>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</si>
  <si>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</si>
  <si>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</si>
  <si>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</si>
  <si>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</si>
  <si>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</si>
  <si>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</si>
  <si>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</si>
  <si>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</si>
  <si>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</si>
  <si>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</si>
  <si>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</si>
  <si>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</si>
  <si>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</si>
  <si>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</si>
  <si>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</si>
  <si>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</si>
  <si>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</si>
  <si>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</si>
  <si>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</si>
  <si>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</si>
  <si>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</si>
  <si>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</si>
  <si>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</si>
  <si>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</si>
  <si>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</si>
  <si>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</si>
  <si>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</si>
  <si>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</si>
  <si>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</si>
  <si>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</si>
  <si>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</si>
  <si>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</si>
  <si>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</si>
  <si>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</si>
  <si>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</si>
  <si>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</si>
  <si>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</si>
  <si>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</si>
  <si>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</si>
  <si>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</si>
  <si>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</si>
  <si>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</si>
  <si>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</si>
  <si>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</si>
  <si>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</si>
  <si>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</si>
  <si>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</si>
  <si>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</si>
  <si>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</si>
  <si>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</si>
  <si>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</si>
  <si>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</si>
  <si>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</si>
  <si>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</si>
  <si>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</si>
  <si>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</si>
  <si>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</si>
  <si>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</si>
  <si>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</si>
  <si>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</si>
  <si>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</si>
  <si>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</si>
  <si>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</si>
  <si>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</si>
  <si>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</si>
  <si>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</si>
  <si>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</si>
  <si>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</si>
  <si>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</si>
  <si>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</si>
  <si>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</si>
  <si>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</si>
  <si>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</si>
  <si>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</si>
  <si>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</si>
  <si>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</si>
  <si>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</si>
  <si>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</si>
  <si>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</si>
  <si>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</si>
  <si>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</si>
  <si>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</si>
  <si>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</si>
  <si>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</si>
  <si>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</si>
  <si>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</si>
  <si>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</si>
  <si>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</si>
  <si>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</si>
  <si>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</si>
  <si>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</si>
  <si>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</si>
  <si>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</si>
  <si>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</si>
  <si>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</si>
  <si>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</si>
  <si>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</si>
  <si>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</si>
  <si>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</si>
  <si>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</si>
  <si>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</si>
  <si>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</si>
  <si>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</si>
  <si>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</si>
  <si>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</si>
  <si>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</si>
  <si>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</si>
  <si>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</si>
  <si>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</si>
  <si>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</si>
  <si>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</si>
  <si>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</si>
  <si>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</si>
  <si>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</si>
  <si>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</si>
  <si>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</si>
  <si>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</si>
  <si>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</si>
  <si>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</si>
  <si>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</si>
  <si>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</si>
  <si>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</si>
  <si>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</si>
  <si>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</si>
  <si>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</si>
  <si>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</si>
  <si>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</si>
  <si>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</si>
  <si>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</si>
  <si>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</si>
  <si>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</si>
  <si>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</si>
  <si>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</si>
  <si>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</si>
  <si>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</si>
  <si>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</si>
  <si>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</si>
  <si>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</si>
  <si>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</si>
  <si>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</si>
  <si>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</si>
  <si>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</si>
  <si>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</si>
  <si>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</si>
  <si>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</si>
  <si>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</si>
  <si>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</si>
  <si>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</si>
  <si>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</si>
  <si>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</si>
  <si>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</si>
  <si>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</si>
  <si>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</si>
  <si>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</si>
  <si>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</si>
  <si>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</si>
  <si>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</si>
  <si>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</si>
  <si>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</si>
  <si>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</si>
  <si>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</si>
  <si>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</si>
  <si>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</si>
  <si>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</si>
  <si>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</si>
  <si>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</si>
  <si>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</si>
  <si>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</si>
  <si>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</si>
  <si>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</si>
  <si>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</si>
  <si>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</si>
  <si>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</si>
  <si>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</si>
  <si>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</si>
  <si>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</si>
  <si>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</si>
  <si>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</si>
  <si>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</si>
  <si>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</si>
  <si>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</si>
  <si>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</si>
  <si>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</si>
  <si>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</si>
  <si>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</si>
  <si>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</si>
  <si>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</si>
  <si>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</si>
  <si>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</si>
  <si>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</si>
  <si>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</si>
  <si>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</si>
  <si>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</si>
  <si>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</si>
  <si>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</si>
  <si>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</si>
  <si>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</si>
  <si>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</si>
  <si>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</si>
  <si>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</si>
  <si>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</si>
  <si>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</si>
  <si>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</si>
  <si>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</si>
  <si>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</si>
  <si>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</si>
  <si>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Standard basic logic validation using native assert statements.</t>
  </si>
  <si>
    <t>Support files (.env, .env.example) MUST be provided BEFORE the broken code, fully correct, and contain NO bugs.</t>
  </si>
  <si>
    <t>All challenges MUST have similar complexity, length, and functional scope.</t>
  </si>
  <si>
    <t>Simple console output verification via standard print() statements.</t>
  </si>
  <si>
    <t>Act as 'The Logical Scaffold' (El Maestro de Obra). Focus on simple Data Gap Analysis (Point A -&gt; Point B -&gt; Point C) and structural code completion.</t>
  </si>
  <si>
    <t>MUST NOT exceed exactly 6 lines of EXECUTABLE code per example (STRICT: Do NOT count comment lines or blank lines towards this limit).</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</si>
  <si>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</si>
  <si>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</si>
  <si>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</si>
  <si>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</si>
  <si>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</si>
  <si>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</si>
  <si>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Dart Object-Oriented &amp; Advanced Patterns</t>
  </si>
  <si>
    <t>Demonstrate Class Declaration and Instantiation using class, new, identical(), and runtimeType.</t>
  </si>
  <si>
    <t>Class Declaration &amp; Instantiation (class, new, identical(), runtimeType)</t>
  </si>
  <si>
    <t>Implement the Value Equality Contract using operator == and hashCode.</t>
  </si>
  <si>
    <t>Value Equality Contract (operator ==, hashCode)</t>
  </si>
  <si>
    <t>Assign Field Modifiers including static, final, late, and const.</t>
  </si>
  <si>
    <t>Field Modifiers (static, final, late, const)</t>
  </si>
  <si>
    <t>Create Computed Properties using get, set, and backing _fields.</t>
  </si>
  <si>
    <t>Computed Properties (get, set, backing _fields)</t>
  </si>
  <si>
    <t>Implement Generative and Named Constructors with this.field and Class.name().</t>
  </si>
  <si>
    <t>Generative &amp; Named Constructors (this.field, Class.name())</t>
  </si>
  <si>
    <t>Apply Initializer Lists and Redirects using : assert(), : field =, and this.name().</t>
  </si>
  <si>
    <t>Initializer Lists &amp; Redirects (: assert(), : field =, this.name())</t>
  </si>
  <si>
    <t>Utilize Super Constructors and Parameters with super() and super.field.</t>
  </si>
  <si>
    <t>Super Constructors &amp; Parameters (super(), super.field)</t>
  </si>
  <si>
    <t>Create Const Constructors and Tear-Offs using const Class(), Class.new, and Class.name.</t>
  </si>
  <si>
    <t>Const Constructors &amp; Tear-Offs (const Class(), Class.new, Class.name)</t>
  </si>
  <si>
    <t>Develop a domain entity consolidating Class Declaration and Instantiation, Value Equality Contract, Field Modifiers, Computed Properties, Generative and Named Constructors, Initializer Lists and Redirects, Super Constructors, and Const Constructors.</t>
  </si>
  <si>
    <t>Domain Entity Blueprint with Classes and Constructors</t>
  </si>
  <si>
    <t>Define Instance and Static Methods using void, static returnType, and _privateMethod().</t>
  </si>
  <si>
    <t>Instance &amp; Static Methods (void, static returnType, _privateMethod())</t>
  </si>
  <si>
    <t>Apply Cascade Operators using .. and ?.. .</t>
  </si>
  <si>
    <t>Cascade Operators (.., ?..)</t>
  </si>
  <si>
    <t>Implement Callable Objects with call().</t>
  </si>
  <si>
    <t>Callable Objects (call())</t>
  </si>
  <si>
    <t>Overload Arithmetic and Index Operators using operator +, operator -, operator [], and operator []=.</t>
  </si>
  <si>
    <t>Arithmetic &amp; Index Operator Overloading (operator +, operator -, operator [], operator []=)</t>
  </si>
  <si>
    <t>Overload Relational Operators using operator &gt;, operator &lt;, operator &gt;=, and operator &lt;=.</t>
  </si>
  <si>
    <t>Relational Operator Overloading (operator &gt;, operator &lt;, operator &gt;=, operator &lt;=)</t>
  </si>
  <si>
    <t>Extend a Class using extends and super.method().</t>
  </si>
  <si>
    <t>Class Extension (extends, super.method())</t>
  </si>
  <si>
    <t>Override Methods using @override and covariant.</t>
  </si>
  <si>
    <t>Method Overriding (@override, covariant)</t>
  </si>
  <si>
    <t>Create Abstract Classes using abstract class and unimplemented methods.</t>
  </si>
  <si>
    <t>Abstract Classes (abstract class, unimplemented methods)</t>
  </si>
  <si>
    <t>Build a behavioral hierarchy consolidating Instance and Static Methods, Cascade Operators, Callable Objects, Arithmetic and Index Operator Overloading, Relational Operator Overloading, Class Extension, Method Overriding, and Abstract Classes.</t>
  </si>
  <si>
    <t>Behavioral Hierarchy with Methods and Inheritance</t>
  </si>
  <si>
    <t>Implement Implicit Interfaces using implements and multiple interface contracts.</t>
  </si>
  <si>
    <t>Implicit Interfaces (implements, multiple interface contracts)</t>
  </si>
  <si>
    <t>Apply Mixins using mixin and with.</t>
  </si>
  <si>
    <t>Mixin Application (mixin, with)</t>
  </si>
  <si>
    <t>Constrain Mixins using the on keyword.</t>
  </si>
  <si>
    <t>Mixin Constraints (on keyword)</t>
  </si>
  <si>
    <t>Declare Mixin Classes using mixin class.</t>
  </si>
  <si>
    <t>Mixin Classes (mixin class)</t>
  </si>
  <si>
    <t>Declare Enhanced Enums using enum and const fields.</t>
  </si>
  <si>
    <t>Enhanced Enum Declaration (enum, const fields)</t>
  </si>
  <si>
    <t>Enhance Enums with Methods and Interfaces using enum.values, enum.name, and implements.</t>
  </si>
  <si>
    <t>Enum Methods &amp; Interfaces (enum.values, enum.name, implements)</t>
  </si>
  <si>
    <t>Implement Factory Constructors using factory and returning cached instances.</t>
  </si>
  <si>
    <t>Factory Constructors (factory, returning cached instances)</t>
  </si>
  <si>
    <t>Create Private Internal Constructors using Class._internal() for singletons.</t>
  </si>
  <si>
    <t>Private Internal Constructors (Class._internal(), singletons)</t>
  </si>
  <si>
    <t>Construct a flexible composition system consolidating Implicit Interfaces, Mixin Application, Mixin Constraints, Mixin Classes, Enhanced Enum Declaration, Enum Methods and Interfaces, Factory Constructors, and Private Internal Constructors.</t>
  </si>
  <si>
    <t>Composition System with Interfaces Mixins Enums and Factories</t>
  </si>
  <si>
    <t>Define Extension Methods using extension on, show, and hide.</t>
  </si>
  <si>
    <t>Extension Methods (extension on, show, hide)</t>
  </si>
  <si>
    <t>Create Extension Types using extension type and zero-cost wrappers.</t>
  </si>
  <si>
    <t>Extension Types (extension type, zero-cost wrappers)</t>
  </si>
  <si>
    <t>Apply Inheritance Modifiers using final class, base class, and interface class.</t>
  </si>
  <si>
    <t>Inheritance Modifiers (final class, base class, interface class)</t>
  </si>
  <si>
    <t>Implement Sealed Hierarchies using sealed class and switch exhaustiveness.</t>
  </si>
  <si>
    <t>Sealed Hierarchies (sealed class, switch exhaustiveness)</t>
  </si>
  <si>
    <t>Create Generic Classes using class Box&lt;T&gt; and class Pair&lt;K, V&gt;.</t>
  </si>
  <si>
    <t>Generic Classes (class Box&lt;T&gt;, class Pair&lt;K, V&gt;)</t>
  </si>
  <si>
    <t>Apply Bounded Type Constraints using &lt;T BaseType extends&gt; and &lt;T Object extends&gt;.</t>
  </si>
  <si>
    <t>Bounded Type Constraints (&lt;T BaseType extends&gt;, &lt;T Object extends&gt;)</t>
  </si>
  <si>
    <t>Implement Custom Exceptions using implements Exception and toString().</t>
  </si>
  <si>
    <t>Exception Implementation (implements Exception, toString())</t>
  </si>
  <si>
    <t>Extend Errors using extends Error and capturing state.</t>
  </si>
  <si>
    <t>Error Extension (extends Error, capturing state)</t>
  </si>
  <si>
    <t>Develop an advanced type-safe hierarchy consolidating Extension Methods, Extension Types, Inheritance Modifiers, Sealed Hierarchies, Generic Classes, Bounded Type Constraints, Exception Implementation, and Error Extension.</t>
  </si>
  <si>
    <t>Advanced Type System and Error Handling Project</t>
  </si>
  <si>
    <t>Organize Test Suites using group(), setUp(), and tearDown().</t>
  </si>
  <si>
    <t>Test Suite Organization (group(), setUp(), tearDown())</t>
  </si>
  <si>
    <t>Assert Behaviors using test(), expect(), and throwsA().</t>
  </si>
  <si>
    <t>Behavior Assertions (test(), expect(), throwsA())</t>
  </si>
  <si>
    <t>Dart native classes, constructors, OOP patterns, and standard core execution models utilizing top-level main().</t>
  </si>
  <si>
    <t>Focus strictly on basic class definitions, constructors, properties, and object instantiation inside main(). DO NOT use procedural scripts.</t>
  </si>
  <si>
    <t>STRICT REQUIREMENT: Integrate custom class definitions ('class'), constructors, instance methods, and getters/setters in EVERY example.</t>
  </si>
  <si>
    <t>Advanced OOP &amp; patterns: abstract classes, mixins, factory/named constructors, interfaces ('implements'), extensions, and overriding ('@override').</t>
  </si>
  <si>
    <t>Use primitives (int, double, String, bool) and flat List/Map collections inside class structures. No deep nesting.</t>
  </si>
  <si>
    <t>Print intermediate steps and final results explicitly using standard print() statements with string interpolation.</t>
  </si>
  <si>
    <t>You MUST instantiate the class and invoke at least one instance method inside the main() block. STRICTLY PROHIBITED: Do not use complex boilerplate entry points outside main().</t>
  </si>
  <si>
    <t>Basic primitive types (int, double, String, bool) or simple List/Map structures within classes.</t>
  </si>
  <si>
    <t>print() statements with string interpolation to display outputs clearly.</t>
  </si>
  <si>
    <t>reinventing native OOP features, violating encapsulation, or ignoring Effective Dart object-oriented and pattern design idioms</t>
  </si>
  <si>
    <t>official Effective Dart OOP guidelines, composition over inheritance, proper access modifiers ('_'), and idiomatic main() instantiations</t>
  </si>
  <si>
    <t>visual block tags separating script sections (e.g., '// --- BLOQUE 1: [NAME] ---')</t>
  </si>
  <si>
    <t>comprehensive doc comments using triple slashes ('///') explaining class purposes, parameters, return types, and exceptions</t>
  </si>
  <si>
    <t>80 characters (Effective Dart standard)</t>
  </si>
  <si>
    <t>Evaluate based on basic class instantiation, constructors, and property access inside main(). Do NOT expect advanced mixins or factories unless explicitly demanded.</t>
  </si>
  <si>
    <t>Expect clean class definitions, proper encapsulation (using '_'), named constructors, and correct 'this' usage. Enforce solid OOP principles.</t>
  </si>
  <si>
    <t>Expect advanced OOP architecture using abstract classes, mixins, factory constructors, interfaces, overriding, and composition.</t>
  </si>
  <si>
    <t>Use PascalCase for Classes/Mixins, camelCase for functions/variables/methods, lowerCamelCase for constants, and snake_case for file names adhering to Effective Dart.</t>
  </si>
  <si>
    <t>Dart object model built-ins from dart:core, primitive operators, and explicit type conversion methods like int.parse().</t>
  </si>
  <si>
    <t>Reject procedural loose functions outside classes, unencapsulated global state, abusing dynamic type, or writing weakly-typed monolithic scripts.</t>
  </si>
  <si>
    <t>Enforce strict null safety in constructors. Use 'required' named parameters, const defaults, or nullable types with late initialization correctly.</t>
  </si>
  <si>
    <t>Enforce utf8 encoding when handling files via File from dart:io using readAsString() or openRead() streams inside class methods.</t>
  </si>
  <si>
    <t>Environment variables via Platform.environment or dotenv packages may be used but bugs MUST exist ONLY in Dart code logic, NEVER in .env files.</t>
  </si>
  <si>
    <t>Validation using print() statements or native assert statements. Avoid complex dart test suites; keep object validation inside main().</t>
  </si>
  <si>
    <t>Standard Dart runtime context. If external packages are needed, specify them strictly in pubspec.yaml support files.</t>
  </si>
  <si>
    <t>Each challenge MUST include: internal data OR collection usage, at least 1 print statement, at least 1 loop (when applicable), EXACTLY 1 class definition, 1 constructor, and EXACTLY 1 class instantiation within main().</t>
  </si>
  <si>
    <t>lines of EXECUTABLE broken Dart code per challenge (STRICT: Do NOT count blank lines). All logic MUST be encapsulated inside class methods and executed via main().</t>
  </si>
  <si>
    <t>Simulate a messy Dart OOP script. The project MUST contain EXACTLY 2-5 bugs mixing Syntax errors, Null-safety errors, OOP/Encapsulation logic errors, and Runtime Exceptions.</t>
  </si>
  <si>
    <t>1. Syntax &amp; Type Errors (e.g., missing semicolons/brackets, type mismatches, constructor syntax errors, unhandled null access violating strict null safety),</t>
  </si>
  <si>
    <t>2. Logic Errors (e.g., incorrect calculations, faulty comparison operators, improper encapsulation/getters, wrong return values), AND</t>
  </si>
  <si>
    <t>3. Runtime Exceptions (e.g., StateError, RangeError, FormatException, NoSuchMethodError due to bad casting).</t>
  </si>
  <si>
    <t>Clean Effective Dart compliant OOP code, descriptive PascalCase classes, camelCase methods, 2-space indentation, strong typing, and explicit Minimal Intervention Rule.</t>
  </si>
  <si>
    <t>Use PascalCase for Classes, camelCase for methods/variables, lowerCamelCase for constants, and snake_case for file names.</t>
  </si>
  <si>
    <t>Act as 'The Analytical Partner' (El Detective con Cafe). Translate machine tracebacks from bottom to top into plain human language. Enforce NO KEYBOARD rule in Phase 1.</t>
  </si>
  <si>
    <t>Enforce strict null safety in constructors. Use 'required', const defaults, or nullable types with late initialization correctly.</t>
  </si>
  <si>
    <t>Standard Dart built-ins. Strictly ZERO external pub.dev packages required for beginner topics.</t>
  </si>
  <si>
    <t>For Beginner level, // TODO MUST be atomic (1-2 simple lines max, e.g., basic property assignment, method call, or direct comparison). NO complex buffer redirections or string parsing.</t>
  </si>
  <si>
    <t>5-15 lines of EXECUTABLE base code with a main() entry point. Code outside // TODO MUST be 100% valid and readable. All code MUST be encapsulated within a class structure.</t>
  </si>
  <si>
    <t>Require standard dart pub tooling and pubspec.yaml file for external dependencies when applicable.</t>
  </si>
  <si>
    <t>MUST be between 25-40 lines of EXECUTABLE base Dart code (STRICT: Do NOT count comments or // TODO blocks).</t>
  </si>
  <si>
    <t>Class-based object architecture. Require at least 1 class with internal state management. Logica de integracion ubicada exclusivamente dentro de los bloques // TODO.</t>
  </si>
  <si>
    <t>Clean Effective Dart compliant OOP code with 2-space indentation. Enforce Minimal Intervention Rule and NO KEYBOARD rule in Phase 1.</t>
  </si>
  <si>
    <t>Reject loose procedural code outside classes. Enforce explicit encapsulation (use private '_properties') and correct 'this' usage.</t>
  </si>
  <si>
    <t>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t>
  </si>
  <si>
    <t>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</si>
</sst>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Dart Object-Oriented &amp; Advanced Patterns | [TASK] Teach and explain concepts clearly with correct code examples | [TOPIC] Demonstrate Class Declaration and Instantiation using class, new, identical(), and runtimeType. | [LEVEL] Intermediate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Dart Object-Oriented &amp; Advanced Patterns | 📊 Level: Intermediate | 🌐 Coding5s.com
**Concept:** Class Declaration &amp; Instantiation (class, new, identical(), runtimeType)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731</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0</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38</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673</v>
      </c>
      <c r="P7" s="22"/>
      <c r="Q7" s="31" t="s">
        <v>673</v>
      </c>
      <c r="R7" s="31" t="s">
        <v>673</v>
      </c>
      <c r="S7" s="39"/>
      <c r="T7" s="31" t="s">
        <v>673</v>
      </c>
      <c r="U7" s="31" t="s">
        <v>673</v>
      </c>
      <c r="V7" s="22"/>
      <c r="W7" s="31" t="s">
        <v>673</v>
      </c>
      <c r="X7" s="31" t="s">
        <v>673</v>
      </c>
      <c r="Y7" s="39"/>
      <c r="Z7" s="31" t="s">
        <v>673</v>
      </c>
      <c r="AA7" s="31" t="s">
        <v>673</v>
      </c>
      <c r="AB7" s="31" t="s">
        <v>673</v>
      </c>
      <c r="AC7" s="31" t="s">
        <v>673</v>
      </c>
      <c r="AD7" s="31" t="s">
        <v>673</v>
      </c>
      <c r="AE7" s="35" t="str">
        <f>_xlfn.CONCAT(AH9:AH200)</f>
        <v/>
      </c>
      <c r="AF7" s="15"/>
      <c r="AG7" s="15"/>
      <c r="AH7" s="15"/>
      <c r="AI7" s="15"/>
      <c r="AJ7" s="15"/>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12</v>
      </c>
      <c r="D9" s="46">
        <v>3</v>
      </c>
      <c r="E9" s="47" t="s">
        <v>46</v>
      </c>
      <c r="F9" s="48">
        <v>1</v>
      </c>
      <c r="G9" s="49" t="s">
        <v>158</v>
      </c>
      <c r="H9" s="49" t="s">
        <v>48</v>
      </c>
      <c r="I9" s="50" t="s">
        <v>732</v>
      </c>
      <c r="J9" s="51" t="s">
        <v>733</v>
      </c>
      <c r="K9" s="129"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basic class definitions, constructors, properties, and object instantiation inside main(). DO NOT use procedural scripts.", IF(G9="Intermediate", "STRICT REQUIREMENT: Integrate custom class definitions ('class'), constructors, instance methods, and getters/setters in EVERY example.", "Advanced OOP &amp; patterns: abstract classes, mixins, factory/named constructors, interfaces ('implements'), extensions, and overriding ('@override').")) &amp; " | " &amp;
_xlfn._LONGTEXT("[CODE_CONSTRAINTS_RULE]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 &amp;
"[I_O_PARADIGM] Use Basic primitive types (int, double, String, bool) or simple List/Map structures within classes. and gracefully handle print() statements with string interpolation to display outputs clearly. when applicable. | " &amp;
"[INLINE_PACKAGE_MANAGER] If using external packages, use Dart native classes, constructors, OOP patterns,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Dart Object-Oriented &amp; Advanced Patterns | [TOPIC] Demonstrate Class Declaration and Instantiation using class, new, identical(), and runtimeType.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Object-Oriented &amp; Advanced Patterns | 📊 Level: Intermediate | 🌐 Coding5s.com
**Concept:** Class Declaration &amp; Instantiation (class, new, identical(), runtimeType)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class instantiation, constructors, and property access inside main(). Do NOT expect advanced mixins or factories unless explicitly demanded.", IF(G9="Intermediate", "Expect clean class definitions, proper encapsulation (using '_'), named constructors, and correct 'this' usage. Enforce solid OOP principles.", "Expect advanced OOP architecture using abstract classes, mixins, factory constructors, interfaces, overriding, and composition.")) &amp; " | " &amp;
_xlfn._LONGTEXT("[CODE_QUALITY_POLICIES]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Class Declaration and Instantiation using class, new, identical(), and runtimeType.. Topic details: Class Declaration &amp; Instantiation (class, new, identical(), runtimeType)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Object-Oriented &amp; Advanced Patterns | 📊 Level: Intermediate
**Topic:** Demonstrate Class Declaration and Instantiation using class, new, identical(), and runtimeType.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object validation inside main(). | " &amp;
"[DEPENDENCY_MANAGEMENT_RULE] Standard Dart runtime context. If external packages are needed, specify them strictly in pubspec.yaml support files. | " &amp;
"[CODE CONSTRAINTS] Each challenge MUST include: internal data OR collection usage, at least 1 print statement, at least 1 loop (when applicable), EXACTLY 1 class definition, 1 constructor, and EXACTLY 1 class instantiation within main(). - " &amp; IF(G9="Beginner", "5–15", IF(G9="Intermediate", "10–25", "15–35")) &amp; " lines of EXECUTABLE broken Dart code per challenge (STRICT: Do NOT count blank lines). All logic MUST be encapsulated inside class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Dart Object-Oriented &amp; Advanced Patterns Developer | [TASK] Generate debugging challenges in Dart Object-Oriented &amp; Advanced Patterns | | [TOPIC] Demonstrate Class Declaration and Instantiation using class, new, identical(), and runtimeType.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 | Stage 2 🐛 Debug | Dart Object-Oriented &amp; Advanced Patterns | 📊 Level: Intermediate | 🌐 Coding5s.com
Concept: Class Declaration &amp; Instantiation (class, new, identical(), runtimeType)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Class Declaration and Instantiation using class, new, identical(), and runtimeType.. Topic details: Class Declaration &amp; Instantiation (class, new, identical(), runtimeType)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Object-Oriented &amp; Advanced Patterns | 📊 Level: Intermediate
**Topic:** Demonstrate Class Declaration and Instantiation using class, new, identical(), and runtimeType.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property assignment, method call, or direct comparison). NO complex buffer redirections or string parsing. - " &amp; IF(G9="Beginner","5–15", IF(G9="Intermediate","10–25","15–35")) &amp; " 5-15 lines of EXECUTABLE base code with a main() entry point. Code outside // TODO MUST be 100% valid and readable. All code MUST be encapsulated within a class structure.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Dart Object-Oriented &amp; Advanced Patterns script challenges | [TOPIC] Demonstrate Class Declaration and Instantiation using class, new, identical(), and runtimeType.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 | Stage 3 🧩 Complete | Dart Object-Oriented &amp; Advanced Patterns | 📊 Level: Intermediate | 🌐 Coding5s.com
**Concept:** Class Declaration &amp; Instantiation (class, new, identical(), runtimeType)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Class Declaration and Instantiation using class, new, identical(), and runtimeType..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Class Declaration and Instantiation using class, new, identical(), and runtimeType.. Topic details: Class Declaration &amp; Instantiation (class, new, identical(), runtimeType)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Object-Oriented &amp; Advanced Patterns | 📊 Level: Intermediate
**Topic:** Demonstrate Class Declaration and Instantiation using class, new, identical(), and runtimeType.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Class Declaration and Instantiation using class, new, identical(), and runtimeType.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Object-Oriented &amp; Advanced Patterns | 📊 Level: Intermediate | 🌐 Coding5s.com
**Concept:** Class Declaration &amp; Instantiation (class, new, identical(), runtimeType)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Demonstrate Class Declaration and Instantiation using class, new, identical(), and runtimeType.. Topic details: Class Declaration &amp; Instantiation (class, new, identical(), runtimeType)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Object-Oriented &amp; Advanced Patterns | 📊 Level: Intermediate
**Topic:** Demonstrate Class Declaration and Instantiation using class, new, identical(), and runtimeType.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Dart Object-Oriented &amp; Advanced Patterns Jira Ticket | [TASK] Provide a guided implementation exercise with full solution for learning purposes | [TOPIC] Demonstrate Class Declaration and Instantiation using class, new, identical(), and runtimeType.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Object-Oriented &amp; Advanced Patterns | 📊 Level: Intermediate | 🌐 Coding5s.com
**Concept:** Class Declaration &amp; Instantiation (class, new, identical(), runtimeType)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Class Declaration and Instantiation using class, new, identical(), and runtimeType.. Goal: Class Declaration &amp; Instantiation (class, new, identical(), runtimeType)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Object-Oriented &amp; Advanced Patterns | 📊 Level: Intermediate
**Topic:** Demonstrate Class Declaration and Instantiation using class, new, identical(), and runtimeType.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classes, constructors, OOP patterns,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IF(G9="Beginner","25–40", IF(G9="Intermediate","30–60","40–100")) &amp; " Class-based object architecture. Require at least 1 class with internal state management.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15</v>
      </c>
      <c r="D10" s="57">
        <v>4</v>
      </c>
      <c r="E10" s="58" t="s">
        <v>46</v>
      </c>
      <c r="F10" s="59">
        <v>2</v>
      </c>
      <c r="G10" s="60" t="s">
        <v>158</v>
      </c>
      <c r="H10" s="60" t="s">
        <v>48</v>
      </c>
      <c r="I10" s="61" t="s">
        <v>734</v>
      </c>
      <c r="J10" s="62" t="s">
        <v>735</v>
      </c>
      <c r="K10" s="129" t="str">
        <f t="shared" ref="K10:K73" si="2">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basic class definitions, constructors, properties, and object instantiation inside main(). DO NOT use procedural scripts.", IF(G10="Intermediate", "STRICT REQUIREMENT: Integrate custom class definitions ('class'), constructors, instance methods, and getters/setters in EVERY example.", "Advanced OOP &amp; patterns: abstract classes, mixins, factory/named constructors, interfaces ('implements'), extensions, and overriding ('@override').")) &amp; " | " &amp;
_xlfn._LONGTEXT("[CODE_CONSTRAINTS_RULE]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 &amp;
"[I_O_PARADIGM] Use Basic primitive types (int, double, String, bool) or simple List/Map structures within classes. and gracefully handle print() statements with string interpolation to display outputs clearly. when applicable. | " &amp;
"[INLINE_PACKAGE_MANAGER] If using external packages, use Dart native classes, constructors, OOP patterns,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Dart Object-Oriented &amp; Advanced Patterns | [TOPIC] Implement the Value Equality Contract using operator == and hashCode.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Object-Oriented &amp; Advanced Patterns | 📊 Level: Intermediate | 🌐 Coding5s.com
**Concept:** Value Equality Contract (operator ==, hashCode)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class instantiation, constructors, and property access inside main(). Do NOT expect advanced mixins or factories unless explicitly demanded.", IF(G10="Intermediate", "Expect clean class definitions, proper encapsulation (using '_'), named constructors, and correct 'this' usage. Enforce solid OOP principles.", "Expect advanced OOP architecture using abstract classes, mixins, factory constructors, interfaces, overriding, and composition.")) &amp; " | " &amp;
_xlfn._LONGTEXT("[CODE_QUALITY_POLICIES]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Value Equality Contract using operator == and hashCode.. Topic details: Value Equality Contract (operator ==, hashCode)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Object-Oriented &amp; Advanced Patterns | 📊 Level: Intermediate
**Topic:** Implement the Value Equality Contract using operator == and hashCode.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object validation inside main(). | " &amp;
"[DEPENDENCY_MANAGEMENT_RULE] Standard Dart runtime context. If external packages are needed, specify them strictly in pubspec.yaml support files. | " &amp;
"[CODE CONSTRAINTS] Each challenge MUST include: internal data OR collection usage, at least 1 print statement, at least 1 loop (when applicable), EXACTLY 1 class definition, 1 constructor, and EXACTLY 1 class instantiation within main(). - " &amp; IF(G10="Beginner", "5–15", IF(G10="Intermediate", "10–25", "15–35")) &amp; " lines of EXECUTABLE broken Dart code per challenge (STRICT: Do NOT count blank lines). All logic MUST be encapsulated inside class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Dart Object-Oriented &amp; Advanced Patterns Developer | [TASK] Generate debugging challenges in Dart Object-Oriented &amp; Advanced Patterns | | [TOPIC] Implement the Value Equality Contract using operator == and hashCode.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 | Stage 2 🐛 Debug | Dart Object-Oriented &amp; Advanced Patterns | 📊 Level: Intermediate | 🌐 Coding5s.com
Concept: Value Equality Contract (operator ==, hashCode)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Value Equality Contract using operator == and hashCode.. Topic details: Value Equality Contract (operator ==, hashCode)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Object-Oriented &amp; Advanced Patterns | 📊 Level: Intermediate
**Topic:** Implement the Value Equality Contract using operator == and hashCode.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property assignment, method call, or direct comparison). NO complex buffer redirections or string parsing. - " &amp; IF(G10="Beginner","5–15", IF(G10="Intermediate","10–25","15–35")) &amp; " 5-15 lines of EXECUTABLE base code with a main() entry point. Code outside // TODO MUST be 100% valid and readable. All code MUST be encapsulated within a class structure.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Dart Object-Oriented &amp; Advanced Patterns script challenges | [TOPIC] Implement the Value Equality Contract using operator == and hashCode.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 | Stage 3 🧩 Complete | Dart Object-Oriented &amp; Advanced Patterns | 📊 Level: Intermediate | 🌐 Coding5s.com
**Concept:** Value Equality Contract (operator ==, hashCode)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Value Equality Contract using operator == and hashCode..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Value Equality Contract using operator == and hashCode.. Topic details: Value Equality Contract (operator ==, hashCode)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Object-Oriented &amp; Advanced Patterns | 📊 Level: Intermediate
**Topic:** Implement the Value Equality Contract using operator == and hashCode.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Implement the Value Equality Contract using operator == and hashCode.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Object-Oriented &amp; Advanced Patterns | 📊 Level: Intermediate | 🌐 Coding5s.com
**Concept:** Value Equality Contract (operator ==, hashCode)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the Value Equality Contract using operator == and hashCode.. Topic details: Value Equality Contract (operator ==, hashCode)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Object-Oriented &amp; Advanced Patterns | 📊 Level: Intermediate
**Topic:** Implement the Value Equality Contract using operator == and hashCode.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Dart Object-Oriented &amp; Advanced Patterns Jira Ticket | [TASK] Provide a guided implementation exercise with full solution for learning purposes | [TOPIC] Implement the Value Equality Contract using operator == and hashCode.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Object-Oriented &amp; Advanced Patterns | 📊 Level: Intermediate | 🌐 Coding5s.com
**Concept:** Value Equality Contract (operator ==, hashCode)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Value Equality Contract using operator == and hashCode.. Goal: Value Equality Contract (operator ==, hashCode)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Object-Oriented &amp; Advanced Patterns | 📊 Level: Intermediate
**Topic:** Implement the Value Equality Contract using operator == and hashCode.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classes, constructors, OOP patterns,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IF(G10="Beginner","25–40", IF(G10="Intermediate","30–60","40–100")) &amp; " Class-based object architecture. Require at least 1 class with internal state management.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12</v>
      </c>
      <c r="D11" s="46">
        <v>3</v>
      </c>
      <c r="E11" s="58" t="s">
        <v>46</v>
      </c>
      <c r="F11" s="48">
        <v>3</v>
      </c>
      <c r="G11" s="49" t="s">
        <v>158</v>
      </c>
      <c r="H11" s="49" t="s">
        <v>48</v>
      </c>
      <c r="I11" s="50" t="s">
        <v>736</v>
      </c>
      <c r="J11" s="51" t="s">
        <v>737</v>
      </c>
      <c r="K11" s="129" t="str">
        <f t="shared" si="2"/>
        <v xml:space="preserve">[ROLE] Friendly tutor specializing in Dart Object-Oriented &amp; Advanced Patterns | [TOPIC] Assign Field Modifiers including static, final, late, and const.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Object-Oriented &amp; Advanced Patterns | 📊 Level: Intermediate | 🌐 Coding5s.com
**Concept:** Field Modifiers (static, final, late, const)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Field Modifiers including static, final, late, and const.. Topic details: Field Modifiers (static, final, late, const)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Object-Oriented &amp; Advanced Patterns | 📊 Level: Intermediate
**Topic:** Assign Field Modifiers including static, final, late, and const.
---
 | [FOOTER RULE - STRICT] End your response with: '--- ⚡ *Coding5s Mentor System — Eliminating Epistemic Debt*' | </v>
      </c>
      <c r="M11" s="52">
        <v>0</v>
      </c>
      <c r="N11" s="102" t="str">
        <f t="shared" si="4"/>
        <v>[ROLE] Careless Dart Object-Oriented &amp; Advanced Patterns Developer | [TASK] Generate debugging challenges in Dart Object-Oriented &amp; Advanced Patterns | | [TOPIC] Assign Field Modifiers including static, final, late, and const.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 | Stage 2 🐛 Debug | Dart Object-Oriented &amp; Advanced Patterns | 📊 Level: Intermediate | 🌐 Coding5s.com
Concept: Field Modifiers (static, final, late, const)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Field Modifiers including static, final, late, and const.. Topic details: Field Modifiers (static, final, late, const)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Object-Oriented &amp; Advanced Patterns | 📊 Level: Intermediate
**Topic:** Assign Field Modifiers including static, final, late, and const.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Dart Object-Oriented &amp; Advanced Patterns script challenges | [TOPIC] Assign Field Modifiers including static, final, late, and const.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 | Stage 3 🧩 Complete | Dart Object-Oriented &amp; Advanced Patterns | 📊 Level: Intermediate | 🌐 Coding5s.com
**Concept:** Field Modifiers (static, final, late, const)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Field Modifiers including static, final, late, and const..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Field Modifiers including static, final, late, and const.. Topic details: Field Modifiers (static, final, late, const)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Object-Oriented &amp; Advanced Patterns | 📊 Level: Intermediate
**Topic:** Assign Field Modifiers including static, final, late, and const.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Assign Field Modifiers including static, final, late, and const.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Object-Oriented &amp; Advanced Patterns | 📊 Level: Intermediate | 🌐 Coding5s.com
**Concept:** Field Modifiers (static, final, late, const)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Assign Field Modifiers including static, final, late, and const.. Topic details: Field Modifiers (static, final, late, const)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Object-Oriented &amp; Advanced Patterns | 📊 Level: Intermediate
**Topic:** Assign Field Modifiers including static, final, late, and const.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Dart Object-Oriented &amp; Advanced Patterns Jira Ticket | [TASK] Provide a guided implementation exercise with full solution for learning purposes | [TOPIC] Assign Field Modifiers including static, final, late, and const.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Object-Oriented &amp; Advanced Patterns | 📊 Level: Intermediate | 🌐 Coding5s.com
**Concept:** Field Modifiers (static, final, late, const)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Field Modifiers including static, final, late, and const.. Goal: Field Modifiers (static, final, late, const)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Object-Oriented &amp; Advanced Patterns | 📊 Level: Intermediate
**Topic:** Assign Field Modifiers including static, final, late, and const.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15</v>
      </c>
      <c r="D12" s="57">
        <v>4</v>
      </c>
      <c r="E12" s="58" t="s">
        <v>46</v>
      </c>
      <c r="F12" s="59">
        <v>4</v>
      </c>
      <c r="G12" s="60" t="s">
        <v>158</v>
      </c>
      <c r="H12" s="60" t="s">
        <v>48</v>
      </c>
      <c r="I12" s="61" t="s">
        <v>738</v>
      </c>
      <c r="J12" s="62" t="s">
        <v>739</v>
      </c>
      <c r="K12" s="129" t="str">
        <f t="shared" si="2"/>
        <v xml:space="preserve">[ROLE] Friendly tutor specializing in Dart Object-Oriented &amp; Advanced Patterns | [TOPIC] Create Computed Properties using get, set, and backing _fields.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Object-Oriented &amp; Advanced Patterns | 📊 Level: Intermediate | 🌐 Coding5s.com
**Concept:** Computed Properties (get, set, backing _fields)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Computed Properties using get, set, and backing _fields.. Topic details: Computed Properties (get, set, backing _fields)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Object-Oriented &amp; Advanced Patterns | 📊 Level: Intermediate
**Topic:** Create Computed Properties using get, set, and backing _fields.
---
 | [FOOTER RULE - STRICT] End your response with: '--- ⚡ *Coding5s Mentor System — Eliminating Epistemic Debt*' | </v>
      </c>
      <c r="M12" s="52">
        <v>0</v>
      </c>
      <c r="N12" s="102" t="str">
        <f t="shared" si="4"/>
        <v>[ROLE] Careless Dart Object-Oriented &amp; Advanced Patterns Developer | [TASK] Generate debugging challenges in Dart Object-Oriented &amp; Advanced Patterns | | [TOPIC] Create Computed Properties using get, set, and backing _fields.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#4 | Stage 2 🐛 Debug | Dart Object-Oriented &amp; Advanced Patterns | 📊 Level: Intermediate | 🌐 Coding5s.com
Concept: Computed Properties (get, set, backing _fields)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Computed Properties using get, set, and backing _fields.. Topic details: Computed Properties (get, set, backing _fields)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Object-Oriented &amp; Advanced Patterns | 📊 Level: Intermediate
**Topic:** Create Computed Properties using get, set, and backing _fields.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Dart Object-Oriented &amp; Advanced Patterns script challenges | [TOPIC] Create Computed Properties using get, set, and backing _fields.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#4 | Stage 3 🧩 Complete | Dart Object-Oriented &amp; Advanced Patterns | 📊 Level: Intermediate | 🌐 Coding5s.com
**Concept:** Computed Properties (get, set, backing _fields)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Computed Properties using get, set, and backing _fields..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Computed Properties using get, set, and backing _fields.. Topic details: Computed Properties (get, set, backing _fields)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Object-Oriented &amp; Advanced Patterns | 📊 Level: Intermediate
**Topic:** Create Computed Properties using get, set, and backing _fields.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Create Computed Properties using get, set, and backing _fields.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Object-Oriented &amp; Advanced Patterns | 📊 Level: Intermediate | 🌐 Coding5s.com
**Concept:** Computed Properties (get, set, backing _fields)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Computed Properties using get, set, and backing _fields.. Topic details: Computed Properties (get, set, backing _fields)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Object-Oriented &amp; Advanced Patterns | 📊 Level: Intermediate
**Topic:** Create Computed Properties using get, set, and backing _fields.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Dart Object-Oriented &amp; Advanced Patterns Jira Ticket | [TASK] Provide a guided implementation exercise with full solution for learning purposes | [TOPIC] Create Computed Properties using get, set, and backing _fields.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Object-Oriented &amp; Advanced Patterns | 📊 Level: Intermediate | 🌐 Coding5s.com
**Concept:** Computed Properties (get, set, backing _fields)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Computed Properties using get, set, and backing _fields.. Goal: Computed Properties (get, set, backing _fields)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Object-Oriented &amp; Advanced Patterns | 📊 Level: Intermediate
**Topic:** Create Computed Properties using get, set, and backing _fields.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15</v>
      </c>
      <c r="D13" s="46">
        <v>4</v>
      </c>
      <c r="E13" s="58" t="s">
        <v>46</v>
      </c>
      <c r="F13" s="48">
        <v>5</v>
      </c>
      <c r="G13" s="49" t="s">
        <v>158</v>
      </c>
      <c r="H13" s="49" t="s">
        <v>48</v>
      </c>
      <c r="I13" s="50" t="s">
        <v>740</v>
      </c>
      <c r="J13" s="51" t="s">
        <v>741</v>
      </c>
      <c r="K13" s="129" t="str">
        <f t="shared" si="2"/>
        <v xml:space="preserve">[ROLE] Friendly tutor specializing in Dart Object-Oriented &amp; Advanced Patterns | [TOPIC] Implement Generative and Named Constructors with this.field and Class.name().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Object-Oriented &amp; Advanced Patterns | 📊 Level: Intermediate | 🌐 Coding5s.com
**Concept:** Generative &amp; Named Constructors (this.field,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Generative and Named Constructors with this.field and Class.name().. Topic details: Generative &amp; Named Constructors (this.field, Class.name())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Object-Oriented &amp; Advanced Patterns | 📊 Level: Intermediate
**Topic:** Implement Generative and Named Constructors with this.field and Class.name().
---
 | [FOOTER RULE - STRICT] End your response with: '--- ⚡ *Coding5s Mentor System — Eliminating Epistemic Debt*' | </v>
      </c>
      <c r="M13" s="52">
        <v>0</v>
      </c>
      <c r="N13" s="102" t="str">
        <f t="shared" si="4"/>
        <v>[ROLE] Careless Dart Object-Oriented &amp; Advanced Patterns Developer | [TASK] Generate debugging challenges in Dart Object-Oriented &amp; Advanced Patterns | | [TOPIC] Implement Generative and Named Constructors with this.field and Class.name().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#5 | Stage 2 🐛 Debug | Dart Object-Oriented &amp; Advanced Patterns | 📊 Level: Intermediate | 🌐 Coding5s.com
Concept: Generative &amp; Named Constructors (this.field, Class.name())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Generative and Named Constructors with this.field and Class.name().. Topic details: Generative &amp; Named Constructors (this.field,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Object-Oriented &amp; Advanced Patterns | 📊 Level: Intermediate
**Topic:** Implement Generative and Named Constructors with this.field and Class.name().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Dart Object-Oriented &amp; Advanced Patterns script challenges | [TOPIC] Implement Generative and Named Constructors with this.field and Class.name().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#5 | Stage 3 🧩 Complete | Dart Object-Oriented &amp; Advanced Patterns | 📊 Level: Intermediate | 🌐 Coding5s.com
**Concept:** Generative &amp; Named Constructors (this.field, Class.name())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Generative and Named Constructors with this.field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Generative and Named Constructors with this.field and Class.name().. Topic details: Generative &amp; Named Constructors (this.field,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Object-Oriented &amp; Advanced Patterns | 📊 Level: Intermediate
**Topic:** Implement Generative and Named Constructors with this.field and Class.name().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Implement Generative and Named Constructors with this.field and Class.name().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Object-Oriented &amp; Advanced Patterns | 📊 Level: Intermediate | 🌐 Coding5s.com
**Concept:** Generative &amp; Named Constructors (this.field,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Generative and Named Constructors with this.field and Class.name().. Topic details: Generative &amp; Named Constructors (this.field,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Object-Oriented &amp; Advanced Patterns | 📊 Level: Intermediate
**Topic:** Implement Generative and Named Constructors with this.field and Class.name().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Dart Object-Oriented &amp; Advanced Patterns Jira Ticket | [TASK] Provide a guided implementation exercise with full solution for learning purposes | [TOPIC] Implement Generative and Named Constructors with this.field and Class.name().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Object-Oriented &amp; Advanced Patterns | 📊 Level: Intermediate | 🌐 Coding5s.com
**Concept:** Generative &amp; Named Constructors (this.field,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Generative and Named Constructors with this.field and Class.name().. Goal: Generative &amp; Named Constructors (this.field,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Object-Oriented &amp; Advanced Patterns | 📊 Level: Intermediate
**Topic:** Implement Generative and Named Constructors with this.field and Class.name().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18</v>
      </c>
      <c r="D14" s="57">
        <v>4</v>
      </c>
      <c r="E14" s="58" t="s">
        <v>46</v>
      </c>
      <c r="F14" s="59">
        <v>6</v>
      </c>
      <c r="G14" s="60" t="s">
        <v>158</v>
      </c>
      <c r="H14" s="60" t="s">
        <v>48</v>
      </c>
      <c r="I14" s="61" t="s">
        <v>742</v>
      </c>
      <c r="J14" s="62" t="s">
        <v>743</v>
      </c>
      <c r="K14" s="129" t="str">
        <f t="shared" si="2"/>
        <v xml:space="preserve">[ROLE] Friendly tutor specializing in Dart Object-Oriented &amp; Advanced Patterns | [TOPIC] Apply Initializer Lists and Redirects using : assert(), : field =, and this.name().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Object-Oriented &amp; Advanced Patterns | 📊 Level: Intermediate | 🌐 Coding5s.com
**Concept:** Initializer Lists &amp; Redirects (: assert(), : field =, this.name())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Initializer Lists and Redirects using : assert(), : field =, and this.name().. Topic details: Initializer Lists &amp; Redirects (: assert(), : field =, this.name())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Object-Oriented &amp; Advanced Patterns | 📊 Level: Intermediate
**Topic:** Apply Initializer Lists and Redirects using : assert(), : field =, and this.name().
---
 | [FOOTER RULE - STRICT] End your response with: '--- ⚡ *Coding5s Mentor System — Eliminating Epistemic Debt*' | </v>
      </c>
      <c r="M14" s="52">
        <v>0</v>
      </c>
      <c r="N14" s="102" t="str">
        <f t="shared" si="4"/>
        <v>[ROLE] Careless Dart Object-Oriented &amp; Advanced Patterns Developer | [TASK] Generate debugging challenges in Dart Object-Oriented &amp; Advanced Patterns | | [TOPIC] Apply Initializer Lists and Redirects using : assert(), : field =, and this.name().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#6 | Stage 2 🐛 Debug | Dart Object-Oriented &amp; Advanced Patterns | 📊 Level: Intermediate | 🌐 Coding5s.com
Concept: Initializer Lists &amp; Redirects (: assert(), : field =, this.name())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Initializer Lists and Redirects using : assert(), : field =, and this.name().. Topic details: Initializer Lists &amp; Redirects (: assert(), : field =, this.name())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Object-Oriented &amp; Advanced Patterns | 📊 Level: Intermediate
**Topic:** Apply Initializer Lists and Redirects using : assert(), : field =, and this.name().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Dart Object-Oriented &amp; Advanced Patterns script challenges | [TOPIC] Apply Initializer Lists and Redirects using : assert(), : field =, and this.name().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#6 | Stage 3 🧩 Complete | Dart Object-Oriented &amp; Advanced Patterns | 📊 Level: Intermediate | 🌐 Coding5s.com
**Concept:** Initializer Lists &amp; Redirects (: assert(), : field =, this.name())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Initializer Lists and Redirects using : assert(), : field =, and this.name()..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Initializer Lists and Redirects using : assert(), : field =, and this.name().. Topic details: Initializer Lists &amp; Redirects (: assert(), : field =, this.name())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Object-Oriented &amp; Advanced Patterns | 📊 Level: Intermediate
**Topic:** Apply Initializer Lists and Redirects using : assert(), : field =, and this.name().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Apply Initializer Lists and Redirects using : assert(), : field =, and this.name().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Object-Oriented &amp; Advanced Patterns | 📊 Level: Intermediate | 🌐 Coding5s.com
**Concept:** Initializer Lists &amp; Redirects (: assert(), : field =, this.name())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Initializer Lists and Redirects using : assert(), : field =, and this.name().. Topic details: Initializer Lists &amp; Redirects (: assert(), : field =, this.name())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Object-Oriented &amp; Advanced Patterns | 📊 Level: Intermediate
**Topic:** Apply Initializer Lists and Redirects using : assert(), : field =, and this.name().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Dart Object-Oriented &amp; Advanced Patterns Jira Ticket | [TASK] Provide a guided implementation exercise with full solution for learning purposes | [TOPIC] Apply Initializer Lists and Redirects using : assert(), : field =, and this.name().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Object-Oriented &amp; Advanced Patterns | 📊 Level: Intermediate | 🌐 Coding5s.com
**Concept:** Initializer Lists &amp; Redirects (: assert(), : field =, this.name())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Initializer Lists and Redirects using : assert(), : field =, and this.name().. Goal: Initializer Lists &amp; Redirects (: assert(), : field =, this.name())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Object-Oriented &amp; Advanced Patterns | 📊 Level: Intermediate
**Topic:** Apply Initializer Lists and Redirects using : assert(), : field =, and this.name().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15</v>
      </c>
      <c r="D15" s="46">
        <v>4</v>
      </c>
      <c r="E15" s="58" t="s">
        <v>46</v>
      </c>
      <c r="F15" s="48">
        <v>7</v>
      </c>
      <c r="G15" s="49" t="s">
        <v>158</v>
      </c>
      <c r="H15" s="49" t="s">
        <v>48</v>
      </c>
      <c r="I15" s="50" t="s">
        <v>744</v>
      </c>
      <c r="J15" s="51" t="s">
        <v>745</v>
      </c>
      <c r="K15" s="129" t="str">
        <f t="shared" si="2"/>
        <v xml:space="preserve">[ROLE] Friendly tutor specializing in Dart Object-Oriented &amp; Advanced Patterns | [TOPIC] Utilize Super Constructors and Parameters with super() and super.field.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Object-Oriented &amp; Advanced Patterns | 📊 Level: Intermediate | 🌐 Coding5s.com
**Concept:** Super Constructors &amp; Parameters (super(), super.field)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Utilize Super Constructors and Parameters with super() and super.field.. Topic details: Super Constructors &amp; Parameters (super(), super.field)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Object-Oriented &amp; Advanced Patterns | 📊 Level: Intermediate
**Topic:** Utilize Super Constructors and Parameters with super() and super.field.
---
 | [FOOTER RULE - STRICT] End your response with: '--- ⚡ *Coding5s Mentor System — Eliminating Epistemic Debt*' | </v>
      </c>
      <c r="M15" s="52">
        <v>0</v>
      </c>
      <c r="N15" s="102" t="str">
        <f t="shared" si="4"/>
        <v>[ROLE] Careless Dart Object-Oriented &amp; Advanced Patterns Developer | [TASK] Generate debugging challenges in Dart Object-Oriented &amp; Advanced Patterns | | [TOPIC] Utilize Super Constructors and Parameters with super() and super.field.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#7 | Stage 2 🐛 Debug | Dart Object-Oriented &amp; Advanced Patterns | 📊 Level: Intermediate | 🌐 Coding5s.com
Concept: Super Constructors &amp; Parameters (super(), super.field)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Utilize Super Constructors and Parameters with super() and super.field.. Topic details: Super Constructors &amp; Parameters (super(), super.field)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Object-Oriented &amp; Advanced Patterns | 📊 Level: Intermediate
**Topic:** Utilize Super Constructors and Parameters with super() and super.field.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Dart Object-Oriented &amp; Advanced Patterns script challenges | [TOPIC] Utilize Super Constructors and Parameters with super() and super.field.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#7 | Stage 3 🧩 Complete | Dart Object-Oriented &amp; Advanced Patterns | 📊 Level: Intermediate | 🌐 Coding5s.com
**Concept:** Super Constructors &amp; Parameters (super(), super.field)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Utilize Super Constructors and Parameters with super() and super.field..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Utilize Super Constructors and Parameters with super() and super.field.. Topic details: Super Constructors &amp; Parameters (super(), super.field)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Object-Oriented &amp; Advanced Patterns | 📊 Level: Intermediate
**Topic:** Utilize Super Constructors and Parameters with super() and super.field.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Utilize Super Constructors and Parameters with super() and super.field.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Object-Oriented &amp; Advanced Patterns | 📊 Level: Intermediate | 🌐 Coding5s.com
**Concept:** Super Constructors &amp; Parameters (super(), super.field)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Utilize Super Constructors and Parameters with super() and super.field.. Topic details: Super Constructors &amp; Parameters (super(), super.field)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Object-Oriented &amp; Advanced Patterns | 📊 Level: Intermediate
**Topic:** Utilize Super Constructors and Parameters with super() and super.field.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Dart Object-Oriented &amp; Advanced Patterns Jira Ticket | [TASK] Provide a guided implementation exercise with full solution for learning purposes | [TOPIC] Utilize Super Constructors and Parameters with super() and super.field.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Object-Oriented &amp; Advanced Patterns | 📊 Level: Intermediate | 🌐 Coding5s.com
**Concept:** Super Constructors &amp; Parameters (super(), super.field)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Utilize Super Constructors and Parameters with super() and super.field.. Goal: Super Constructors &amp; Parameters (super(), super.field)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Object-Oriented &amp; Advanced Patterns | 📊 Level: Intermediate
**Topic:** Utilize Super Constructors and Parameters with super() and super.field.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1</v>
      </c>
      <c r="C16" s="95">
        <v>15</v>
      </c>
      <c r="D16" s="57">
        <v>4</v>
      </c>
      <c r="E16" s="58" t="s">
        <v>46</v>
      </c>
      <c r="F16" s="59">
        <v>8</v>
      </c>
      <c r="G16" s="60" t="s">
        <v>158</v>
      </c>
      <c r="H16" s="60" t="s">
        <v>48</v>
      </c>
      <c r="I16" s="61" t="s">
        <v>746</v>
      </c>
      <c r="J16" s="62" t="s">
        <v>747</v>
      </c>
      <c r="K16" s="129" t="str">
        <f t="shared" si="2"/>
        <v xml:space="preserve">[ROLE] Friendly tutor specializing in Dart Object-Oriented &amp; Advanced Patterns | [TOPIC] Create Const Constructors and Tear-Offs using const Class(), Class.new, and Class.name.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Dart Object-Oriented &amp; Advanced Patterns | 📊 Level: Intermediate | 🌐 Coding5s.com
**Concept:** Const Constructors &amp; Tear-Offs (const Class(), Class.new,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Const Constructors and Tear-Offs using const Class(), Class.new, and Class.name.. Topic details: Const Constructors &amp; Tear-Offs (const Class(), Class.new, Class.name)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Dart Object-Oriented &amp; Advanced Patterns | 📊 Level: Intermediate
**Topic:** Create Const Constructors and Tear-Offs using const Class(), Class.new, and Class.name.
---
 | [FOOTER RULE - STRICT] End your response with: '--- ⚡ *Coding5s Mentor System — Eliminating Epistemic Debt*' | </v>
      </c>
      <c r="M16" s="52">
        <v>0</v>
      </c>
      <c r="N16" s="102" t="str">
        <f t="shared" si="4"/>
        <v>[ROLE] Careless Dart Object-Oriented &amp; Advanced Patterns Developer | [TASK] Generate debugging challenges in Dart Object-Oriented &amp; Advanced Patterns | | [TOPIC] Create Const Constructors and Tear-Offs using const Class(), Class.new, and Class.name.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#8 | Stage 2 🐛 Debug | Dart Object-Oriented &amp; Advanced Patterns | 📊 Level: Intermediate | 🌐 Coding5s.com
Concept: Const Constructors &amp; Tear-Offs (const Class(), Class.new, Class.name)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Const Constructors and Tear-Offs using const Class(), Class.new, and Class.name.. Topic details: Const Constructors &amp; Tear-Offs (const Class(), Class.new,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Dart Object-Oriented &amp; Advanced Patterns | 📊 Level: Intermediate
**Topic:** Create Const Constructors and Tear-Offs using const Class(), Class.new, and Class.name.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Dart Object-Oriented &amp; Advanced Patterns script challenges | [TOPIC] Create Const Constructors and Tear-Offs using const Class(), Class.new, and Class.name.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#8 | Stage 3 🧩 Complete | Dart Object-Oriented &amp; Advanced Patterns | 📊 Level: Intermediate | 🌐 Coding5s.com
**Concept:** Const Constructors &amp; Tear-Offs (const Class(), Class.new, Class.name)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Const Constructors and Tear-Offs using const Class(), Class.new,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Const Constructors and Tear-Offs using const Class(), Class.new, and Class.name.. Topic details: Const Constructors &amp; Tear-Offs (const Class(), Class.new,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Dart Object-Oriented &amp; Advanced Patterns | 📊 Level: Intermediate
**Topic:** Create Const Constructors and Tear-Offs using const Class(), Class.new, and Class.name.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Create Const Constructors and Tear-Offs using const Class(), Class.new, and Class.name.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Dart Object-Oriented &amp; Advanced Patterns | 📊 Level: Intermediate | 🌐 Coding5s.com
**Concept:** Const Constructors &amp; Tear-Offs (const Class(), Class.new,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Const Constructors and Tear-Offs using const Class(), Class.new, and Class.name.. Topic details: Const Constructors &amp; Tear-Offs (const Class(), Class.new,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Dart Object-Oriented &amp; Advanced Patterns | 📊 Level: Intermediate
**Topic:** Create Const Constructors and Tear-Offs using const Class(), Class.new, and Class.name.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Dart Object-Oriented &amp; Advanced Patterns Jira Ticket | [TASK] Provide a guided implementation exercise with full solution for learning purposes | [TOPIC] Create Const Constructors and Tear-Offs using const Class(), Class.new, and Class.name.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Dart Object-Oriented &amp; Advanced Patterns | 📊 Level: Intermediate | 🌐 Coding5s.com
**Concept:** Const Constructors &amp; Tear-Offs (const Class(), Class.new,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Const Constructors and Tear-Offs using const Class(), Class.new, and Class.name.. Goal: Const Constructors &amp; Tear-Offs (const Class(), Class.new,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Dart Object-Oriented &amp; Advanced Patterns | 📊 Level: Intermediate
**Topic:** Create Const Constructors and Tear-Offs using const Class(), Class.new, and Class.name.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xml:space="preserve">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v>
      </c>
      <c r="B17" s="45">
        <f t="shared" si="1"/>
        <v>1</v>
      </c>
      <c r="C17" s="95">
        <v>30</v>
      </c>
      <c r="D17" s="46">
        <v>0</v>
      </c>
      <c r="E17" s="58" t="s">
        <v>46</v>
      </c>
      <c r="F17" s="48">
        <v>9</v>
      </c>
      <c r="G17" s="49" t="s">
        <v>158</v>
      </c>
      <c r="H17" s="49" t="s">
        <v>77</v>
      </c>
      <c r="I17" s="50" t="s">
        <v>748</v>
      </c>
      <c r="J17" s="51" t="s">
        <v>749</v>
      </c>
      <c r="K17" s="129" t="str">
        <f t="shared" si="2"/>
        <v>[TASK] Teach through a practical Dart Object-Oriented &amp; Advanced Patterns -  project following the micro-learning methodology, acting as a supportive tutor, creating a project about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 | Stage 1 | Dart Object-Oriented &amp; Advanced Patterns | 📊 Level: Intermediate | 🌐 Coding5s.com
**Project:** Domain Entity Blueprint with Classes and Constructors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7"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domain entity consolidating Class Declaration and Instantiation, Value Equality Contract, Field Modifiers, Computed Properties, Generative and Named Constructors, Initializer Lists and Redirects, Super Constructors, and Const Constructors.. Topics applied in this project: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 | Practice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[FOOTER RULE - STRICT] End your response with: '--- ⚡ *Coding5s Mentor System — Eliminating Epistemic Debt*' | </v>
      </c>
      <c r="M17" s="53">
        <v>0</v>
      </c>
      <c r="N17" s="102" t="str">
        <f t="shared" si="4"/>
        <v>[ROLE] Careless Dart Object-Oriented &amp; Advanced Patterns Developer | [TASK] Generate debugging project in Dart Object-Oriented &amp; Advanced Patterns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[OUTPUT] Only header, dataset summary or statement (if any), email intro, objective, expected output, broken code, and footer | [HEADER RULE - STRICT] You MUST start your entire response EXACTLY with this markdown block (do not print anything before it):
### 🚀 Project #9 | Stage 2 | Dart Object-Oriented &amp; Advanced Patterns | 📊 Level: Intermediate | 🌐 Coding5s.com
Project: Domain Entity Blueprint with Classes and Constructors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Náhuatl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 | Debug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project script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 | Stage 3 | Dart Object-Oriented &amp; Advanced Patterns | 📊 Level: Intermediate | 🌐 Coding5s.com
**Project:** Domain Entity Blueprint with Classes and Constructors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 | Complete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a messy but functional project for refactoring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Tech Lead. A junior wrote this working but messy code. Tone: professional but exhausted | [HEADER RULE - STRICT] You MUST start your entire response EXACTLY with this markdown block (do not print anything before it):
### 🚀 Project #9 | Stage 4 | Dart Object-Oriented &amp; Advanced Patterns | 📊 Level: Intermediate | 🌐 Coding5s.com
**Project:** Domain Entity Blueprint with Classes and Constructors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 | Refactor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Dart Object-Oriented &amp; Advanced Patterns Jira Ticket | [TASK] Provide a guided project implementation with full solution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#9 | Stage 5 | Dart Object-Oriented &amp; Advanced Patterns | 📊 Level: Intermediate | 🌐 Coding5s.com
**Project:** Domain Entity Blueprint with Classes and Constructors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domain entity consolidating Class Declaration and Instantiation, Value Equality Contract, Field Modifiers, Computed Properties, Generative and Named Constructors, Initializer Lists and Redirects, Super Constructors, and Const Constructors.. Topics integrated: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Business Goal: Domain Entity Blueprint with Classes and Constructors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 | Extend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[TASK] Teach through a practical Dart Object-Oriented &amp; Advanced Patterns -  project following the micro-learning methodology, acting as a supportive tutor, creating a project about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 | Stage 1 | Dart Object-Oriented &amp; Advanced Patterns | 📊 Level: Intermediate | 🌐 Coding5s.com
**Project:** Domain Entity Blueprint with Classes and Constructors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7" s="56" t="str">
        <f t="shared" si="13"/>
        <v>[ROLE] Careless Dart Object-Oriented &amp; Advanced Patterns Developer | [TASK] Generate debugging project in Dart Object-Oriented &amp; Advanced Patterns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[OUTPUT] Only header, dataset summary or statement (if any), email intro, objective, expected output, broken code, and footer | [HEADER RULE - STRICT] You MUST start your entire response EXACTLY with this markdown block (do not print anything before it):
### 🚀 Project #9 | Stage 2 | Dart Object-Oriented &amp; Advanced Patterns | 📊 Level: Intermediate | 🌐 Coding5s.com
Project: Domain Entity Blueprint with Classes and Constructors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Náhuatl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7" s="56" t="str">
        <f t="shared" si="14"/>
        <v>[ROLE] Tech Lead | [TASK] Assign incomplete project script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 | Stage 3 | Dart Object-Oriented &amp; Advanced Patterns | 📊 Level: Intermediate | 🌐 Coding5s.com
**Project:** Domain Entity Blueprint with Classes and Constructors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7" s="56" t="str">
        <f t="shared" si="15"/>
        <v>[ROLE] Tech Lead | [TASK] Provide a messy but functional project for refactoring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Tech Lead. A junior wrote this working but messy code. Tone: professional but exhausted | [HEADER RULE - STRICT] You MUST start your entire response EXACTLY with this markdown block (do not print anything before it):
### 🚀 Project #9 | Stage 4 | Dart Object-Oriented &amp; Advanced Patterns | 📊 Level: Intermediate | 🌐 Coding5s.com
**Project:** Domain Entity Blueprint with Classes and Constructors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7" s="56" t="str">
        <f t="shared" si="16"/>
        <v>[ROLE] Tech Product Manager assigning a Dart Object-Oriented &amp; Advanced Patterns Jira Ticket | [TASK] Provide a guided project implementation with full solution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#9 | Stage 5 | Dart Object-Oriented &amp; Advanced Patterns | 📊 Level: Intermediate | 🌐 Coding5s.com
**Project:** Domain Entity Blueprint with Classes and Constructors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15</v>
      </c>
      <c r="D18" s="57">
        <v>4</v>
      </c>
      <c r="E18" s="58" t="s">
        <v>46</v>
      </c>
      <c r="F18" s="59">
        <v>10</v>
      </c>
      <c r="G18" s="60" t="s">
        <v>158</v>
      </c>
      <c r="H18" s="60" t="s">
        <v>48</v>
      </c>
      <c r="I18" s="61" t="s">
        <v>750</v>
      </c>
      <c r="J18" s="62" t="s">
        <v>751</v>
      </c>
      <c r="K18" s="129" t="str">
        <f t="shared" si="2"/>
        <v xml:space="preserve">[ROLE] Friendly tutor specializing in Dart Object-Oriented &amp; Advanced Patterns | [TOPIC] Define Instance and Static Methods using void, static returnType, and _privateMethod().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Object-Oriented &amp; Advanced Patterns | 📊 Level: Intermediate | 🌐 Coding5s.com
**Concept:** Instance &amp; Static Methods (void, static returnType, _privateMethod())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Instance and Static Methods using void, static returnType, and _privateMethod().. Topic details: Instance &amp; Static Methods (void, static returnType, _privateMethod())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Object-Oriented &amp; Advanced Patterns | 📊 Level: Intermediate
**Topic:** Define Instance and Static Methods using void, static returnType, and _privateMethod().
---
 | [FOOTER RULE - STRICT] End your response with: '--- ⚡ *Coding5s Mentor System — Eliminating Epistemic Debt*' | </v>
      </c>
      <c r="M18" s="52">
        <v>0</v>
      </c>
      <c r="N18" s="102" t="str">
        <f t="shared" si="4"/>
        <v>[ROLE] Careless Dart Object-Oriented &amp; Advanced Patterns Developer | [TASK] Generate debugging challenges in Dart Object-Oriented &amp; Advanced Patterns | | [TOPIC] Define Instance and Static Methods using void, static returnType, and _privateMethod().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#10 | Stage 2 🐛 Debug | Dart Object-Oriented &amp; Advanced Patterns | 📊 Level: Intermediate | 🌐 Coding5s.com
Concept: Instance &amp; Static Methods (void, static returnType, _privateMethod())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Instance and Static Methods using void, static returnType, and _privateMethod().. Topic details: Instance &amp; Static Methods (void, static returnType, _privateMethod())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Object-Oriented &amp; Advanced Patterns | 📊 Level: Intermediate
**Topic:** Define Instance and Static Methods using void, static returnType, and _privateMethod().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Dart Object-Oriented &amp; Advanced Patterns script challenges | [TOPIC] Define Instance and Static Methods using void, static returnType, and _privateMethod().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#10 | Stage 3 🧩 Complete | Dart Object-Oriented &amp; Advanced Patterns | 📊 Level: Intermediate | 🌐 Coding5s.com
**Concept:** Instance &amp; Static Methods (void, static returnType, _privateMethod())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Instance and Static Methods using void, static returnType, and _privateMethod()..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Instance and Static Methods using void, static returnType, and _privateMethod().. Topic details: Instance &amp; Static Methods (void, static returnType, _privateMethod())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Object-Oriented &amp; Advanced Patterns | 📊 Level: Intermediate
**Topic:** Define Instance and Static Methods using void, static returnType, and _privateMethod().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Define Instance and Static Methods using void, static returnType, and _privateMethod().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Object-Oriented &amp; Advanced Patterns | 📊 Level: Intermediate | 🌐 Coding5s.com
**Concept:** Instance &amp; Static Methods (void, static returnType, _privateMethod())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Instance and Static Methods using void, static returnType, and _privateMethod().. Topic details: Instance &amp; Static Methods (void, static returnType, _privateMethod())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Object-Oriented &amp; Advanced Patterns | 📊 Level: Intermediate
**Topic:** Define Instance and Static Methods using void, static returnType, and _privateMethod().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Dart Object-Oriented &amp; Advanced Patterns Jira Ticket | [TASK] Provide a guided implementation exercise with full solution for learning purposes | [TOPIC] Define Instance and Static Methods using void, static returnType, and _privateMethod().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Object-Oriented &amp; Advanced Patterns | 📊 Level: Intermediate | 🌐 Coding5s.com
**Concept:** Instance &amp; Static Methods (void, static returnType, _privateMethod())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Instance and Static Methods using void, static returnType, and _privateMethod().. Goal: Instance &amp; Static Methods (void, static returnType, _privateMethod())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Object-Oriented &amp; Advanced Patterns | 📊 Level: Intermediate
**Topic:** Define Instance and Static Methods using void, static returnType, and _privateMethod().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12</v>
      </c>
      <c r="D19" s="46">
        <v>3</v>
      </c>
      <c r="E19" s="58" t="s">
        <v>46</v>
      </c>
      <c r="F19" s="48">
        <v>11</v>
      </c>
      <c r="G19" s="49" t="s">
        <v>158</v>
      </c>
      <c r="H19" s="49" t="s">
        <v>48</v>
      </c>
      <c r="I19" s="50" t="s">
        <v>752</v>
      </c>
      <c r="J19" s="51" t="s">
        <v>753</v>
      </c>
      <c r="K19" s="129" t="str">
        <f t="shared" si="2"/>
        <v xml:space="preserve">[ROLE] Friendly tutor specializing in Dart Object-Oriented &amp; Advanced Patterns | [TOPIC] Apply Cascade Operators using .. and ?.. .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Object-Oriented &amp; Advanced Patterns | 📊 Level: Intermediate | 🌐 Coding5s.com
**Concept:** Cascade Operators (..,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Cascade Operators using .. and ?.. .. Topic details: Cascade Operators (.., ?..)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Object-Oriented &amp; Advanced Patterns | 📊 Level: Intermediate
**Topic:** Apply Cascade Operators using .. and ?.. .
---
 | [FOOTER RULE - STRICT] End your response with: '--- ⚡ *Coding5s Mentor System — Eliminating Epistemic Debt*' | </v>
      </c>
      <c r="M19" s="53">
        <v>0</v>
      </c>
      <c r="N19" s="102" t="str">
        <f t="shared" si="4"/>
        <v>[ROLE] Careless Dart Object-Oriented &amp; Advanced Patterns Developer | [TASK] Generate debugging challenges in Dart Object-Oriented &amp; Advanced Patterns | | [TOPIC] Apply Cascade Operators using .. and ?.. .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#11 | Stage 2 🐛 Debug | Dart Object-Oriented &amp; Advanced Patterns | 📊 Level: Intermediate | 🌐 Coding5s.com
Concept: Cascade Operators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Cascade Operators using .. and ?.. .. Topic details: Cascade Operators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Object-Oriented &amp; Advanced Patterns | 📊 Level: Intermediate
**Topic:** Apply Cascade Operators using .. and ?.. .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Dart Object-Oriented &amp; Advanced Patterns script challenges | [TOPIC] Apply Cascade Operators using .. and ?.. .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#11 | Stage 3 🧩 Complete | Dart Object-Oriented &amp; Advanced Patterns | 📊 Level: Intermediate | 🌐 Coding5s.com
**Concept:** Cascade Operators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Cascade Operators using .. and ?..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Cascade Operators using .. and ?.. .. Topic details: Cascade Operators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Object-Oriented &amp; Advanced Patterns | 📊 Level: Intermediate
**Topic:** Apply Cascade Operators using .. and ?.. .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Apply Cascade Operators using .. and ?.. .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Object-Oriented &amp; Advanced Patterns | 📊 Level: Intermediate | 🌐 Coding5s.com
**Concept:** Cascade Operators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Cascade Operators using .. and ?.. .. Topic details: Cascade Operators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Object-Oriented &amp; Advanced Patterns | 📊 Level: Intermediate
**Topic:** Apply Cascade Operators using .. and ?.. .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Dart Object-Oriented &amp; Advanced Patterns Jira Ticket | [TASK] Provide a guided implementation exercise with full solution for learning purposes | [TOPIC] Apply Cascade Operators using .. and ?.. .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Object-Oriented &amp; Advanced Patterns | 📊 Level: Intermediate | 🌐 Coding5s.com
**Concept:** Cascade Operators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Cascade Operators using .. and ?.. .. Goal: Cascade Operators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Object-Oriented &amp; Advanced Patterns | 📊 Level: Intermediate
**Topic:** Apply Cascade Operators using .. and ?.. .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12</v>
      </c>
      <c r="D20" s="57">
        <v>3</v>
      </c>
      <c r="E20" s="58" t="s">
        <v>46</v>
      </c>
      <c r="F20" s="59">
        <v>12</v>
      </c>
      <c r="G20" s="60" t="s">
        <v>158</v>
      </c>
      <c r="H20" s="60" t="s">
        <v>48</v>
      </c>
      <c r="I20" s="61" t="s">
        <v>754</v>
      </c>
      <c r="J20" s="62" t="s">
        <v>755</v>
      </c>
      <c r="K20" s="129" t="str">
        <f t="shared" si="2"/>
        <v xml:space="preserve">[ROLE] Friendly tutor specializing in Dart Object-Oriented &amp; Advanced Patterns | [TOPIC] Implement Callable Objects with call().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Object-Oriented &amp; Advanced Patterns | 📊 Level: Intermediate | 🌐 Coding5s.com
**Concept:** Callable Objects (call())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Callable Objects with call().. Topic details: Callable Objects (call())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Object-Oriented &amp; Advanced Patterns | 📊 Level: Intermediate
**Topic:** Implement Callable Objects with call().
---
 | [FOOTER RULE - STRICT] End your response with: '--- ⚡ *Coding5s Mentor System — Eliminating Epistemic Debt*' | </v>
      </c>
      <c r="M20" s="52">
        <v>0</v>
      </c>
      <c r="N20" s="102" t="str">
        <f t="shared" si="4"/>
        <v>[ROLE] Careless Dart Object-Oriented &amp; Advanced Patterns Developer | [TASK] Generate debugging challenges in Dart Object-Oriented &amp; Advanced Patterns | | [TOPIC] Implement Callable Objects with call().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#12 | Stage 2 🐛 Debug | Dart Object-Oriented &amp; Advanced Patterns | 📊 Level: Intermediate | 🌐 Coding5s.com
Concept: Callable Objects (call())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Callable Objects with call().. Topic details: Callable Objects (call())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Object-Oriented &amp; Advanced Patterns | 📊 Level: Intermediate
**Topic:** Implement Callable Objects with call().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Dart Object-Oriented &amp; Advanced Patterns script challenges | [TOPIC] Implement Callable Objects with call().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#12 | Stage 3 🧩 Complete | Dart Object-Oriented &amp; Advanced Patterns | 📊 Level: Intermediate | 🌐 Coding5s.com
**Concept:** Callable Objects (call())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Callable Objects with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Callable Objects with call().. Topic details: Callable Objects (call())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Object-Oriented &amp; Advanced Patterns | 📊 Level: Intermediate
**Topic:** Implement Callable Objects with call().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Implement Callable Objects with call().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Object-Oriented &amp; Advanced Patterns | 📊 Level: Intermediate | 🌐 Coding5s.com
**Concept:** Callable Objects (call())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Callable Objects with call().. Topic details: Callable Objects (call())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Object-Oriented &amp; Advanced Patterns | 📊 Level: Intermediate
**Topic:** Implement Callable Objects with call().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Dart Object-Oriented &amp; Advanced Patterns Jira Ticket | [TASK] Provide a guided implementation exercise with full solution for learning purposes | [TOPIC] Implement Callable Objects with call().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Object-Oriented &amp; Advanced Patterns | 📊 Level: Intermediate | 🌐 Coding5s.com
**Concept:** Callable Objects (call())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Callable Objects with call().. Goal: Callable Objects (call())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Object-Oriented &amp; Advanced Patterns | 📊 Level: Intermediate
**Topic:** Implement Callable Objects with call().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18</v>
      </c>
      <c r="D21" s="46">
        <v>5</v>
      </c>
      <c r="E21" s="58" t="s">
        <v>46</v>
      </c>
      <c r="F21" s="48">
        <v>13</v>
      </c>
      <c r="G21" s="49" t="s">
        <v>158</v>
      </c>
      <c r="H21" s="49" t="s">
        <v>48</v>
      </c>
      <c r="I21" s="50" t="s">
        <v>756</v>
      </c>
      <c r="J21" s="51" t="s">
        <v>757</v>
      </c>
      <c r="K21" s="129" t="str">
        <f t="shared" si="2"/>
        <v xml:space="preserve">[ROLE] Friendly tutor specializing in Dart Object-Oriented &amp; Advanced Patterns | [TOPIC] Overload Arithmetic and Index Operators using operator +, operator -, operator [], and operator []=. | [LEVEL] Intermediate | [COUNT] 5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Object-Oriented &amp; Advanced Patterns | 📊 Level: Intermediate | 🌐 Coding5s.com
**Concept:** Arithmetic &amp; Index Operator Overloading (operator +, operator -, operator [], operator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Arithmetic and Index Operators using operator +, operator -, operator [], and operator []=.. Topic details: Arithmetic &amp; Index Operator Overloading (operator +, operator -, operator [], operator []=)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Object-Oriented &amp; Advanced Patterns | 📊 Level: Intermediate
**Topic:** Overload Arithmetic and Index Operators using operator +, operator -, operator [], and operator []=.
---
 | [FOOTER RULE - STRICT] End your response with: '--- ⚡ *Coding5s Mentor System — Eliminating Epistemic Debt*' | </v>
      </c>
      <c r="M21" s="53">
        <v>0</v>
      </c>
      <c r="N21" s="102" t="str">
        <f t="shared" si="4"/>
        <v>[ROLE] Careless Dart Object-Oriented &amp; Advanced Patterns Developer | [TASK] Generate debugging challenges in Dart Object-Oriented &amp; Advanced Patterns | | [TOPIC] Overload Arithmetic and Index Operators using operator +, operator -, operator [], and operator []=. | | [LEVEL] Intermediate |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#13 | Stage 2 🐛 Debug | Dart Object-Oriented &amp; Advanced Patterns | 📊 Level: Intermediate | 🌐 Coding5s.com
Concept: Arithmetic &amp; Index Operator Overloading (operator +, operator -, operator [], operator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Arithmetic and Index Operators using operator +, operator -, operator [], and operator []=.. Topic details: Arithmetic &amp; Index Operator Overloading (operator +, operator -, operator [], operator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Object-Oriented &amp; Advanced Patterns | 📊 Level: Intermediate
**Topic:** Overload Arithmetic and Index Operators using operator +, operator -, operator [], and operator []=.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Dart Object-Oriented &amp; Advanced Patterns script challenges | [TOPIC] Overload Arithmetic and Index Operators using operator +, operator -, operator [], and operator []=. | [LEVEL] Intermediate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#13 | Stage 3 🧩 Complete | Dart Object-Oriented &amp; Advanced Patterns | 📊 Level: Intermediate | 🌐 Coding5s.com
**Concept:** Arithmetic &amp; Index Operator Overloading (operator +, operator -, operator [], operator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Arithmetic and Index Operators using operator +, operator -, operator [], and operator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Arithmetic and Index Operators using operator +, operator -, operator [], and operator []=.. Topic details: Arithmetic &amp; Index Operator Overloading (operator +, operator -, operator [], operator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Object-Oriented &amp; Advanced Patterns | 📊 Level: Intermediate
**Topic:** Overload Arithmetic and Index Operators using operator +, operator -, operator [], and operator []=.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Overload Arithmetic and Index Operators using operator +, operator -, operator [], and operator []=. | [LEVEL] Intermediate | [COUNT] 5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Object-Oriented &amp; Advanced Patterns | 📊 Level: Intermediate | 🌐 Coding5s.com
**Concept:** Arithmetic &amp; Index Operator Overloading (operator +, operator -, operator [], operator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Arithmetic and Index Operators using operator +, operator -, operator [], and operator []=.. Topic details: Arithmetic &amp; Index Operator Overloading (operator +, operator -, operator [],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Object-Oriented &amp; Advanced Patterns | 📊 Level: Intermediate
**Topic:** Overload Arithmetic and Index Operators using operator +, operator -, operator [], and operator []=.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Dart Object-Oriented &amp; Advanced Patterns Jira Ticket | [TASK] Provide a guided implementation exercise with full solution for learning purposes | [TOPIC] Overload Arithmetic and Index Operators using operator +, operator -, operator [], and operator []=.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Object-Oriented &amp; Advanced Patterns | 📊 Level: Intermediate | 🌐 Coding5s.com
**Concept:** Arithmetic &amp; Index Operator Overloading (operator +, operator -, operator [], operator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Arithmetic and Index Operators using operator +, operator -, operator [], and operator []=.. Goal: Arithmetic &amp; Index Operator Overloading (operator +, operator -, operator [], operator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Object-Oriented &amp; Advanced Patterns | 📊 Level: Intermediate
**Topic:** Overload Arithmetic and Index Operators using operator +, operator -, operator [], and operator []=.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15</v>
      </c>
      <c r="D22" s="57">
        <v>4</v>
      </c>
      <c r="E22" s="58" t="s">
        <v>46</v>
      </c>
      <c r="F22" s="59">
        <v>14</v>
      </c>
      <c r="G22" s="60" t="s">
        <v>158</v>
      </c>
      <c r="H22" s="60" t="s">
        <v>48</v>
      </c>
      <c r="I22" s="61" t="s">
        <v>758</v>
      </c>
      <c r="J22" s="62" t="s">
        <v>759</v>
      </c>
      <c r="K22" s="129" t="str">
        <f t="shared" si="2"/>
        <v xml:space="preserve">[ROLE] Friendly tutor specializing in Dart Object-Oriented &amp; Advanced Patterns | [TOPIC] Overload Relational Operators using operator &gt;, operator &lt;, operator &gt;=, and operator &lt;=.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Object-Oriented &amp; Advanced Patterns | 📊 Level: Intermediate | 🌐 Coding5s.com
**Concept:** Relational Operator Overloading (operator &gt;, operator &lt;, operator &gt;=, operator &lt;=)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Relational Operators using operator &gt;, operator &lt;, operator &gt;=, and operator &lt;=.. Topic details: Relational Operator Overloading (operator &gt;, operator &lt;, operator &gt;=, operator &lt;=)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Object-Oriented &amp; Advanced Patterns | 📊 Level: Intermediate
**Topic:** Overload Relational Operators using operator &gt;, operator &lt;, operator &gt;=, and operator &lt;=.
---
 | [FOOTER RULE - STRICT] End your response with: '--- ⚡ *Coding5s Mentor System — Eliminating Epistemic Debt*' | </v>
      </c>
      <c r="M22" s="52">
        <v>0</v>
      </c>
      <c r="N22" s="102" t="str">
        <f t="shared" si="4"/>
        <v>[ROLE] Careless Dart Object-Oriented &amp; Advanced Patterns Developer | [TASK] Generate debugging challenges in Dart Object-Oriented &amp; Advanced Patterns | | [TOPIC] Overload Relational Operators using operator &gt;, operator &lt;, operator &gt;=, and operator &lt;=.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#14 | Stage 2 🐛 Debug | Dart Object-Oriented &amp; Advanced Patterns | 📊 Level: Intermediate | 🌐 Coding5s.com
Concept: Relational Operator Overloading (operator &gt;, operator &lt;, operator &gt;=, operator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Relational Operators using operator &gt;, operator &lt;, operator &gt;=, and operator &lt;=.. Topic details: Relational Operator Overloading (operator &gt;, operator &lt;, operator &gt;=, operator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Object-Oriented &amp; Advanced Patterns | 📊 Level: Intermediate
**Topic:** Overload Relational Operators using operator &gt;, operator &lt;, operator &gt;=, and operator &lt;=.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Dart Object-Oriented &amp; Advanced Patterns script challenges | [TOPIC] Overload Relational Operators using operator &gt;, operator &lt;, operator &gt;=, and operator &lt;=.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#14 | Stage 3 🧩 Complete | Dart Object-Oriented &amp; Advanced Patterns | 📊 Level: Intermediate | 🌐 Coding5s.com
**Concept:** Relational Operator Overloading (operator &gt;, operator &lt;, operator &gt;=, operator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Relational Operators using operator &gt;, operator &lt;, operator &gt;=, and operator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Relational Operators using operator &gt;, operator &lt;, operator &gt;=, and operator &lt;=.. Topic details: Relational Operator Overloading (operator &gt;, operator &lt;, operator &gt;=, operator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Object-Oriented &amp; Advanced Patterns | 📊 Level: Intermediate
**Topic:** Overload Relational Operators using operator &gt;, operator &lt;, operator &gt;=, and operator &lt;=.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Overload Relational Operators using operator &gt;, operator &lt;, operator &gt;=, and operator &lt;=.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Object-Oriented &amp; Advanced Patterns | 📊 Level: Intermediate | 🌐 Coding5s.com
**Concept:** Relational Operator Overloading (operator &gt;, operator &lt;, operator &gt;=, operator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Relational Operators using operator &gt;, operator &lt;, operator &gt;=, and operator &lt;=.. Topic details: Relational Operator Overloading (operator &gt;, operator &lt;, operator &gt;=, operator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Object-Oriented &amp; Advanced Patterns | 📊 Level: Intermediate
**Topic:** Overload Relational Operators using operator &gt;, operator &lt;, operator &gt;=, and operator &lt;=.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Dart Object-Oriented &amp; Advanced Patterns Jira Ticket | [TASK] Provide a guided implementation exercise with full solution for learning purposes | [TOPIC] Overload Relational Operators using operator &gt;, operator &lt;, operator &gt;=, and operator &lt;=.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Object-Oriented &amp; Advanced Patterns | 📊 Level: Intermediate | 🌐 Coding5s.com
**Concept:** Relational Operator Overloading (operator &gt;, operator &lt;, operator &gt;=, operator &lt;=)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Relational Operators using operator &gt;, operator &lt;, operator &gt;=, and operator &lt;=.. Goal: Relational Operator Overloading (operator &gt;, operator &lt;, operator &gt;=, operator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Object-Oriented &amp; Advanced Patterns | 📊 Level: Intermediate
**Topic:** Overload Relational Operators using operator &gt;, operator &lt;, operator &gt;=, and operator &lt;=.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15</v>
      </c>
      <c r="D23" s="46">
        <v>4</v>
      </c>
      <c r="E23" s="58" t="s">
        <v>46</v>
      </c>
      <c r="F23" s="48">
        <v>15</v>
      </c>
      <c r="G23" s="49" t="s">
        <v>158</v>
      </c>
      <c r="H23" s="49" t="s">
        <v>48</v>
      </c>
      <c r="I23" s="50" t="s">
        <v>760</v>
      </c>
      <c r="J23" s="51" t="s">
        <v>761</v>
      </c>
      <c r="K23" s="129" t="str">
        <f t="shared" si="2"/>
        <v xml:space="preserve">[ROLE] Friendly tutor specializing in Dart Object-Oriented &amp; Advanced Patterns | [TOPIC] Extend a Class using extends and super.method().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Object-Oriented &amp; Advanced Patterns | 📊 Level: Intermediate | 🌐 Coding5s.com
**Concept:** Class Extension (extends, super.method())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a Class using extends and super.method().. Topic details: Class Extension (extends, super.method())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Object-Oriented &amp; Advanced Patterns | 📊 Level: Intermediate
**Topic:** Extend a Class using extends and super.method().
---
 | [FOOTER RULE - STRICT] End your response with: '--- ⚡ *Coding5s Mentor System — Eliminating Epistemic Debt*' | </v>
      </c>
      <c r="M23" s="53">
        <v>0</v>
      </c>
      <c r="N23" s="102" t="str">
        <f t="shared" si="4"/>
        <v>[ROLE] Careless Dart Object-Oriented &amp; Advanced Patterns Developer | [TASK] Generate debugging challenges in Dart Object-Oriented &amp; Advanced Patterns | | [TOPIC] Extend a Class using extends and super.method().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#15 | Stage 2 🐛 Debug | Dart Object-Oriented &amp; Advanced Patterns | 📊 Level: Intermediate | 🌐 Coding5s.com
Concept: Class Extension (extends, super.method())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a Class using extends and super.method().. Topic details: Class Extension (extends, super.method())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Object-Oriented &amp; Advanced Patterns | 📊 Level: Intermediate
**Topic:** Extend a Class using extends and super.method().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Dart Object-Oriented &amp; Advanced Patterns script challenges | [TOPIC] Extend a Class using extends and super.method().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#15 | Stage 3 🧩 Complete | Dart Object-Oriented &amp; Advanced Patterns | 📊 Level: Intermediate | 🌐 Coding5s.com
**Concept:** Class Extension (extends, super.method())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a Class using extends and super.method()..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a Class using extends and super.method().. Topic details: Class Extension (extends, super.method())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Object-Oriented &amp; Advanced Patterns | 📊 Level: Intermediate
**Topic:** Extend a Class using extends and super.method().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Extend a Class using extends and super.method().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Object-Oriented &amp; Advanced Patterns | 📊 Level: Intermediate | 🌐 Coding5s.com
**Concept:** Class Extension (extends, super.method())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a Class using extends and super.method().. Topic details: Class Extension (extends, super.method())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Object-Oriented &amp; Advanced Patterns | 📊 Level: Intermediate
**Topic:** Extend a Class using extends and super.method().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Dart Object-Oriented &amp; Advanced Patterns Jira Ticket | [TASK] Provide a guided implementation exercise with full solution for learning purposes | [TOPIC] Extend a Class using extends and super.method().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Object-Oriented &amp; Advanced Patterns | 📊 Level: Intermediate | 🌐 Coding5s.com
**Concept:** Class Extension (extends, super.method())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a Class using extends and super.method().. Goal: Class Extension (extends, super.method())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Object-Oriented &amp; Advanced Patterns | 📊 Level: Intermediate
**Topic:** Extend a Class using extends and super.method().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2</v>
      </c>
      <c r="C24" s="95">
        <v>15</v>
      </c>
      <c r="D24" s="57">
        <v>4</v>
      </c>
      <c r="E24" s="58" t="s">
        <v>46</v>
      </c>
      <c r="F24" s="59">
        <v>16</v>
      </c>
      <c r="G24" s="60" t="s">
        <v>158</v>
      </c>
      <c r="H24" s="60" t="s">
        <v>48</v>
      </c>
      <c r="I24" s="61" t="s">
        <v>762</v>
      </c>
      <c r="J24" s="62" t="s">
        <v>763</v>
      </c>
      <c r="K24" s="129" t="str">
        <f t="shared" si="2"/>
        <v xml:space="preserve">[ROLE] Friendly tutor specializing in Dart Object-Oriented &amp; Advanced Patterns | [TOPIC] Override Methods using @override and covariant.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Object-Oriented &amp; Advanced Patterns | 📊 Level: Intermediate | 🌐 Coding5s.com
**Concept:** Method Overriding (@override, covariant)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Methods using @override and covariant.. Topic details: Method Overriding (@override, covariant)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Object-Oriented &amp; Advanced Patterns | 📊 Level: Intermediate
**Topic:** Override Methods using @override and covariant.
---
 | [FOOTER RULE - STRICT] End your response with: '--- ⚡ *Coding5s Mentor System — Eliminating Epistemic Debt*' | </v>
      </c>
      <c r="M24" s="52">
        <v>0</v>
      </c>
      <c r="N24" s="102" t="str">
        <f t="shared" si="4"/>
        <v>[ROLE] Careless Dart Object-Oriented &amp; Advanced Patterns Developer | [TASK] Generate debugging challenges in Dart Object-Oriented &amp; Advanced Patterns | | [TOPIC] Override Methods using @override and covariant.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#16 | Stage 2 🐛 Debug | Dart Object-Oriented &amp; Advanced Patterns | 📊 Level: Intermediate | 🌐 Coding5s.com
Concept: Method Overriding (@override, covariant)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Methods using @override and covariant.. Topic details: Method Overriding (@override, covariant)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Object-Oriented &amp; Advanced Patterns | 📊 Level: Intermediate
**Topic:** Override Methods using @override and covariant.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Dart Object-Oriented &amp; Advanced Patterns script challenges | [TOPIC] Override Methods using @override and covariant.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#16 | Stage 3 🧩 Complete | Dart Object-Oriented &amp; Advanced Patterns | 📊 Level: Intermediate | 🌐 Coding5s.com
**Concept:** Method Overriding (@override, covariant)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Methods using @override and covariant..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Methods using @override and covariant.. Topic details: Method Overriding (@override, covariant)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Object-Oriented &amp; Advanced Patterns | 📊 Level: Intermediate
**Topic:** Override Methods using @override and covariant.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Override Methods using @override and covariant.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Dart Object-Oriented &amp; Advanced Patterns | 📊 Level: Intermediate | 🌐 Coding5s.com
**Concept:** Method Overriding (@override, covariant)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Override Methods using @override and covariant.. Topic details: Method Overriding (@override, covariant)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Object-Oriented &amp; Advanced Patterns | 📊 Level: Intermediate
**Topic:** Override Methods using @override and covariant.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Dart Object-Oriented &amp; Advanced Patterns Jira Ticket | [TASK] Provide a guided implementation exercise with full solution for learning purposes | [TOPIC] Override Methods using @override and covariant.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Dart Object-Oriented &amp; Advanced Patterns | 📊 Level: Intermediate | 🌐 Coding5s.com
**Concept:** Method Overriding (@override, covariant)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Methods using @override and covariant.. Goal: Method Overriding (@override, covariant)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Object-Oriented &amp; Advanced Patterns | 📊 Level: Intermediate
**Topic:** Override Methods using @override and covariant.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2</v>
      </c>
      <c r="C25" s="95">
        <v>18</v>
      </c>
      <c r="D25" s="46">
        <v>4</v>
      </c>
      <c r="E25" s="58" t="s">
        <v>46</v>
      </c>
      <c r="F25" s="48">
        <v>17</v>
      </c>
      <c r="G25" s="49" t="s">
        <v>158</v>
      </c>
      <c r="H25" s="49" t="s">
        <v>48</v>
      </c>
      <c r="I25" s="50" t="s">
        <v>764</v>
      </c>
      <c r="J25" s="51" t="s">
        <v>765</v>
      </c>
      <c r="K25" s="129" t="str">
        <f t="shared" si="2"/>
        <v xml:space="preserve">[ROLE] Friendly tutor specializing in Dart Object-Oriented &amp; Advanced Patterns | [TOPIC] Create Abstract Classes using abstract class and unimplemented methods.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Object-Oriented &amp; Advanced Patterns | 📊 Level: Intermediate | 🌐 Coding5s.com
**Concept:** Abstract Classes (abstract class, unimplemented methods)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Abstract Classes using abstract class and unimplemented methods.. Topic details: Abstract Classes (abstract class, unimplemented methods)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Object-Oriented &amp; Advanced Patterns | 📊 Level: Intermediate
**Topic:** Create Abstract Classes using abstract class and unimplemented methods.
---
 | [FOOTER RULE - STRICT] End your response with: '--- ⚡ *Coding5s Mentor System — Eliminating Epistemic Debt*' | </v>
      </c>
      <c r="M25" s="53">
        <v>0</v>
      </c>
      <c r="N25" s="102" t="str">
        <f t="shared" si="4"/>
        <v>[ROLE] Careless Dart Object-Oriented &amp; Advanced Patterns Developer | [TASK] Generate debugging challenges in Dart Object-Oriented &amp; Advanced Patterns | | [TOPIC] Create Abstract Classes using abstract class and unimplemented methods.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#17 | Stage 2 🐛 Debug | Dart Object-Oriented &amp; Advanced Patterns | 📊 Level: Intermediate | 🌐 Coding5s.com
Concept: Abstract Classes (abstract class, unimplemented methods)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Abstract Classes using abstract class and unimplemented methods.. Topic details: Abstract Classes (abstract class, unimplemented methods)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Object-Oriented &amp; Advanced Patterns | 📊 Level: Intermediate
**Topic:** Create Abstract Classes using abstract class and unimplemented methods.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Dart Object-Oriented &amp; Advanced Patterns script challenges | [TOPIC] Create Abstract Classes using abstract class and unimplemented methods.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#17 | Stage 3 🧩 Complete | Dart Object-Oriented &amp; Advanced Patterns | 📊 Level: Intermediate | 🌐 Coding5s.com
**Concept:** Abstract Classes (abstract class, unimplemented methods)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Abstract Classes using abstract class and unimplemented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Abstract Classes using abstract class and unimplemented methods.. Topic details: Abstract Classes (abstract class, unimplemented methods)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Object-Oriented &amp; Advanced Patterns | 📊 Level: Intermediate
**Topic:** Create Abstract Classes using abstract class and unimplemented methods.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Create Abstract Classes using abstract class and unimplemented methods.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Dart Object-Oriented &amp; Advanced Patterns | 📊 Level: Intermediate | 🌐 Coding5s.com
**Concept:** Abstract Classes (abstract class, unimplemented methods)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Abstract Classes using abstract class and unimplemented methods.. Topic details: Abstract Classes (abstract class, unimplemented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Object-Oriented &amp; Advanced Patterns | 📊 Level: Intermediate
**Topic:** Create Abstract Classes using abstract class and unimplemented methods.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Dart Object-Oriented &amp; Advanced Patterns Jira Ticket | [TASK] Provide a guided implementation exercise with full solution for learning purposes | [TOPIC] Create Abstract Classes using abstract class and unimplemented methods.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Dart Object-Oriented &amp; Advanced Patterns | 📊 Level: Intermediate | 🌐 Coding5s.com
**Concept:** Abstract Classes (abstract class, unimplemented methods)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Abstract Classes using abstract class and unimplemented methods.. Goal: Abstract Classes (abstract class, unimplemented methods)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Object-Oriented &amp; Advanced Patterns | 📊 Level: Intermediate
**Topic:** Create Abstract Classes using abstract class and unimplemented methods.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xml:space="preserve">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v>
      </c>
      <c r="B26" s="45">
        <f t="shared" si="1"/>
        <v>2</v>
      </c>
      <c r="C26" s="95">
        <v>30</v>
      </c>
      <c r="D26" s="57">
        <v>0</v>
      </c>
      <c r="E26" s="58" t="s">
        <v>46</v>
      </c>
      <c r="F26" s="59">
        <v>18</v>
      </c>
      <c r="G26" s="60" t="s">
        <v>158</v>
      </c>
      <c r="H26" s="60" t="s">
        <v>77</v>
      </c>
      <c r="I26" s="61" t="s">
        <v>766</v>
      </c>
      <c r="J26" s="62" t="s">
        <v>767</v>
      </c>
      <c r="K26" s="129" t="str">
        <f t="shared" si="2"/>
        <v>[TASK] Teach through a practical Dart Object-Oriented &amp; Advanced Patterns -  project following the micro-learning methodology, acting as a supportive tutor, creating a project about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Dart Object-Oriented &amp; Advanced Patterns | 📊 Level: Intermediate | 🌐 Coding5s.com
**Project:** Behavioral Hierarchy with Methods and Inheritance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6"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behavioral hierarchy consolidating Instance and Static Methods, Cascade Operators, Callable Objects, Arithmetic and Index Operator Overloading, Relational Operator Overloading, Class Extension, Method Overriding, and Abstract Classes.. Topics applied in this project: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[FOOTER RULE - STRICT] End your response with: '--- ⚡ *Coding5s Mentor System — Eliminating Epistemic Debt*' | </v>
      </c>
      <c r="M26" s="52">
        <v>0</v>
      </c>
      <c r="N26" s="102" t="str">
        <f t="shared" si="4"/>
        <v>[ROLE] Careless Dart Object-Oriented &amp; Advanced Patterns Developer | [TASK] Generate debugging project in Dart Object-Oriented &amp; Advanced Patterns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Dart Object-Oriented &amp; Advanced Patterns | 📊 Level: Intermediate | 🌐 Coding5s.com
Project: Behavioral Hierarchy with Methods and Inheritance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project script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Dart Object-Oriented &amp; Advanced Patterns | 📊 Level: Intermediate | 🌐 Coding5s.com
**Project:** Behavioral Hierarchy with Methods and Inheritance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a messy but functional project for refactoring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Tech Lead. A junior wrote this working but messy code. Tone: professional but exhausted | [HEADER RULE - STRICT] You MUST start your entire response EXACTLY with this markdown block (do not print anything before it):
### 🚀 Project #18 | Stage 4 | Dart Object-Oriented &amp; Advanced Patterns | 📊 Level: Intermediate | 🌐 Coding5s.com
**Project:** Behavioral Hierarchy with Methods and Inheritance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Dart Object-Oriented &amp; Advanced Patterns Jira Ticket | [TASK] Provide a guided project implementation with full solution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#18 | Stage 5 | Dart Object-Oriented &amp; Advanced Patterns | 📊 Level: Intermediate | 🌐 Coding5s.com
**Project:** Behavioral Hierarchy with Methods and Inheritance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behavioral hierarchy consolidating Instance and Static Methods, Cascade Operators, Callable Objects, Arithmetic and Index Operator Overloading, Relational Operator Overloading, Class Extension, Method Overriding, and Abstract Classes.. Topics integrated: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Business Goal: Behavioral Hierarchy with Methods and Inheritance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[TASK] Teach through a practical Dart Object-Oriented &amp; Advanced Patterns -  project following the micro-learning methodology, acting as a supportive tutor, creating a project about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Dart Object-Oriented &amp; Advanced Patterns | 📊 Level: Intermediate | 🌐 Coding5s.com
**Project:** Behavioral Hierarchy with Methods and Inheritance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6" s="56" t="str">
        <f t="shared" si="13"/>
        <v>[ROLE] Careless Dart Object-Oriented &amp; Advanced Patterns Developer | [TASK] Generate debugging project in Dart Object-Oriented &amp; Advanced Patterns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Dart Object-Oriented &amp; Advanced Patterns | 📊 Level: Intermediate | 🌐 Coding5s.com
Project: Behavioral Hierarchy with Methods and Inheritance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6" s="56" t="str">
        <f t="shared" si="14"/>
        <v>[ROLE] Tech Lead | [TASK] Assign incomplete project script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Dart Object-Oriented &amp; Advanced Patterns | 📊 Level: Intermediate | 🌐 Coding5s.com
**Project:** Behavioral Hierarchy with Methods and Inheritance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6" s="56" t="str">
        <f t="shared" si="15"/>
        <v>[ROLE] Tech Lead | [TASK] Provide a messy but functional project for refactoring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Tech Lead. A junior wrote this working but messy code. Tone: professional but exhausted | [HEADER RULE - STRICT] You MUST start your entire response EXACTLY with this markdown block (do not print anything before it):
### 🚀 Project #18 | Stage 4 | Dart Object-Oriented &amp; Advanced Patterns | 📊 Level: Intermediate | 🌐 Coding5s.com
**Project:** Behavioral Hierarchy with Methods and Inheritance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6" s="56" t="str">
        <f t="shared" si="16"/>
        <v>[ROLE] Tech Product Manager assigning a Dart Object-Oriented &amp; Advanced Patterns Jira Ticket | [TASK] Provide a guided project implementation with full solution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#18 | Stage 5 | Dart Object-Oriented &amp; Advanced Patterns | 📊 Level: Intermediate | 🌐 Coding5s.com
**Project:** Behavioral Hierarchy with Methods and Inheritance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15</v>
      </c>
      <c r="D27" s="46">
        <v>4</v>
      </c>
      <c r="E27" s="58" t="s">
        <v>46</v>
      </c>
      <c r="F27" s="48">
        <v>19</v>
      </c>
      <c r="G27" s="49" t="s">
        <v>158</v>
      </c>
      <c r="H27" s="49" t="s">
        <v>48</v>
      </c>
      <c r="I27" s="50" t="s">
        <v>768</v>
      </c>
      <c r="J27" s="51" t="s">
        <v>769</v>
      </c>
      <c r="K27" s="129" t="str">
        <f t="shared" si="2"/>
        <v xml:space="preserve">[ROLE] Friendly tutor specializing in Dart Object-Oriented &amp; Advanced Patterns | [TOPIC] Implement Implicit Interfaces using implements and multiple interface contracts.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Object-Oriented &amp; Advanced Patterns | 📊 Level: Intermediate | 🌐 Coding5s.com
**Concept:** Implicit Interfaces (implements, multiple interface contracts)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Implicit Interfaces using implements and multiple interface contracts.. Topic details: Implicit Interfaces (implements, multiple interface contracts)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Object-Oriented &amp; Advanced Patterns | 📊 Level: Intermediate
**Topic:** Implement Implicit Interfaces using implements and multiple interface contracts.
---
 | [FOOTER RULE - STRICT] End your response with: '--- ⚡ *Coding5s Mentor System — Eliminating Epistemic Debt*' | </v>
      </c>
      <c r="M27" s="53">
        <v>0</v>
      </c>
      <c r="N27" s="102" t="str">
        <f t="shared" si="4"/>
        <v>[ROLE] Careless Dart Object-Oriented &amp; Advanced Patterns Developer | [TASK] Generate debugging challenges in Dart Object-Oriented &amp; Advanced Patterns | | [TOPIC] Implement Implicit Interfaces using implements and multiple interface contracts.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#19 | Stage 2 🐛 Debug | Dart Object-Oriented &amp; Advanced Patterns | 📊 Level: Intermediate | 🌐 Coding5s.com
Concept: Implicit Interfaces (implements, multiple interface contracts)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Implicit Interfaces using implements and multiple interface contracts.. Topic details: Implicit Interfaces (implements, multiple interface contracts)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Object-Oriented &amp; Advanced Patterns | 📊 Level: Intermediate
**Topic:** Implement Implicit Interfaces using implements and multiple interface contracts.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Dart Object-Oriented &amp; Advanced Patterns script challenges | [TOPIC] Implement Implicit Interfaces using implements and multiple interface contracts.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#19 | Stage 3 🧩 Complete | Dart Object-Oriented &amp; Advanced Patterns | 📊 Level: Intermediate | 🌐 Coding5s.com
**Concept:** Implicit Interfaces (implements, multiple interface contracts)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Implicit Interfaces using implements and multiple interface contracts..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Implicit Interfaces using implements and multiple interface contracts.. Topic details: Implicit Interfaces (implements, multiple interface contracts)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Object-Oriented &amp; Advanced Patterns | 📊 Level: Intermediate
**Topic:** Implement Implicit Interfaces using implements and multiple interface contracts.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Implement Implicit Interfaces using implements and multiple interface contracts.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Object-Oriented &amp; Advanced Patterns | 📊 Level: Intermediate | 🌐 Coding5s.com
**Concept:** Implicit Interfaces (implements, multiple interface contracts)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Implicit Interfaces using implements and multiple interface contracts.. Topic details: Implicit Interfaces (implements, multiple interface contracts)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Object-Oriented &amp; Advanced Patterns | 📊 Level: Intermediate
**Topic:** Implement Implicit Interfaces using implements and multiple interface contracts.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Dart Object-Oriented &amp; Advanced Patterns Jira Ticket | [TASK] Provide a guided implementation exercise with full solution for learning purposes | [TOPIC] Implement Implicit Interfaces using implements and multiple interface contracts.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Object-Oriented &amp; Advanced Patterns | 📊 Level: Intermediate | 🌐 Coding5s.com
**Concept:** Implicit Interfaces (implements, multiple interface contracts)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Implicit Interfaces using implements and multiple interface contracts.. Goal: Implicit Interfaces (implements, multiple interface contracts)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Object-Oriented &amp; Advanced Patterns | 📊 Level: Intermediate
**Topic:** Implement Implicit Interfaces using implements and multiple interface contracts.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15</v>
      </c>
      <c r="D28" s="57">
        <v>4</v>
      </c>
      <c r="E28" s="58" t="s">
        <v>46</v>
      </c>
      <c r="F28" s="59">
        <v>20</v>
      </c>
      <c r="G28" s="60" t="s">
        <v>158</v>
      </c>
      <c r="H28" s="60" t="s">
        <v>48</v>
      </c>
      <c r="I28" s="61" t="s">
        <v>770</v>
      </c>
      <c r="J28" s="62" t="s">
        <v>771</v>
      </c>
      <c r="K28" s="129" t="str">
        <f t="shared" si="2"/>
        <v xml:space="preserve">[ROLE] Friendly tutor specializing in Dart Object-Oriented &amp; Advanced Patterns | [TOPIC] Apply Mixins using mixin and with.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Object-Oriented &amp; Advanced Patterns | 📊 Level: Intermediate | 🌐 Coding5s.com
**Concept:** Mixin Application (mixin, with)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Mixins using mixin and with.. Topic details: Mixin Application (mixin, with)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Object-Oriented &amp; Advanced Patterns | 📊 Level: Intermediate
**Topic:** Apply Mixins using mixin and with.
---
 | [FOOTER RULE - STRICT] End your response with: '--- ⚡ *Coding5s Mentor System — Eliminating Epistemic Debt*' | </v>
      </c>
      <c r="M28" s="52">
        <v>0</v>
      </c>
      <c r="N28" s="102" t="str">
        <f t="shared" si="4"/>
        <v>[ROLE] Careless Dart Object-Oriented &amp; Advanced Patterns Developer | [TASK] Generate debugging challenges in Dart Object-Oriented &amp; Advanced Patterns | | [TOPIC] Apply Mixins using mixin and with.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#20 | Stage 2 🐛 Debug | Dart Object-Oriented &amp; Advanced Patterns | 📊 Level: Intermediate | 🌐 Coding5s.com
Concept: Mixin Application (mixin,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Mixins using mixin and with.. Topic details: Mixin Application (mixin,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Object-Oriented &amp; Advanced Patterns | 📊 Level: Intermediate
**Topic:** Apply Mixins using mixin and with.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Dart Object-Oriented &amp; Advanced Patterns script challenges | [TOPIC] Apply Mixins using mixin and with.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#20 | Stage 3 🧩 Complete | Dart Object-Oriented &amp; Advanced Patterns | 📊 Level: Intermediate | 🌐 Coding5s.com
**Concept:** Mixin Application (mixin,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Mixins using mixin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Mixins using mixin and with.. Topic details: Mixin Application (mixin,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Object-Oriented &amp; Advanced Patterns | 📊 Level: Intermediate
**Topic:** Apply Mixins using mixin and with.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Apply Mixins using mixin and with.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Object-Oriented &amp; Advanced Patterns | 📊 Level: Intermediate | 🌐 Coding5s.com
**Concept:** Mixin Application (mixin,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Mixins using mixin and with.. Topic details: Mixin Application (mixin,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Object-Oriented &amp; Advanced Patterns | 📊 Level: Intermediate
**Topic:** Apply Mixins using mixin and with.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Dart Object-Oriented &amp; Advanced Patterns Jira Ticket | [TASK] Provide a guided implementation exercise with full solution for learning purposes | [TOPIC] Apply Mixins using mixin and with.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Object-Oriented &amp; Advanced Patterns | 📊 Level: Intermediate | 🌐 Coding5s.com
**Concept:** Mixin Application (mixin,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Mixins using mixin and with.. Goal: Mixin Application (mixin,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Object-Oriented &amp; Advanced Patterns | 📊 Level: Intermediate
**Topic:** Apply Mixins using mixin and with.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15</v>
      </c>
      <c r="D29" s="46">
        <v>4</v>
      </c>
      <c r="E29" s="58" t="s">
        <v>46</v>
      </c>
      <c r="F29" s="48">
        <v>21</v>
      </c>
      <c r="G29" s="49" t="s">
        <v>158</v>
      </c>
      <c r="H29" s="49" t="s">
        <v>48</v>
      </c>
      <c r="I29" s="50" t="s">
        <v>772</v>
      </c>
      <c r="J29" s="51" t="s">
        <v>773</v>
      </c>
      <c r="K29" s="129" t="str">
        <f t="shared" si="2"/>
        <v xml:space="preserve">[ROLE] Friendly tutor specializing in Dart Object-Oriented &amp; Advanced Patterns | [TOPIC] Constrain Mixins using the on keyword.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Object-Oriented &amp; Advanced Patterns | 📊 Level: Intermediate | 🌐 Coding5s.com
**Concept:** Mixin Constraints (on keyword)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Mixins using the on keyword.. Topic details: Mixin Constraints (on keyword)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Object-Oriented &amp; Advanced Patterns | 📊 Level: Intermediate
**Topic:** Constrain Mixins using the on keyword.
---
 | [FOOTER RULE - STRICT] End your response with: '--- ⚡ *Coding5s Mentor System — Eliminating Epistemic Debt*' | </v>
      </c>
      <c r="M29" s="53">
        <v>0</v>
      </c>
      <c r="N29" s="102" t="str">
        <f t="shared" si="4"/>
        <v>[ROLE] Careless Dart Object-Oriented &amp; Advanced Patterns Developer | [TASK] Generate debugging challenges in Dart Object-Oriented &amp; Advanced Patterns | | [TOPIC] Constrain Mixins using the on keyword.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#21 | Stage 2 🐛 Debug | Dart Object-Oriented &amp; Advanced Patterns | 📊 Level: Intermediate | 🌐 Coding5s.com
Concept: Mixin Constraints (on keyword)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Mixins using the on keyword.. Topic details: Mixin Constraints (on keyword)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Object-Oriented &amp; Advanced Patterns | 📊 Level: Intermediate
**Topic:** Constrain Mixins using the on keyword.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Dart Object-Oriented &amp; Advanced Patterns script challenges | [TOPIC] Constrain Mixins using the on keyword.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#21 | Stage 3 🧩 Complete | Dart Object-Oriented &amp; Advanced Patterns | 📊 Level: Intermediate | 🌐 Coding5s.com
**Concept:** Mixin Constraints (on keyword)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Mixins using the on keyword..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Mixins using the on keyword.. Topic details: Mixin Constraints (on keyword)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Object-Oriented &amp; Advanced Patterns | 📊 Level: Intermediate
**Topic:** Constrain Mixins using the on keyword.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Constrain Mixins using the on keyword.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Object-Oriented &amp; Advanced Patterns | 📊 Level: Intermediate | 🌐 Coding5s.com
**Concept:** Mixin Constraints (on keyword)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Constrain Mixins using the on keyword.. Topic details: Mixin Constraints (on keyword)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Object-Oriented &amp; Advanced Patterns | 📊 Level: Intermediate
**Topic:** Constrain Mixins using the on keyword.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Dart Object-Oriented &amp; Advanced Patterns Jira Ticket | [TASK] Provide a guided implementation exercise with full solution for learning purposes | [TOPIC] Constrain Mixins using the on keyword.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Object-Oriented &amp; Advanced Patterns | 📊 Level: Intermediate | 🌐 Coding5s.com
**Concept:** Mixin Constraints (on keyword)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Mixins using the on keyword.. Goal: Mixin Constraints (on keyword)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Object-Oriented &amp; Advanced Patterns | 📊 Level: Intermediate
**Topic:** Constrain Mixins using the on keyword.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15</v>
      </c>
      <c r="D30" s="57">
        <v>4</v>
      </c>
      <c r="E30" s="58" t="s">
        <v>46</v>
      </c>
      <c r="F30" s="59">
        <v>22</v>
      </c>
      <c r="G30" s="60" t="s">
        <v>158</v>
      </c>
      <c r="H30" s="60" t="s">
        <v>48</v>
      </c>
      <c r="I30" s="61" t="s">
        <v>774</v>
      </c>
      <c r="J30" s="62" t="s">
        <v>775</v>
      </c>
      <c r="K30" s="129" t="str">
        <f t="shared" si="2"/>
        <v xml:space="preserve">[ROLE] Friendly tutor specializing in Dart Object-Oriented &amp; Advanced Patterns | [TOPIC] Declare Mixin Classes using mixin class.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Object-Oriented &amp; Advanced Patterns | 📊 Level: Intermediate | 🌐 Coding5s.com
**Concept:** Mixin Classes (mixin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Mixin Classes using mixin class.. Topic details: Mixin Classes (mixin class)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Object-Oriented &amp; Advanced Patterns | 📊 Level: Intermediate
**Topic:** Declare Mixin Classes using mixin class.
---
 | [FOOTER RULE - STRICT] End your response with: '--- ⚡ *Coding5s Mentor System — Eliminating Epistemic Debt*' | </v>
      </c>
      <c r="M30" s="52">
        <v>0</v>
      </c>
      <c r="N30" s="102" t="str">
        <f t="shared" si="4"/>
        <v>[ROLE] Careless Dart Object-Oriented &amp; Advanced Patterns Developer | [TASK] Generate debugging challenges in Dart Object-Oriented &amp; Advanced Patterns | | [TOPIC] Declare Mixin Classes using mixin class.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#22 | Stage 2 🐛 Debug | Dart Object-Oriented &amp; Advanced Patterns | 📊 Level: Intermediate | 🌐 Coding5s.com
Concept: Mixin Classes (mixin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Mixin Classes using mixin class.. Topic details: Mixin Classes (mixin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Object-Oriented &amp; Advanced Patterns | 📊 Level: Intermediate
**Topic:** Declare Mixin Classes using mixin class.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Dart Object-Oriented &amp; Advanced Patterns script challenges | [TOPIC] Declare Mixin Classes using mixin class.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#22 | Stage 3 🧩 Complete | Dart Object-Oriented &amp; Advanced Patterns | 📊 Level: Intermediate | 🌐 Coding5s.com
**Concept:** Mixin Classes (mixin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Mixin Classes using mixin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Mixin Classes using mixin class.. Topic details: Mixin Classes (mixin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Object-Oriented &amp; Advanced Patterns | 📊 Level: Intermediate
**Topic:** Declare Mixin Classes using mixin class.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Declare Mixin Classes using mixin class.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Object-Oriented &amp; Advanced Patterns | 📊 Level: Intermediate | 🌐 Coding5s.com
**Concept:** Mixin Classes (mixin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Mixin Classes using mixin class.. Topic details: Mixin Classes (mixin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Object-Oriented &amp; Advanced Patterns | 📊 Level: Intermediate
**Topic:** Declare Mixin Classes using mixin class.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Dart Object-Oriented &amp; Advanced Patterns Jira Ticket | [TASK] Provide a guided implementation exercise with full solution for learning purposes | [TOPIC] Declare Mixin Classes using mixin class.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Object-Oriented &amp; Advanced Patterns | 📊 Level: Intermediate | 🌐 Coding5s.com
**Concept:** Mixin Classes (mixin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Mixin Classes using mixin class.. Goal: Mixin Classes (mixin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Object-Oriented &amp; Advanced Patterns | 📊 Level: Intermediate
**Topic:** Declare Mixin Classes using mixin class.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12</v>
      </c>
      <c r="D31" s="46">
        <v>3</v>
      </c>
      <c r="E31" s="58" t="s">
        <v>46</v>
      </c>
      <c r="F31" s="48">
        <v>23</v>
      </c>
      <c r="G31" s="49" t="s">
        <v>158</v>
      </c>
      <c r="H31" s="49" t="s">
        <v>48</v>
      </c>
      <c r="I31" s="50" t="s">
        <v>776</v>
      </c>
      <c r="J31" s="51" t="s">
        <v>777</v>
      </c>
      <c r="K31" s="129" t="str">
        <f t="shared" si="2"/>
        <v xml:space="preserve">[ROLE] Friendly tutor specializing in Dart Object-Oriented &amp; Advanced Patterns | [TOPIC] Declare Enhanced Enums using enum and const fields.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Object-Oriented &amp; Advanced Patterns | 📊 Level: Intermediate | 🌐 Coding5s.com
**Concept:** Enhanced Enum Declaration (enum, const 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Enhanced Enums using enum and const fields.. Topic details: Enhanced Enum Declaration (enum, const fields)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Object-Oriented &amp; Advanced Patterns | 📊 Level: Intermediate
**Topic:** Declare Enhanced Enums using enum and const fields.
---
 | [FOOTER RULE - STRICT] End your response with: '--- ⚡ *Coding5s Mentor System — Eliminating Epistemic Debt*' | </v>
      </c>
      <c r="M31" s="53">
        <v>0</v>
      </c>
      <c r="N31" s="102" t="str">
        <f t="shared" si="4"/>
        <v>[ROLE] Careless Dart Object-Oriented &amp; Advanced Patterns Developer | [TASK] Generate debugging challenges in Dart Object-Oriented &amp; Advanced Patterns | | [TOPIC] Declare Enhanced Enums using enum and const fields.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#23 | Stage 2 🐛 Debug | Dart Object-Oriented &amp; Advanced Patterns | 📊 Level: Intermediate | 🌐 Coding5s.com
Concept: Enhanced Enum Declaration (enum, const fields)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Enhanced Enums using enum and const fields.. Topic details: Enhanced Enum Declaration (enum, const 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Object-Oriented &amp; Advanced Patterns | 📊 Level: Intermediate
**Topic:** Declare Enhanced Enums using enum and const fields.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Dart Object-Oriented &amp; Advanced Patterns script challenges | [TOPIC] Declare Enhanced Enums using enum and const fields.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#23 | Stage 3 🧩 Complete | Dart Object-Oriented &amp; Advanced Patterns | 📊 Level: Intermediate | 🌐 Coding5s.com
**Concept:** Enhanced Enum Declaration (enum, const fields)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Enhanced Enums using enum and const 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Enhanced Enums using enum and const fields.. Topic details: Enhanced Enum Declaration (enum, const 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Object-Oriented &amp; Advanced Patterns | 📊 Level: Intermediate
**Topic:** Declare Enhanced Enums using enum and const fields.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Declare Enhanced Enums using enum and const fields.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Object-Oriented &amp; Advanced Patterns | 📊 Level: Intermediate | 🌐 Coding5s.com
**Concept:** Enhanced Enum Declaration (enum, const 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Enhanced Enums using enum and const fields.. Topic details: Enhanced Enum Declaration (enum, const 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Object-Oriented &amp; Advanced Patterns | 📊 Level: Intermediate
**Topic:** Declare Enhanced Enums using enum and const fields.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Dart Object-Oriented &amp; Advanced Patterns Jira Ticket | [TASK] Provide a guided implementation exercise with full solution for learning purposes | [TOPIC] Declare Enhanced Enums using enum and const fields.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Object-Oriented &amp; Advanced Patterns | 📊 Level: Intermediate | 🌐 Coding5s.com
**Concept:** Enhanced Enum Declaration (enum, const 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Enhanced Enums using enum and const fields.. Goal: Enhanced Enum Declaration (enum, const 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Object-Oriented &amp; Advanced Patterns | 📊 Level: Intermediate
**Topic:** Declare Enhanced Enums using enum and const fields.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15</v>
      </c>
      <c r="D32" s="57">
        <v>4</v>
      </c>
      <c r="E32" s="58" t="s">
        <v>46</v>
      </c>
      <c r="F32" s="59">
        <v>24</v>
      </c>
      <c r="G32" s="60" t="s">
        <v>158</v>
      </c>
      <c r="H32" s="60" t="s">
        <v>48</v>
      </c>
      <c r="I32" s="61" t="s">
        <v>778</v>
      </c>
      <c r="J32" s="62" t="s">
        <v>779</v>
      </c>
      <c r="K32" s="129" t="str">
        <f t="shared" si="2"/>
        <v xml:space="preserve">[ROLE] Friendly tutor specializing in Dart Object-Oriented &amp; Advanced Patterns | [TOPIC] Enhance Enums with Methods and Interfaces using enum.values, enum.name, and implements.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Object-Oriented &amp; Advanced Patterns | 📊 Level: Intermediate | 🌐 Coding5s.com
**Concept:** Enum Methods &amp; Interfaces (enum.values, enum.name, implements)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Enums with Methods and Interfaces using enum.values, enum.name, and implements.. Topic details: Enum Methods &amp; Interfaces (enum.values, enum.name, implements)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Object-Oriented &amp; Advanced Patterns | 📊 Level: Intermediate
**Topic:** Enhance Enums with Methods and Interfaces using enum.values, enum.name, and implements.
---
 | [FOOTER RULE - STRICT] End your response with: '--- ⚡ *Coding5s Mentor System — Eliminating Epistemic Debt*' | </v>
      </c>
      <c r="M32" s="52">
        <v>0</v>
      </c>
      <c r="N32" s="102" t="str">
        <f t="shared" si="4"/>
        <v>[ROLE] Careless Dart Object-Oriented &amp; Advanced Patterns Developer | [TASK] Generate debugging challenges in Dart Object-Oriented &amp; Advanced Patterns | | [TOPIC] Enhance Enums with Methods and Interfaces using enum.values, enum.name, and implements.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#24 | Stage 2 🐛 Debug | Dart Object-Oriented &amp; Advanced Patterns | 📊 Level: Intermediate | 🌐 Coding5s.com
Concept: Enum Methods &amp; Interfaces (enum.values, enum.name, implements)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Enums with Methods and Interfaces using enum.values, enum.name, and implements.. Topic details: Enum Methods &amp; Interfaces (enum.values, enum.name, implements)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Object-Oriented &amp; Advanced Patterns | 📊 Level: Intermediate
**Topic:** Enhance Enums with Methods and Interfaces using enum.values, enum.name, and implements.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Dart Object-Oriented &amp; Advanced Patterns script challenges | [TOPIC] Enhance Enums with Methods and Interfaces using enum.values, enum.name, and implements.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#24 | Stage 3 🧩 Complete | Dart Object-Oriented &amp; Advanced Patterns | 📊 Level: Intermediate | 🌐 Coding5s.com
**Concept:** Enum Methods &amp; Interfaces (enum.values, enum.name, implements)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Enums with Methods and Interfaces using enum.values, enum.name, and implements..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Enums with Methods and Interfaces using enum.values, enum.name, and implements.. Topic details: Enum Methods &amp; Interfaces (enum.values, enum.name, implements)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Object-Oriented &amp; Advanced Patterns | 📊 Level: Intermediate
**Topic:** Enhance Enums with Methods and Interfaces using enum.values, enum.name, and implements.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Enhance Enums with Methods and Interfaces using enum.values, enum.name, and implements.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Dart Object-Oriented &amp; Advanced Patterns | 📊 Level: Intermediate | 🌐 Coding5s.com
**Concept:** Enum Methods &amp; Interfaces (enum.values, enum.name, implements)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Enhance Enums with Methods and Interfaces using enum.values, enum.name, and implements.. Topic details: Enum Methods &amp; Interfaces (enum.values, enum.name, implements)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Object-Oriented &amp; Advanced Patterns | 📊 Level: Intermediate
**Topic:** Enhance Enums with Methods and Interfaces using enum.values, enum.name, and implements.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Dart Object-Oriented &amp; Advanced Patterns Jira Ticket | [TASK] Provide a guided implementation exercise with full solution for learning purposes | [TOPIC] Enhance Enums with Methods and Interfaces using enum.values, enum.name, and implements.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Dart Object-Oriented &amp; Advanced Patterns | 📊 Level: Intermediate | 🌐 Coding5s.com
**Concept:** Enum Methods &amp; Interfaces (enum.values, enum.name, implements)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Enums with Methods and Interfaces using enum.values, enum.name, and implements.. Goal: Enum Methods &amp; Interfaces (enum.values, enum.name, implements)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Object-Oriented &amp; Advanced Patterns | 📊 Level: Intermediate
**Topic:** Enhance Enums with Methods and Interfaces using enum.values, enum.name, and implements.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3</v>
      </c>
      <c r="C33" s="95">
        <v>18</v>
      </c>
      <c r="D33" s="46">
        <v>4</v>
      </c>
      <c r="E33" s="58" t="s">
        <v>46</v>
      </c>
      <c r="F33" s="48">
        <v>25</v>
      </c>
      <c r="G33" s="49" t="s">
        <v>158</v>
      </c>
      <c r="H33" s="49" t="s">
        <v>48</v>
      </c>
      <c r="I33" s="50" t="s">
        <v>780</v>
      </c>
      <c r="J33" s="51" t="s">
        <v>781</v>
      </c>
      <c r="K33" s="129" t="str">
        <f t="shared" si="2"/>
        <v xml:space="preserve">[ROLE] Friendly tutor specializing in Dart Object-Oriented &amp; Advanced Patterns | [TOPIC] Implement Factory Constructors using factory and returning cached instances.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Object-Oriented &amp; Advanced Patterns | 📊 Level: Intermediate | 🌐 Coding5s.com
**Concept:** Factory Constructors (factory, returning cached instances)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Factory Constructors using factory and returning cached instances.. Topic details: Factory Constructors (factory, returning cached instances)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Object-Oriented &amp; Advanced Patterns | 📊 Level: Intermediate
**Topic:** Implement Factory Constructors using factory and returning cached instances.
---
 | [FOOTER RULE - STRICT] End your response with: '--- ⚡ *Coding5s Mentor System — Eliminating Epistemic Debt*' | </v>
      </c>
      <c r="M33" s="53">
        <v>0</v>
      </c>
      <c r="N33" s="102" t="str">
        <f t="shared" si="4"/>
        <v>[ROLE] Careless Dart Object-Oriented &amp; Advanced Patterns Developer | [TASK] Generate debugging challenges in Dart Object-Oriented &amp; Advanced Patterns | | [TOPIC] Implement Factory Constructors using factory and returning cached instances.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#25 | Stage 2 🐛 Debug | Dart Object-Oriented &amp; Advanced Patterns | 📊 Level: Intermediate | 🌐 Coding5s.com
Concept: Factory Constructors (factory, returning cached instances)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Factory Constructors using factory and returning cached instances.. Topic details: Factory Constructors (factory, returning cached instances)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Object-Oriented &amp; Advanced Patterns | 📊 Level: Intermediate
**Topic:** Implement Factory Constructors using factory and returning cached instances.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Dart Object-Oriented &amp; Advanced Patterns script challenges | [TOPIC] Implement Factory Constructors using factory and returning cached instances.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#25 | Stage 3 🧩 Complete | Dart Object-Oriented &amp; Advanced Patterns | 📊 Level: Intermediate | 🌐 Coding5s.com
**Concept:** Factory Constructors (factory, returning cached instances)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Factory Constructors using factory and returning cached instances..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Factory Constructors using factory and returning cached instances.. Topic details: Factory Constructors (factory, returning cached instances)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Object-Oriented &amp; Advanced Patterns | 📊 Level: Intermediate
**Topic:** Implement Factory Constructors using factory and returning cached instances.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Implement Factory Constructors using factory and returning cached instances.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Object-Oriented &amp; Advanced Patterns | 📊 Level: Intermediate | 🌐 Coding5s.com
**Concept:** Factory Constructors (factory, returning cached instances)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Factory Constructors using factory and returning cached instances.. Topic details: Factory Constructors (factory, returning cached instances)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Object-Oriented &amp; Advanced Patterns | 📊 Level: Intermediate
**Topic:** Implement Factory Constructors using factory and returning cached instances.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Dart Object-Oriented &amp; Advanced Patterns Jira Ticket | [TASK] Provide a guided implementation exercise with full solution for learning purposes | [TOPIC] Implement Factory Constructors using factory and returning cached instances.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Object-Oriented &amp; Advanced Patterns | 📊 Level: Intermediate | 🌐 Coding5s.com
**Concept:** Factory Constructors (factory, returning cached instances)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Factory Constructors using factory and returning cached instances.. Goal: Factory Constructors (factory, returning cached instances)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Object-Oriented &amp; Advanced Patterns | 📊 Level: Intermediate
**Topic:** Implement Factory Constructors using factory and returning cached instances.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3</v>
      </c>
      <c r="C34" s="95">
        <v>18</v>
      </c>
      <c r="D34" s="57">
        <v>4</v>
      </c>
      <c r="E34" s="58" t="s">
        <v>46</v>
      </c>
      <c r="F34" s="59">
        <v>26</v>
      </c>
      <c r="G34" s="60" t="s">
        <v>158</v>
      </c>
      <c r="H34" s="60" t="s">
        <v>48</v>
      </c>
      <c r="I34" s="61" t="s">
        <v>782</v>
      </c>
      <c r="J34" s="62" t="s">
        <v>783</v>
      </c>
      <c r="K34" s="129" t="str">
        <f t="shared" si="2"/>
        <v xml:space="preserve">[ROLE] Friendly tutor specializing in Dart Object-Oriented &amp; Advanced Patterns | [TOPIC] Create Private Internal Constructors using Class._internal() for singletons.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Object-Oriented &amp; Advanced Patterns | 📊 Level: Intermediate | 🌐 Coding5s.com
**Concept:** Private Internal Constructors (Class._internal(), singletons)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Private Internal Constructors using Class._internal() for singletons.. Topic details: Private Internal Constructors (Class._internal(), singletons)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Object-Oriented &amp; Advanced Patterns | 📊 Level: Intermediate
**Topic:** Create Private Internal Constructors using Class._internal() for singletons.
---
 | [FOOTER RULE - STRICT] End your response with: '--- ⚡ *Coding5s Mentor System — Eliminating Epistemic Debt*' | </v>
      </c>
      <c r="M34" s="52">
        <v>0</v>
      </c>
      <c r="N34" s="102" t="str">
        <f t="shared" si="4"/>
        <v>[ROLE] Careless Dart Object-Oriented &amp; Advanced Patterns Developer | [TASK] Generate debugging challenges in Dart Object-Oriented &amp; Advanced Patterns | | [TOPIC] Create Private Internal Constructors using Class._internal() for singletons.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#26 | Stage 2 🐛 Debug | Dart Object-Oriented &amp; Advanced Patterns | 📊 Level: Intermediate | 🌐 Coding5s.com
Concept: Private Internal Constructors (Class._internal(), singletons)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Private Internal Constructors using Class._internal() for singletons.. Topic details: Private Internal Constructors (Class._internal(), singletons)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Object-Oriented &amp; Advanced Patterns | 📊 Level: Intermediate
**Topic:** Create Private Internal Constructors using Class._internal() for singletons.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Dart Object-Oriented &amp; Advanced Patterns script challenges | [TOPIC] Create Private Internal Constructors using Class._internal() for singletons.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#26 | Stage 3 🧩 Complete | Dart Object-Oriented &amp; Advanced Patterns | 📊 Level: Intermediate | 🌐 Coding5s.com
**Concept:** Private Internal Constructors (Class._internal(), singletons)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Private Internal Constructors using Class._internal() for singletons..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Private Internal Constructors using Class._internal() for singletons.. Topic details: Private Internal Constructors (Class._internal(), singletons)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Object-Oriented &amp; Advanced Patterns | 📊 Level: Intermediate
**Topic:** Create Private Internal Constructors using Class._internal() for singletons.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Create Private Internal Constructors using Class._internal() for singletons.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Dart Object-Oriented &amp; Advanced Patterns | 📊 Level: Intermediate | 🌐 Coding5s.com
**Concept:** Private Internal Constructors (Class._internal(), singletons)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Private Internal Constructors using Class._internal() for singletons.. Topic details: Private Internal Constructors (Class._internal(), singletons)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Object-Oriented &amp; Advanced Patterns | 📊 Level: Intermediate
**Topic:** Create Private Internal Constructors using Class._internal() for singletons.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Dart Object-Oriented &amp; Advanced Patterns Jira Ticket | [TASK] Provide a guided implementation exercise with full solution for learning purposes | [TOPIC] Create Private Internal Constructors using Class._internal() for singletons.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Dart Object-Oriented &amp; Advanced Patterns | 📊 Level: Intermediate | 🌐 Coding5s.com
**Concept:** Private Internal Constructors (Class._internal(), singletons)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Private Internal Constructors using Class._internal() for singletons.. Goal: Private Internal Constructors (Class._internal(), singletons)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Object-Oriented &amp; Advanced Patterns | 📊 Level: Intermediate
**Topic:** Create Private Internal Constructors using Class._internal() for singletons.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xml:space="preserve">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v>
      </c>
      <c r="B35" s="45">
        <f t="shared" si="1"/>
        <v>3</v>
      </c>
      <c r="C35" s="95">
        <v>30</v>
      </c>
      <c r="D35" s="46">
        <v>0</v>
      </c>
      <c r="E35" s="58" t="s">
        <v>46</v>
      </c>
      <c r="F35" s="48">
        <v>27</v>
      </c>
      <c r="G35" s="49" t="s">
        <v>158</v>
      </c>
      <c r="H35" s="49" t="s">
        <v>77</v>
      </c>
      <c r="I35" s="50" t="s">
        <v>784</v>
      </c>
      <c r="J35" s="51" t="s">
        <v>785</v>
      </c>
      <c r="K35" s="129" t="str">
        <f t="shared" si="2"/>
        <v>[TASK] Teach through a practical Dart Object-Oriented &amp; Advanced Patterns -  project following the micro-learning methodology, acting as a supportive tutor, creating a project about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#27 | Stage 1 | Dart Object-Oriented &amp; Advanced Patterns | 📊 Level: Intermediate | 🌐 Coding5s.com
**Project:** Composition System with Interfaces Mixins Enums and Factories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5"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flexible composition system consolidating Implicit Interfaces, Mixin Application, Mixin Constraints, Mixin Classes, Enhanced Enum Declaration, Enum Methods and Interfaces, Factory Constructors, and Private Internal Constructors.. Topics applied in this project: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#27 | Practice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[FOOTER RULE - STRICT] End your response with: '--- ⚡ *Coding5s Mentor System — Eliminating Epistemic Debt*' | </v>
      </c>
      <c r="M35" s="53">
        <v>0</v>
      </c>
      <c r="N35" s="102" t="str">
        <f t="shared" si="4"/>
        <v>[ROLE] Careless Dart Object-Oriented &amp; Advanced Patterns Developer | [TASK] Generate debugging project in Dart Object-Oriented &amp; Advanced Patterns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[OUTPUT] Only header, dataset summary or statement (if any), email intro, objective, expected output, broken code, and footer | [HEADER RULE - STRICT] You MUST start your entire response EXACTLY with this markdown block (do not print anything before it):
### 🚀 Project #27 | Stage 2 | Dart Object-Oriented &amp; Advanced Patterns | 📊 Level: Intermediate | 🌐 Coding5s.com
Project: Composition System with Interfaces Mixins Enums and Factories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#27 | Debug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project script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#27 | Stage 3 | Dart Object-Oriented &amp; Advanced Patterns | 📊 Level: Intermediate | 🌐 Coding5s.com
**Project:** Composition System with Interfaces Mixins Enums and Factories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#27 | Complete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a messy but functional project for refactoring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Tech Lead. A junior wrote this working but messy code. Tone: professional but exhausted | [HEADER RULE - STRICT] You MUST start your entire response EXACTLY with this markdown block (do not print anything before it):
### 🚀 Project #27 | Stage 4 | Dart Object-Oriented &amp; Advanced Patterns | 📊 Level: Intermediate | 🌐 Coding5s.com
**Project:** Composition System with Interfaces Mixins Enums and Factories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#27 | Refactor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Dart Object-Oriented &amp; Advanced Patterns Jira Ticket | [TASK] Provide a guided project implementation with full solution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#27 | Stage 5 | Dart Object-Oriented &amp; Advanced Patterns | 📊 Level: Intermediate | 🌐 Coding5s.com
**Project:** Composition System with Interfaces Mixins Enums and Factories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flexible composition system consolidating Implicit Interfaces, Mixin Application, Mixin Constraints, Mixin Classes, Enhanced Enum Declaration, Enum Methods and Interfaces, Factory Constructors, and Private Internal Constructors.. Topics integrated: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Business Goal: Composition System with Interfaces Mixins Enums and Factories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#27 | Extend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[TASK] Teach through a practical Dart Object-Oriented &amp; Advanced Patterns -  project following the micro-learning methodology, acting as a supportive tutor, creating a project about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#27 | Stage 1 | Dart Object-Oriented &amp; Advanced Patterns | 📊 Level: Intermediate | 🌐 Coding5s.com
**Project:** Composition System with Interfaces Mixins Enums and Factories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5" s="56" t="str">
        <f t="shared" si="13"/>
        <v>[ROLE] Careless Dart Object-Oriented &amp; Advanced Patterns Developer | [TASK] Generate debugging project in Dart Object-Oriented &amp; Advanced Patterns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[OUTPUT] Only header, dataset summary or statement (if any), email intro, objective, expected output, broken code, and footer | [HEADER RULE - STRICT] You MUST start your entire response EXACTLY with this markdown block (do not print anything before it):
### 🚀 Project #27 | Stage 2 | Dart Object-Oriented &amp; Advanced Patterns | 📊 Level: Intermediate | 🌐 Coding5s.com
Project: Composition System with Interfaces Mixins Enums and Factories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5" s="56" t="str">
        <f t="shared" si="14"/>
        <v>[ROLE] Tech Lead | [TASK] Assign incomplete project script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#27 | Stage 3 | Dart Object-Oriented &amp; Advanced Patterns | 📊 Level: Intermediate | 🌐 Coding5s.com
**Project:** Composition System with Interfaces Mixins Enums and Factories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5" s="56" t="str">
        <f t="shared" si="15"/>
        <v>[ROLE] Tech Lead | [TASK] Provide a messy but functional project for refactoring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Tech Lead. A junior wrote this working but messy code. Tone: professional but exhausted | [HEADER RULE - STRICT] You MUST start your entire response EXACTLY with this markdown block (do not print anything before it):
### 🚀 Project #27 | Stage 4 | Dart Object-Oriented &amp; Advanced Patterns | 📊 Level: Intermediate | 🌐 Coding5s.com
**Project:** Composition System with Interfaces Mixins Enums and Factories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5" s="56" t="str">
        <f t="shared" si="16"/>
        <v>[ROLE] Tech Product Manager assigning a Dart Object-Oriented &amp; Advanced Patterns Jira Ticket | [TASK] Provide a guided project implementation with full solution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#27 | Stage 5 | Dart Object-Oriented &amp; Advanced Patterns | 📊 Level: Intermediate | 🌐 Coding5s.com
**Project:** Composition System with Interfaces Mixins Enums and Factories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15</v>
      </c>
      <c r="D36" s="57">
        <v>4</v>
      </c>
      <c r="E36" s="58" t="s">
        <v>46</v>
      </c>
      <c r="F36" s="59">
        <v>28</v>
      </c>
      <c r="G36" s="60" t="s">
        <v>158</v>
      </c>
      <c r="H36" s="60" t="s">
        <v>48</v>
      </c>
      <c r="I36" s="61" t="s">
        <v>786</v>
      </c>
      <c r="J36" s="62" t="s">
        <v>787</v>
      </c>
      <c r="K36" s="129" t="str">
        <f t="shared" si="2"/>
        <v xml:space="preserve">[ROLE] Friendly tutor specializing in Dart Object-Oriented &amp; Advanced Patterns | [TOPIC] Define Extension Methods using extension on, show, and hide.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Object-Oriented &amp; Advanced Patterns | 📊 Level: Intermediate | 🌐 Coding5s.com
**Concept:** Extension Methods (extension on, show, hide)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Extension Methods using extension on, show, and hide.. Topic details: Extension Methods (extension on, show, hide)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Object-Oriented &amp; Advanced Patterns | 📊 Level: Intermediate
**Topic:** Define Extension Methods using extension on, show, and hide.
---
 | [FOOTER RULE - STRICT] End your response with: '--- ⚡ *Coding5s Mentor System — Eliminating Epistemic Debt*' | </v>
      </c>
      <c r="M36" s="52">
        <v>0</v>
      </c>
      <c r="N36" s="102" t="str">
        <f t="shared" si="4"/>
        <v>[ROLE] Careless Dart Object-Oriented &amp; Advanced Patterns Developer | [TASK] Generate debugging challenges in Dart Object-Oriented &amp; Advanced Patterns | | [TOPIC] Define Extension Methods using extension on, show, and hide.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#28 | Stage 2 🐛 Debug | Dart Object-Oriented &amp; Advanced Patterns | 📊 Level: Intermediate | 🌐 Coding5s.com
Concept: Extension Methods (extension on, show, hide)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Extension Methods using extension on, show, and hide.. Topic details: Extension Methods (extension on,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Object-Oriented &amp; Advanced Patterns | 📊 Level: Intermediate
**Topic:** Define Extension Methods using extension on, show, and hide.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Dart Object-Oriented &amp; Advanced Patterns script challenges | [TOPIC] Define Extension Methods using extension on, show, and hide.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#28 | Stage 3 🧩 Complete | Dart Object-Oriented &amp; Advanced Patterns | 📊 Level: Intermediate | 🌐 Coding5s.com
**Concept:** Extension Methods (extension on, show, hide)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Extension Methods using extension on, show, and hide..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Extension Methods using extension on, show, and hide.. Topic details: Extension Methods (extension on,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Object-Oriented &amp; Advanced Patterns | 📊 Level: Intermediate
**Topic:** Define Extension Methods using extension on, show, and hide.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Define Extension Methods using extension on, show, and hide.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Object-Oriented &amp; Advanced Patterns | 📊 Level: Intermediate | 🌐 Coding5s.com
**Concept:** Extension Methods (extension on,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Extension Methods using extension on, show, and hide.. Topic details: Extension Methods (extension on,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Object-Oriented &amp; Advanced Patterns | 📊 Level: Intermediate
**Topic:** Define Extension Methods using extension on, show, and hide.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Dart Object-Oriented &amp; Advanced Patterns Jira Ticket | [TASK] Provide a guided implementation exercise with full solution for learning purposes | [TOPIC] Define Extension Methods using extension on, show, and hide.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Object-Oriented &amp; Advanced Patterns | 📊 Level: Intermediate | 🌐 Coding5s.com
**Concept:** Extension Methods (extension on, show, hide)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Extension Methods using extension on, show, and hide.. Goal: Extension Methods (extension on,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Object-Oriented &amp; Advanced Patterns | 📊 Level: Intermediate
**Topic:** Define Extension Methods using extension on, show, and hide.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18</v>
      </c>
      <c r="D37" s="46">
        <v>4</v>
      </c>
      <c r="E37" s="58" t="s">
        <v>46</v>
      </c>
      <c r="F37" s="48">
        <v>29</v>
      </c>
      <c r="G37" s="49" t="s">
        <v>158</v>
      </c>
      <c r="H37" s="49" t="s">
        <v>48</v>
      </c>
      <c r="I37" s="50" t="s">
        <v>788</v>
      </c>
      <c r="J37" s="51" t="s">
        <v>789</v>
      </c>
      <c r="K37" s="129" t="str">
        <f t="shared" si="2"/>
        <v xml:space="preserve">[ROLE] Friendly tutor specializing in Dart Object-Oriented &amp; Advanced Patterns | [TOPIC] Create Extension Types using extension type and zero-cost wrappers.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Object-Oriented &amp; Advanced Patterns | 📊 Level: Intermediate | 🌐 Coding5s.com
**Concept:** Extension Types (extension type, zero-cost wrappers)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Extension Types using extension type and zero-cost wrappers.. Topic details: Extension Types (extension type, zero-cost wrappers)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Object-Oriented &amp; Advanced Patterns | 📊 Level: Intermediate
**Topic:** Create Extension Types using extension type and zero-cost wrappers.
---
 | [FOOTER RULE - STRICT] End your response with: '--- ⚡ *Coding5s Mentor System — Eliminating Epistemic Debt*' | </v>
      </c>
      <c r="M37" s="53">
        <v>0</v>
      </c>
      <c r="N37" s="102" t="str">
        <f t="shared" si="4"/>
        <v>[ROLE] Careless Dart Object-Oriented &amp; Advanced Patterns Developer | [TASK] Generate debugging challenges in Dart Object-Oriented &amp; Advanced Patterns | | [TOPIC] Create Extension Types using extension type and zero-cost wrappers.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#29 | Stage 2 🐛 Debug | Dart Object-Oriented &amp; Advanced Patterns | 📊 Level: Intermediate | 🌐 Coding5s.com
Concept: Extension Types (extension type, zero-cost wrappers)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Extension Types using extension type and zero-cost wrappers.. Topic details: Extension Types (extension type, zero-cost wrappers)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Object-Oriented &amp; Advanced Patterns | 📊 Level: Intermediate
**Topic:** Create Extension Types using extension type and zero-cost wrappers.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Dart Object-Oriented &amp; Advanced Patterns script challenges | [TOPIC] Create Extension Types using extension type and zero-cost wrappers.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#29 | Stage 3 🧩 Complete | Dart Object-Oriented &amp; Advanced Patterns | 📊 Level: Intermediate | 🌐 Coding5s.com
**Concept:** Extension Types (extension type, zero-cost wrappers)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Extension Types using extension type and zero-cost wrappers..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Extension Types using extension type and zero-cost wrappers.. Topic details: Extension Types (extension type, zero-cost wrappers)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Object-Oriented &amp; Advanced Patterns | 📊 Level: Intermediate
**Topic:** Create Extension Types using extension type and zero-cost wrappers.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Create Extension Types using extension type and zero-cost wrappers.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Object-Oriented &amp; Advanced Patterns | 📊 Level: Intermediate | 🌐 Coding5s.com
**Concept:** Extension Types (extension type, zero-cost wrappers)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Extension Types using extension type and zero-cost wrappers.. Topic details: Extension Types (extension type, zero-cost wrappers)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Object-Oriented &amp; Advanced Patterns | 📊 Level: Intermediate
**Topic:** Create Extension Types using extension type and zero-cost wrappers.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Dart Object-Oriented &amp; Advanced Patterns Jira Ticket | [TASK] Provide a guided implementation exercise with full solution for learning purposes | [TOPIC] Create Extension Types using extension type and zero-cost wrappers.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Object-Oriented &amp; Advanced Patterns | 📊 Level: Intermediate | 🌐 Coding5s.com
**Concept:** Extension Types (extension type, zero-cost wrappers)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Extension Types using extension type and zero-cost wrappers.. Goal: Extension Types (extension type, zero-cost wrappers)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Object-Oriented &amp; Advanced Patterns | 📊 Level: Intermediate
**Topic:** Create Extension Types using extension type and zero-cost wrappers.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15</v>
      </c>
      <c r="D38" s="57">
        <v>4</v>
      </c>
      <c r="E38" s="58" t="s">
        <v>46</v>
      </c>
      <c r="F38" s="59">
        <v>30</v>
      </c>
      <c r="G38" s="60" t="s">
        <v>158</v>
      </c>
      <c r="H38" s="60" t="s">
        <v>48</v>
      </c>
      <c r="I38" s="61" t="s">
        <v>790</v>
      </c>
      <c r="J38" s="62" t="s">
        <v>791</v>
      </c>
      <c r="K38" s="129" t="str">
        <f t="shared" si="2"/>
        <v xml:space="preserve">[ROLE] Friendly tutor specializing in Dart Object-Oriented &amp; Advanced Patterns | [TOPIC] Apply Inheritance Modifiers using final class, base class, and interface class.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Object-Oriented &amp; Advanced Patterns | 📊 Level: Intermediate | 🌐 Coding5s.com
**Concept:** Inheritance Modifiers (final class, base class, interface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Inheritance Modifiers using final class, base class, and interface class.. Topic details: Inheritance Modifiers (final class, base class, interface class)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Object-Oriented &amp; Advanced Patterns | 📊 Level: Intermediate
**Topic:** Apply Inheritance Modifiers using final class, base class, and interface class.
---
 | [FOOTER RULE - STRICT] End your response with: '--- ⚡ *Coding5s Mentor System — Eliminating Epistemic Debt*' | </v>
      </c>
      <c r="M38" s="52">
        <v>0</v>
      </c>
      <c r="N38" s="102" t="str">
        <f t="shared" si="4"/>
        <v>[ROLE] Careless Dart Object-Oriented &amp; Advanced Patterns Developer | [TASK] Generate debugging challenges in Dart Object-Oriented &amp; Advanced Patterns | | [TOPIC] Apply Inheritance Modifiers using final class, base class, and interface class.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#30 | Stage 2 🐛 Debug | Dart Object-Oriented &amp; Advanced Patterns | 📊 Level: Intermediate | 🌐 Coding5s.com
Concept: Inheritance Modifiers (final class, base class, interface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Inheritance Modifiers using final class, base class, and interface class.. Topic details: Inheritance Modifiers (final class, base class, interface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Object-Oriented &amp; Advanced Patterns | 📊 Level: Intermediate
**Topic:** Apply Inheritance Modifiers using final class, base class, and interface class.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Dart Object-Oriented &amp; Advanced Patterns script challenges | [TOPIC] Apply Inheritance Modifiers using final class, base class, and interface class.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#30 | Stage 3 🧩 Complete | Dart Object-Oriented &amp; Advanced Patterns | 📊 Level: Intermediate | 🌐 Coding5s.com
**Concept:** Inheritance Modifiers (final class, base class, interface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Inheritance Modifiers using final class, base class, and interface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Inheritance Modifiers using final class, base class, and interface class.. Topic details: Inheritance Modifiers (final class, base class, interface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Object-Oriented &amp; Advanced Patterns | 📊 Level: Intermediate
**Topic:** Apply Inheritance Modifiers using final class, base class, and interface class.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Apply Inheritance Modifiers using final class, base class, and interface class.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Object-Oriented &amp; Advanced Patterns | 📊 Level: Intermediate | 🌐 Coding5s.com
**Concept:** Inheritance Modifiers (final class, base class, interface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Inheritance Modifiers using final class, base class, and interface class.. Topic details: Inheritance Modifiers (final class, base class, interface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Object-Oriented &amp; Advanced Patterns | 📊 Level: Intermediate
**Topic:** Apply Inheritance Modifiers using final class, base class, and interface class.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Dart Object-Oriented &amp; Advanced Patterns Jira Ticket | [TASK] Provide a guided implementation exercise with full solution for learning purposes | [TOPIC] Apply Inheritance Modifiers using final class, base class, and interface class.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Object-Oriented &amp; Advanced Patterns | 📊 Level: Intermediate | 🌐 Coding5s.com
**Concept:** Inheritance Modifiers (final class, base class, interface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Inheritance Modifiers using final class, base class, and interface class.. Goal: Inheritance Modifiers (final class, base class, interface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Object-Oriented &amp; Advanced Patterns | 📊 Level: Intermediate
**Topic:** Apply Inheritance Modifiers using final class, base class, and interface class.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20</v>
      </c>
      <c r="D39" s="46">
        <v>5</v>
      </c>
      <c r="E39" s="58" t="s">
        <v>46</v>
      </c>
      <c r="F39" s="48">
        <v>31</v>
      </c>
      <c r="G39" s="49" t="s">
        <v>159</v>
      </c>
      <c r="H39" s="49" t="s">
        <v>48</v>
      </c>
      <c r="I39" s="50" t="s">
        <v>792</v>
      </c>
      <c r="J39" s="51" t="s">
        <v>793</v>
      </c>
      <c r="K39" s="129" t="str">
        <f t="shared" si="2"/>
        <v xml:space="preserve">[ROLE] Friendly tutor specializing in Dart Object-Oriented &amp; Advanced Patterns | [TOPIC] Implement Sealed Hierarchies using sealed class and switch exhaustiveness. | [LEVEL] Advanced | [COUNT] 5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&amp; patterns: abstract classes, mixins, factory/named constructors, interfaces ('implements'), extensions, and overriding ('@override').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Object-Oriented &amp; Advanced Patterns | 📊 Level: Advanced | 🌐 Coding5s.com
**Concept:** Sealed Hierarchies (sealed class, switch exhaustiveness)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Sealed Hierarchies using sealed class and switch exhaustiveness.. Topic details: Sealed Hierarchies (sealed class, switch exhaustiveness) | [LIBRARY BEING LEARNED]  | [LANGUAGE CONSISTENCY RULE] ALL output text MUST be written strictly in (English). | [LANGUAGE SEED CONTEXT] Language Seed Not Necessary | [LANGUAGE] English | [MENTOR_SCOPE_EXPECTATIONS] Expect advanced OOP architecture using abstract classes, mixins, factory constructors, interfaces, overriding, and composition.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Object-Oriented &amp; Advanced Patterns | 📊 Level: Advanced
**Topic:** Implement Sealed Hierarchies using sealed class and switch exhaustiveness.
---
 | [FOOTER RULE - STRICT] End your response with: '--- ⚡ *Coding5s Mentor System — Eliminating Epistemic Debt*' | </v>
      </c>
      <c r="M39" s="53">
        <v>0</v>
      </c>
      <c r="N39" s="102" t="str">
        <f t="shared" si="4"/>
        <v>[ROLE] Careless Dart Object-Oriented &amp; Advanced Patterns Developer | [TASK] Generate debugging challenges in Dart Object-Oriented &amp; Advanced Patterns | | [TOPIC] Implement Sealed Hierarchies using sealed class and switch exhaustiveness. | | [LEVEL] Advanced |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#31 | Stage 2 🐛 Debug | Dart Object-Oriented &amp; Advanced Patterns | 📊 Level: Advanced | 🌐 Coding5s.com
Concept: Sealed Hierarchies (sealed class, switch exhaustiveness)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- 15–35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Sealed Hierarchies using sealed class and switch exhaustiveness.. Topic details: Sealed Hierarchies (sealed class, switch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Object-Oriented &amp; Advanced Patterns | 📊 Level: Advanced
**Topic:** Implement Sealed Hierarchies using sealed class and switch exhaustiveness.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Dart Object-Oriented &amp; Advanced Patterns script challenges | [TOPIC] Implement Sealed Hierarchies using sealed class and switch exhaustiveness. | [LEVEL] Advanced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#31 | Stage 3 🧩 Complete | Dart Object-Oriented &amp; Advanced Patterns | 📊 Level: Advanced | 🌐 Coding5s.com
**Concept:** Sealed Hierarchies (sealed class, switch exhaustiveness)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- 15–35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Sealed Hierarchies using sealed class and switch exhaustiveness..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Sealed Hierarchies using sealed class and switch exhaustiveness.. Topic details: Sealed Hierarchies (sealed class, switch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Object-Oriented &amp; Advanced Patterns | 📊 Level: Advanced
**Topic:** Implement Sealed Hierarchies using sealed class and switch exhaustiveness.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Sealed Hierarchies using sealed class and switch exhaustiveness. | [LEVEL] Advanced | [COUNT] 5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Dart Object-Oriented &amp; Advanced Patterns | 📊 Level: Advanced | 🌐 Coding5s.com
**Concept:** Sealed Hierarchies (sealed class, switch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Sealed Hierarchies using sealed class and switch exhaustiveness.. Topic details: Sealed Hierarchies (sealed class, switch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Object-Oriented &amp; Advanced Patterns | 📊 Level: Advanced
**Topic:** Implement Sealed Hierarchies using sealed class and switch exhaustiveness.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Dart Object-Oriented &amp; Advanced Patterns Jira Ticket | [TASK] Provide a guided implementation exercise with full solution for learning purposes | [TOPIC] Implement Sealed Hierarchies using sealed class and switch exhaustiveness. | [LEVEL] Advanced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Dart Object-Oriented &amp; Advanced Patterns | 📊 Level: Advanced | 🌐 Coding5s.com
**Concept:** Sealed Hierarchies (sealed class, switch exhaustiveness)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Sealed Hierarchies using sealed class and switch exhaustiveness.. Goal: Sealed Hierarchies (sealed class, switch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Object-Oriented &amp; Advanced Patterns | 📊 Level: Advanced
**Topic:** Implement Sealed Hierarchies using sealed class and switch exhaustiveness.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18</v>
      </c>
      <c r="D40" s="57">
        <v>4</v>
      </c>
      <c r="E40" s="58" t="s">
        <v>46</v>
      </c>
      <c r="F40" s="59">
        <v>32</v>
      </c>
      <c r="G40" s="60" t="s">
        <v>158</v>
      </c>
      <c r="H40" s="60" t="s">
        <v>48</v>
      </c>
      <c r="I40" s="61" t="s">
        <v>794</v>
      </c>
      <c r="J40" s="62" t="s">
        <v>795</v>
      </c>
      <c r="K40" s="129" t="str">
        <f t="shared" si="2"/>
        <v xml:space="preserve">[ROLE] Friendly tutor specializing in Dart Object-Oriented &amp; Advanced Patterns | [TOPIC] Create Generic Classes using class Box&lt;T&gt; and class Pair&lt;K, V&gt;.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Object-Oriented &amp; Advanced Patterns | 📊 Level: Intermediate | 🌐 Coding5s.com
**Concept:** Generic Classes (class Box&lt;T&gt;, class Pair&lt;K, V&gt;)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Generic Classes using class Box&lt;T&gt; and class Pair&lt;K, V&gt;.. Topic details: Generic Classes (class Box&lt;T&gt;, class Pair&lt;K, V&gt;)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Object-Oriented &amp; Advanced Patterns | 📊 Level: Intermediate
**Topic:** Create Generic Classes using class Box&lt;T&gt; and class Pair&lt;K, V&gt;.
---
 | [FOOTER RULE - STRICT] End your response with: '--- ⚡ *Coding5s Mentor System — Eliminating Epistemic Debt*' | </v>
      </c>
      <c r="M40" s="52">
        <v>0</v>
      </c>
      <c r="N40" s="102" t="str">
        <f t="shared" si="4"/>
        <v>[ROLE] Careless Dart Object-Oriented &amp; Advanced Patterns Developer | [TASK] Generate debugging challenges in Dart Object-Oriented &amp; Advanced Patterns | | [TOPIC] Create Generic Classes using class Box&lt;T&gt; and class Pair&lt;K, V&gt;.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#32 | Stage 2 🐛 Debug | Dart Object-Oriented &amp; Advanced Patterns | 📊 Level: Intermediate | 🌐 Coding5s.com
Concept: Generic Classes (class Box&lt;T&gt;, class Pair&lt;K, V&gt;)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Generic Classes using class Box&lt;T&gt; and class Pair&lt;K, V&gt;.. Topic details: Generic Classes (class Box&lt;T&gt;, class Pair&lt;K, V&gt;)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Object-Oriented &amp; Advanced Patterns | 📊 Level: Intermediate
**Topic:** Create Generic Classes using class Box&lt;T&gt; and class Pair&lt;K, V&gt;.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Dart Object-Oriented &amp; Advanced Patterns script challenges | [TOPIC] Create Generic Classes using class Box&lt;T&gt; and class Pair&lt;K, V&gt;.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#32 | Stage 3 🧩 Complete | Dart Object-Oriented &amp; Advanced Patterns | 📊 Level: Intermediate | 🌐 Coding5s.com
**Concept:** Generic Classes (class Box&lt;T&gt;, class Pair&lt;K, V&gt;)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Generic Classes using class Box&lt;T&gt; and class Pair&lt;K, V&gt;..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Generic Classes using class Box&lt;T&gt; and class Pair&lt;K, V&gt;.. Topic details: Generic Classes (class Box&lt;T&gt;, class Pair&lt;K, V&gt;)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Object-Oriented &amp; Advanced Patterns | 📊 Level: Intermediate
**Topic:** Create Generic Classes using class Box&lt;T&gt; and class Pair&lt;K, V&gt;.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Create Generic Classes using class Box&lt;T&gt; and class Pair&lt;K, V&gt;.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Dart Object-Oriented &amp; Advanced Patterns | 📊 Level: Intermediate | 🌐 Coding5s.com
**Concept:** Generic Classes (class Box&lt;T&gt;, class Pair&lt;K, V&gt;)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Generic Classes using class Box&lt;T&gt; and class Pair&lt;K, V&gt;.. Topic details: Generic Classes (class Box&lt;T&gt;, class Pair&lt;K, V&gt;)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Object-Oriented &amp; Advanced Patterns | 📊 Level: Intermediate
**Topic:** Create Generic Classes using class Box&lt;T&gt; and class Pair&lt;K, V&gt;.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Dart Object-Oriented &amp; Advanced Patterns Jira Ticket | [TASK] Provide a guided implementation exercise with full solution for learning purposes | [TOPIC] Create Generic Classes using class Box&lt;T&gt; and class Pair&lt;K, V&gt;.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Dart Object-Oriented &amp; Advanced Patterns | 📊 Level: Intermediate | 🌐 Coding5s.com
**Concept:** Generic Classes (class Box&lt;T&gt;, class Pair&lt;K, V&gt;)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Generic Classes using class Box&lt;T&gt; and class Pair&lt;K, V&gt;.. Goal: Generic Classes (class Box&lt;T&gt;, class Pair&lt;K, V&gt;)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Object-Oriented &amp; Advanced Patterns | 📊 Level: Intermediate
**Topic:** Create Generic Classes using class Box&lt;T&gt; and class Pair&lt;K, V&gt;.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4</v>
      </c>
      <c r="C41" s="95">
        <v>18</v>
      </c>
      <c r="D41" s="46">
        <v>4</v>
      </c>
      <c r="E41" s="58" t="s">
        <v>46</v>
      </c>
      <c r="F41" s="48">
        <v>33</v>
      </c>
      <c r="G41" s="49" t="s">
        <v>158</v>
      </c>
      <c r="H41" s="49" t="s">
        <v>48</v>
      </c>
      <c r="I41" s="50" t="s">
        <v>796</v>
      </c>
      <c r="J41" s="51" t="s">
        <v>797</v>
      </c>
      <c r="K41" s="129" t="str">
        <f t="shared" si="2"/>
        <v xml:space="preserve">[ROLE] Friendly tutor specializing in Dart Object-Oriented &amp; Advanced Patterns | [TOPIC] Apply Bounded Type Constraints using &lt;T BaseType extends&gt; and &lt;T Object extends&gt;.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Object-Oriented &amp; Advanced Patterns | 📊 Level: Intermediate | 🌐 Coding5s.com
**Concept:** Bounded Type Constraints (&lt;T BaseType extends&gt;, &lt;T Object extends&gt;)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Bounded Type Constraints using &lt;T BaseType extends&gt; and &lt;T Object extends&gt;.. Topic details: Bounded Type Constraints (&lt;T BaseType extends&gt;, &lt;T Object extends&gt;)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Object-Oriented &amp; Advanced Patterns | 📊 Level: Intermediate
**Topic:** Apply Bounded Type Constraints using &lt;T BaseType extends&gt; and &lt;T Object extends&gt;.
---
 | [FOOTER RULE - STRICT] End your response with: '--- ⚡ *Coding5s Mentor System — Eliminating Epistemic Debt*' | </v>
      </c>
      <c r="M41" s="53">
        <v>0</v>
      </c>
      <c r="N41" s="102" t="str">
        <f t="shared" si="4"/>
        <v>[ROLE] Careless Dart Object-Oriented &amp; Advanced Patterns Developer | [TASK] Generate debugging challenges in Dart Object-Oriented &amp; Advanced Patterns | | [TOPIC] Apply Bounded Type Constraints using &lt;T BaseType extends&gt; and &lt;T Object extends&gt;.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#33 | Stage 2 🐛 Debug | Dart Object-Oriented &amp; Advanced Patterns | 📊 Level: Intermediate | 🌐 Coding5s.com
Concept: Bounded Type Constraints (&lt;T BaseType extends&gt;, &lt;T Object extends&gt;)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Bounded Type Constraints using &lt;T BaseType extends&gt; and &lt;T Object extends&gt;.. Topic details: Bounded Type Constraints (&lt;T BaseType extends&gt;, &lt;T Object extends&gt;)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Object-Oriented &amp; Advanced Patterns | 📊 Level: Intermediate
**Topic:** Apply Bounded Type Constraints using &lt;T BaseType extends&gt; and &lt;T Object extends&gt;.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Dart Object-Oriented &amp; Advanced Patterns script challenges | [TOPIC] Apply Bounded Type Constraints using &lt;T BaseType extends&gt; and &lt;T Object extends&gt;.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#33 | Stage 3 🧩 Complete | Dart Object-Oriented &amp; Advanced Patterns | 📊 Level: Intermediate | 🌐 Coding5s.com
**Concept:** Bounded Type Constraints (&lt;T BaseType extends&gt;, &lt;T Object extends&gt;)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Bounded Type Constraints using &lt;T BaseType extends&gt; and &lt;T Object extends&gt;..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Bounded Type Constraints using &lt;T BaseType extends&gt; and &lt;T Object extends&gt;.. Topic details: Bounded Type Constraints (&lt;T BaseType extends&gt;, &lt;T Object extends&gt;)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Object-Oriented &amp; Advanced Patterns | 📊 Level: Intermediate
**Topic:** Apply Bounded Type Constraints using &lt;T BaseType extends&gt; and &lt;T Object extends&gt;.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Apply Bounded Type Constraints using &lt;T BaseType extends&gt; and &lt;T Object extends&gt;.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Dart Object-Oriented &amp; Advanced Patterns | 📊 Level: Intermediate | 🌐 Coding5s.com
**Concept:** Bounded Type Constraints (&lt;T BaseType extends&gt;, &lt;T Object extends&gt;)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Bounded Type Constraints using &lt;T BaseType extends&gt; and &lt;T Object extends&gt;.. Topic details: Bounded Type Constraints (&lt;T BaseType extends&gt;, &lt;T Object extends&gt;)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Object-Oriented &amp; Advanced Patterns | 📊 Level: Intermediate
**Topic:** Apply Bounded Type Constraints using &lt;T BaseType extends&gt; and &lt;T Object extends&gt;.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Dart Object-Oriented &amp; Advanced Patterns Jira Ticket | [TASK] Provide a guided implementation exercise with full solution for learning purposes | [TOPIC] Apply Bounded Type Constraints using &lt;T BaseType extends&gt; and &lt;T Object extends&gt;.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Dart Object-Oriented &amp; Advanced Patterns | 📊 Level: Intermediate | 🌐 Coding5s.com
**Concept:** Bounded Type Constraints (&lt;T BaseType extends&gt;, &lt;T Object extends&gt;)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Bounded Type Constraints using &lt;T BaseType extends&gt; and &lt;T Object extends&gt;.. Goal: Bounded Type Constraints (&lt;T BaseType extends&gt;, &lt;T Object extends&gt;)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Object-Oriented &amp; Advanced Patterns | 📊 Level: Intermediate
**Topic:** Apply Bounded Type Constraints using &lt;T BaseType extends&gt; and &lt;T Object extends&gt;.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4</v>
      </c>
      <c r="C42" s="95">
        <v>15</v>
      </c>
      <c r="D42" s="57">
        <v>4</v>
      </c>
      <c r="E42" s="58" t="s">
        <v>46</v>
      </c>
      <c r="F42" s="59">
        <v>34</v>
      </c>
      <c r="G42" s="60" t="s">
        <v>158</v>
      </c>
      <c r="H42" s="60" t="s">
        <v>48</v>
      </c>
      <c r="I42" s="61" t="s">
        <v>798</v>
      </c>
      <c r="J42" s="62" t="s">
        <v>799</v>
      </c>
      <c r="K42" s="129" t="str">
        <f t="shared" si="2"/>
        <v xml:space="preserve">[ROLE] Friendly tutor specializing in Dart Object-Oriented &amp; Advanced Patterns | [TOPIC] Implement Custom Exceptions using implements Exception and toString().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Dart Object-Oriented &amp; Advanced Patterns | 📊 Level: Intermediate | 🌐 Coding5s.com
**Concept:** Exception Implementation (implements Exception, toString())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Exceptions using implements Exception and toString().. Topic details: Exception Implementation (implements Exception, toString())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Dart Object-Oriented &amp; Advanced Patterns | 📊 Level: Intermediate
**Topic:** Implement Custom Exceptions using implements Exception and toString().
---
 | [FOOTER RULE - STRICT] End your response with: '--- ⚡ *Coding5s Mentor System — Eliminating Epistemic Debt*' | </v>
      </c>
      <c r="M42" s="52">
        <v>0</v>
      </c>
      <c r="N42" s="102" t="str">
        <f t="shared" si="4"/>
        <v>[ROLE] Careless Dart Object-Oriented &amp; Advanced Patterns Developer | [TASK] Generate debugging challenges in Dart Object-Oriented &amp; Advanced Patterns | | [TOPIC] Implement Custom Exceptions using implements Exception and toString().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#34 | Stage 2 🐛 Debug | Dart Object-Oriented &amp; Advanced Patterns | 📊 Level: Intermediate | 🌐 Coding5s.com
Concept: Exception Implementation (implements Exception, toString())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Exceptions using implements Exception and toString().. Topic details: Exception Implementation (implements Exception, toString())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Dart Object-Oriented &amp; Advanced Patterns | 📊 Level: Intermediate
**Topic:** Implement Custom Exceptions using implements Exception and toString().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Dart Object-Oriented &amp; Advanced Patterns script challenges | [TOPIC] Implement Custom Exceptions using implements Exception and toString().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#34 | Stage 3 🧩 Complete | Dart Object-Oriented &amp; Advanced Patterns | 📊 Level: Intermediate | 🌐 Coding5s.com
**Concept:** Exception Implementation (implements Exception, toString())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Exceptions using implements Exception and toString()..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Exceptions using implements Exception and toString().. Topic details: Exception Implementation (implements Exception, toString())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Dart Object-Oriented &amp; Advanced Patterns | 📊 Level: Intermediate
**Topic:** Implement Custom Exceptions using implements Exception and toString().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Implement Custom Exceptions using implements Exception and toString().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Dart Object-Oriented &amp; Advanced Patterns | 📊 Level: Intermediate | 🌐 Coding5s.com
**Concept:** Exception Implementation (implements Exception, toString())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Custom Exceptions using implements Exception and toString().. Topic details: Exception Implementation (implements Exception, toString())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Dart Object-Oriented &amp; Advanced Patterns | 📊 Level: Intermediate
**Topic:** Implement Custom Exceptions using implements Exception and toString().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Dart Object-Oriented &amp; Advanced Patterns Jira Ticket | [TASK] Provide a guided implementation exercise with full solution for learning purposes | [TOPIC] Implement Custom Exceptions using implements Exception and toString().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Dart Object-Oriented &amp; Advanced Patterns | 📊 Level: Intermediate | 🌐 Coding5s.com
**Concept:** Exception Implementation (implements Exception, toString())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Exceptions using implements Exception and toString().. Goal: Exception Implementation (implements Exception, toString())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Dart Object-Oriented &amp; Advanced Patterns | 📊 Level: Intermediate
**Topic:** Implement Custom Exceptions using implements Exception and toString().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4</v>
      </c>
      <c r="C43" s="95">
        <v>18</v>
      </c>
      <c r="D43" s="46">
        <v>4</v>
      </c>
      <c r="E43" s="58" t="s">
        <v>46</v>
      </c>
      <c r="F43" s="48">
        <v>35</v>
      </c>
      <c r="G43" s="49" t="s">
        <v>158</v>
      </c>
      <c r="H43" s="49" t="s">
        <v>48</v>
      </c>
      <c r="I43" s="50" t="s">
        <v>800</v>
      </c>
      <c r="J43" s="51" t="s">
        <v>801</v>
      </c>
      <c r="K43" s="129" t="str">
        <f t="shared" si="2"/>
        <v xml:space="preserve">[ROLE] Friendly tutor specializing in Dart Object-Oriented &amp; Advanced Patterns | [TOPIC] Extend Errors using extends Error and capturing state.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Object-Oriented &amp; Advanced Patterns | 📊 Level: Intermediate | 🌐 Coding5s.com
**Concept:** Error Extension (extends Error, capturing state)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Errors using extends Error and capturing state.. Topic details: Error Extension (extends Error, capturing state)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Object-Oriented &amp; Advanced Patterns | 📊 Level: Intermediate
**Topic:** Extend Errors using extends Error and capturing state.
---
 | [FOOTER RULE - STRICT] End your response with: '--- ⚡ *Coding5s Mentor System — Eliminating Epistemic Debt*' | </v>
      </c>
      <c r="M43" s="53">
        <v>0</v>
      </c>
      <c r="N43" s="102" t="str">
        <f t="shared" si="4"/>
        <v>[ROLE] Careless Dart Object-Oriented &amp; Advanced Patterns Developer | [TASK] Generate debugging challenges in Dart Object-Oriented &amp; Advanced Patterns | | [TOPIC] Extend Errors using extends Error and capturing state.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#35 | Stage 2 🐛 Debug | Dart Object-Oriented &amp; Advanced Patterns | 📊 Level: Intermediate | 🌐 Coding5s.com
Concept: Error Extension (extends Error, capturing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Errors using extends Error and capturing state.. Topic details: Error Extension (extends Error, capturing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Object-Oriented &amp; Advanced Patterns | 📊 Level: Intermediate
**Topic:** Extend Errors using extends Error and capturing state.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Dart Object-Oriented &amp; Advanced Patterns script challenges | [TOPIC] Extend Errors using extends Error and capturing state.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#35 | Stage 3 🧩 Complete | Dart Object-Oriented &amp; Advanced Patterns | 📊 Level: Intermediate | 🌐 Coding5s.com
**Concept:** Error Extension (extends Error, capturing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Errors using extends Error and capturing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Errors using extends Error and capturing state.. Topic details: Error Extension (extends Error, capturing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Object-Oriented &amp; Advanced Patterns | 📊 Level: Intermediate
**Topic:** Extend Errors using extends Error and capturing state.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Extend Errors using extends Error and capturing state.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Dart Object-Oriented &amp; Advanced Patterns | 📊 Level: Intermediate | 🌐 Coding5s.com
**Concept:** Error Extension (extends Error, capturing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Errors using extends Error and capturing state.. Topic details: Error Extension (extends Error, capturing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Object-Oriented &amp; Advanced Patterns | 📊 Level: Intermediate
**Topic:** Extend Errors using extends Error and capturing state.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Dart Object-Oriented &amp; Advanced Patterns Jira Ticket | [TASK] Provide a guided implementation exercise with full solution for learning purposes | [TOPIC] Extend Errors using extends Error and capturing state.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Dart Object-Oriented &amp; Advanced Patterns | 📊 Level: Intermediate | 🌐 Coding5s.com
**Concept:** Error Extension (extends Error, capturing state)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Errors using extends Error and capturing state.. Goal: Error Extension (extends Error, capturing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Object-Oriented &amp; Advanced Patterns | 📊 Level: Intermediate
**Topic:** Extend Errors using extends Error and capturing state.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4</v>
      </c>
      <c r="C44" s="95">
        <v>15</v>
      </c>
      <c r="D44" s="46">
        <v>4</v>
      </c>
      <c r="E44" s="58" t="s">
        <v>46</v>
      </c>
      <c r="F44" s="48">
        <v>37</v>
      </c>
      <c r="G44" s="49" t="s">
        <v>158</v>
      </c>
      <c r="H44" s="49" t="s">
        <v>48</v>
      </c>
      <c r="I44" s="50" t="s">
        <v>804</v>
      </c>
      <c r="J44" s="51" t="s">
        <v>805</v>
      </c>
      <c r="K44" s="129" t="str">
        <f t="shared" si="2"/>
        <v xml:space="preserve">[ROLE] Friendly tutor specializing in Dart Object-Oriented &amp; Advanced Patterns | [TOPIC] Organize Test Suites using group(), setUp(), and tearDown().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Object-Oriented &amp; Advanced Patterns | 📊 Level: Intermediate | 🌐 Coding5s.com
**Concept:** Test Suite Organization (group(), setUp(), tearDown())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Test Suites using group(), setUp(), and tearDown().. Topic details: Test Suite Organization (group(), setUp(), tearDown())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Object-Oriented &amp; Advanced Patterns | 📊 Level: Intermediate
**Topic:** Organize Test Suites using group(), setUp(), and tearDown().
---
 | [FOOTER RULE - STRICT] End your response with: '--- ⚡ *Coding5s Mentor System — Eliminating Epistemic Debt*' | </v>
      </c>
      <c r="M44" s="52">
        <v>0</v>
      </c>
      <c r="N44" s="102" t="str">
        <f t="shared" si="4"/>
        <v>[ROLE] Careless Dart Object-Oriented &amp; Advanced Patterns Developer | [TASK] Generate debugging challenges in Dart Object-Oriented &amp; Advanced Patterns | | [TOPIC] Organize Test Suites using group(), setUp(), and tearDown().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#37 | Stage 2 🐛 Debug | Dart Object-Oriented &amp; Advanced Patterns | 📊 Level: Intermediate | 🌐 Coding5s.com
Concept: Test Suite Organization (group(), setUp(), tearDown())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Test Suites using group(), setUp(), and tearDown().. Topic details: Test Suite Organization (group(), setUp(), tearDown())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Object-Oriented &amp; Advanced Patterns | 📊 Level: Intermediate
**Topic:** Organize Test Suites using group(), setUp(), and tearDown().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Dart Object-Oriented &amp; Advanced Patterns script challenges | [TOPIC] Organize Test Suites using group(), setUp(), and tearDown().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#37 | Stage 3 🧩 Complete | Dart Object-Oriented &amp; Advanced Patterns | 📊 Level: Intermediate | 🌐 Coding5s.com
**Concept:** Test Suite Organization (group(), setUp(), tearDown())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Test Suites using group(), setUp(), and tearDown()..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Test Suites using group(), setUp(), and tearDown().. Topic details: Test Suite Organization (group(), setUp(), tearDown())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Object-Oriented &amp; Advanced Patterns | 📊 Level: Intermediate
**Topic:** Organize Test Suites using group(), setUp(), and tearDown().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Organize Test Suites using group(), setUp(), and tearDown().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Dart Object-Oriented &amp; Advanced Patterns | 📊 Level: Intermediate | 🌐 Coding5s.com
**Concept:** Test Suite Organization (group(), setUp(), tearDown())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Organize Test Suites using group(), setUp(), and tearDown().. Topic details: Test Suite Organization (group(), setUp(), tearDown())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Object-Oriented &amp; Advanced Patterns | 📊 Level: Intermediate
**Topic:** Organize Test Suites using group(), setUp(), and tearDown().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Dart Object-Oriented &amp; Advanced Patterns Jira Ticket | [TASK] Provide a guided implementation exercise with full solution for learning purposes | [TOPIC] Organize Test Suites using group(), setUp(), and tearDown().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Dart Object-Oriented &amp; Advanced Patterns | 📊 Level: Intermediate | 🌐 Coding5s.com
**Concept:** Test Suite Organization (group(), setUp(), tearDown())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Test Suites using group(), setUp(), and tearDown().. Goal: Test Suite Organization (group(), setUp(), tearDown())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Object-Oriented &amp; Advanced Patterns | 📊 Level: Intermediate
**Topic:** Organize Test Suites using group(), setUp(), and tearDown().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4</v>
      </c>
      <c r="C45" s="95">
        <v>15</v>
      </c>
      <c r="D45" s="57">
        <v>4</v>
      </c>
      <c r="E45" s="58" t="s">
        <v>46</v>
      </c>
      <c r="F45" s="59">
        <v>38</v>
      </c>
      <c r="G45" s="60" t="s">
        <v>158</v>
      </c>
      <c r="H45" s="60" t="s">
        <v>48</v>
      </c>
      <c r="I45" s="61" t="s">
        <v>806</v>
      </c>
      <c r="J45" s="62" t="s">
        <v>807</v>
      </c>
      <c r="K45" s="129" t="str">
        <f t="shared" si="2"/>
        <v xml:space="preserve">[ROLE] Friendly tutor specializing in Dart Object-Oriented &amp; Advanced Patterns | [TOPIC] Assert Behaviors using test(), expect(), and throwsA().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Object-Oriented &amp; Advanced Patterns | 📊 Level: Intermediate | 🌐 Coding5s.com
**Concept:** Behavior Assertions (test(), expect(), throwsA())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Assert Behaviors using test(), expect(), and throwsA().. Topic details: Behavior Assertions (test(), expect(), throwsA())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Object-Oriented &amp; Advanced Patterns | 📊 Level: Intermediate
**Topic:** Assert Behaviors using test(), expect(), and throwsA().
---
 | [FOOTER RULE - STRICT] End your response with: '--- ⚡ *Coding5s Mentor System — Eliminating Epistemic Debt*' | </v>
      </c>
      <c r="M45" s="53">
        <v>0</v>
      </c>
      <c r="N45" s="102" t="str">
        <f t="shared" si="4"/>
        <v>[ROLE] Careless Dart Object-Oriented &amp; Advanced Patterns Developer | [TASK] Generate debugging challenges in Dart Object-Oriented &amp; Advanced Patterns | | [TOPIC] Assert Behaviors using test(), expect(), and throwsA().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#38 | Stage 2 🐛 Debug | Dart Object-Oriented &amp; Advanced Patterns | 📊 Level: Intermediate | 🌐 Coding5s.com
Concept: Behavior Assertions (test(), expect(), throwsA())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Assert Behaviors using test(), expect(), and throwsA().. Topic details: Behavior Assertions (test(), expect(), throwsA())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Object-Oriented &amp; Advanced Patterns | 📊 Level: Intermediate
**Topic:** Assert Behaviors using test(), expect(), and throwsA().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Dart Object-Oriented &amp; Advanced Patterns script challenges | [TOPIC] Assert Behaviors using test(), expect(), and throwsA().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#38 | Stage 3 🧩 Complete | Dart Object-Oriented &amp; Advanced Patterns | 📊 Level: Intermediate | 🌐 Coding5s.com
**Concept:** Behavior Assertions (test(), expect(), throwsA())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Assert Behaviors using test(), expect(), and throwsA()..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Assert Behaviors using test(), expect(), and throwsA().. Topic details: Behavior Assertions (test(), expect(), throwsA())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Object-Oriented &amp; Advanced Patterns | 📊 Level: Intermediate
**Topic:** Assert Behaviors using test(), expect(), and throwsA().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Assert Behaviors using test(), expect(), and throwsA().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Dart Object-Oriented &amp; Advanced Patterns | 📊 Level: Intermediate | 🌐 Coding5s.com
**Concept:** Behavior Assertions (test(), expect(), throwsA())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Assert Behaviors using test(), expect(), and throwsA().. Topic details: Behavior Assertions (test(), expect(), throwsA())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Object-Oriented &amp; Advanced Patterns | 📊 Level: Intermediate
**Topic:** Assert Behaviors using test(), expect(), and throwsA().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Dart Object-Oriented &amp; Advanced Patterns Jira Ticket | [TASK] Provide a guided implementation exercise with full solution for learning purposes | [TOPIC] Assert Behaviors using test(), expect(), and throwsA().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Dart Object-Oriented &amp; Advanced Patterns | 📊 Level: Intermediate | 🌐 Coding5s.com
**Concept:** Behavior Assertions (test(), expect(), throwsA())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Assert Behaviors using test(), expect(), and throwsA().. Goal: Behavior Assertions (test(), expect(), throwsA())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Object-Oriented &amp; Advanced Patterns | 📊 Level: Intermediate
**Topic:** Assert Behaviors using test(), expect(), and throwsA().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xml:space="preserve">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v>
      </c>
      <c r="B46" s="45">
        <f t="shared" si="1"/>
        <v>4</v>
      </c>
      <c r="C46" s="95">
        <v>30</v>
      </c>
      <c r="D46" s="57">
        <v>0</v>
      </c>
      <c r="E46" s="58" t="s">
        <v>46</v>
      </c>
      <c r="F46" s="59">
        <v>36</v>
      </c>
      <c r="G46" s="60" t="s">
        <v>159</v>
      </c>
      <c r="H46" s="60" t="s">
        <v>77</v>
      </c>
      <c r="I46" s="61" t="s">
        <v>802</v>
      </c>
      <c r="J46" s="62" t="s">
        <v>803</v>
      </c>
      <c r="K46" s="129" t="str">
        <f t="shared" si="2"/>
        <v>[TASK] Teach through a practical Dart Object-Oriented &amp; Advanced Patterns -  project following the micro-learning methodology, acting as a supportive tutor, creating a project about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Dart Object-Oriented &amp; Advanced Patterns | 📊 Level: Advanced | 🌐 Coding5s.com
**Project:** Advanced Type System and Error Handling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6" s="103" t="str">
        <f t="shared" si="3"/>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advanced type-safe hierarchy consolidating Extension Methods, Extension Types, Inheritance Modifiers, Sealed Hierarchies, Generic Classes, Bounded Type Constraints, Exception Implementation, and Error Extension.. Topics applied in this project: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[LIBRARY BEING LEARNED]  | [LANGUAGE CONSISTENCY RULE] ALL output text MUST be written strictly in (English). | [LANGUAGE SEED CONTEXT] Language Seed Not Necessary | [LANGUAGE] English | [MENTOR_SCOPE_EXPECTATIONS] Expect advanced OOP architecture using abstract classes, mixins, factory constructors, interfaces, overriding, and composition.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[FOOTER RULE - STRICT] End your response with: '--- ⚡ *Coding5s Mentor System — Eliminating Epistemic Debt*' | </v>
      </c>
      <c r="M46" s="52">
        <v>0</v>
      </c>
      <c r="N46" s="102" t="str">
        <f t="shared" si="4"/>
        <v>[ROLE] Careless Dart Object-Oriented &amp; Advanced Patterns Developer | [TASK] Generate debugging project in Dart Object-Oriented &amp; Advanced Patterns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[OUTPUT] Only header, dataset summary or statement (if any), email intro, objective, expected output, broken code, and footer | [HEADER RULE - STRICT] You MUST start your entire response EXACTLY with this markdown block (do not print anything before it):
### 🚀 Project #36 | Stage 2 | Dart Object-Oriented &amp; Advanced Patterns | 📊 Level: Advanced | 🌐 Coding5s.com
Project: Advanced Type System and Error Handling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project script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Dart Object-Oriented &amp; Advanced Patterns | 📊 Level: Advanced | 🌐 Coding5s.com
**Project:** Advanced Type System and Error Handling Project
---
 | [EXTERNAL_PACKAGE_PROTOCOL] Require standard dart pub tooling and pubspec.yaml file for external dependencies when applicable. | [CHALLENGE_CONSTRAINTS_POLICY] MUST be between 25-40 lines of EXECUTABLE base Dart code (STRICT: Do NOT count comments or // TODO blocks). 40–100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a messy but functional project for refactoring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Tech Lead. A junior wrote this working but messy code. Tone: professional but exhausted | [HEADER RULE - STRICT] You MUST start your entire response EXACTLY with this markdown block (do not print anything before it):
### 🚀 Project #36 | Stage 4 | Dart Object-Oriented &amp; Advanced Patterns | 📊 Level: Advanced | 🌐 Coding5s.com
**Project:** Advanced Type System and Error Handling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Dart Object-Oriented &amp; Advanced Patterns Jira Ticket | [TASK] Provide a guided project implementation with full solution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#36 | Stage 5 | Dart Object-Oriented &amp; Advanced Patterns | 📊 Level: Advanced | 🌐 Coding5s.com
**Project:** Advanced Type System and Error Handling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advanced type-safe hierarchy consolidating Extension Methods, Extension Types, Inheritance Modifiers, Sealed Hierarchies, Generic Classes, Bounded Type Constraints, Exception Implementation, and Error Extension.. Topics integrated: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Business Goal: Advanced Type System and Error Handling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[TASK] Teach through a practical Dart Object-Oriented &amp; Advanced Patterns -  project following the micro-learning methodology, acting as a supportive tutor, creating a project about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Dart Object-Oriented &amp; Advanced Patterns | 📊 Level: Advanced | 🌐 Coding5s.com
**Project:** Advanced Type System and Error Handling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6" s="56" t="str">
        <f t="shared" si="13"/>
        <v>[ROLE] Careless Dart Object-Oriented &amp; Advanced Patterns Developer | [TASK] Generate debugging project in Dart Object-Oriented &amp; Advanced Patterns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[OUTPUT] Only header, dataset summary or statement (if any), email intro, objective, expected output, broken code, and footer | [HEADER RULE - STRICT] You MUST start your entire response EXACTLY with this markdown block (do not print anything before it):
### 🚀 Project #36 | Stage 2 | Dart Object-Oriented &amp; Advanced Patterns | 📊 Level: Advanced | 🌐 Coding5s.com
Project: Advanced Type System and Error Handling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6" s="56" t="str">
        <f t="shared" si="14"/>
        <v>[ROLE] Tech Lead | [TASK] Assign incomplete project script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Dart Object-Oriented &amp; Advanced Patterns | 📊 Level: Advanced | 🌐 Coding5s.com
**Project:** Advanced Type System and Error Handling Project
---
 | [EXTERNAL_PACKAGE_PROTOCOL] Require standard dart pub tooling and pubspec.yaml file for external dependencies when applicable. | [CHALLENGE_CONSTRAINTS_POLICY] MUST be between 25-40 lines of EXECUTABLE base Dart code (STRICT: Do NOT count comments or // TODO blocks). 40–100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6" s="56" t="str">
        <f t="shared" si="15"/>
        <v>[ROLE] Tech Lead | [TASK] Provide a messy but functional project for refactoring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Tech Lead. A junior wrote this working but messy code. Tone: professional but exhausted | [HEADER RULE - STRICT] You MUST start your entire response EXACTLY with this markdown block (do not print anything before it):
### 🚀 Project #36 | Stage 4 | Dart Object-Oriented &amp; Advanced Patterns | 📊 Level: Advanced | 🌐 Coding5s.com
**Project:** Advanced Type System and Error Handling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6" s="56" t="str">
        <f t="shared" si="16"/>
        <v>[ROLE] Tech Product Manager assigning a Dart Object-Oriented &amp; Advanced Patterns Jira Ticket | [TASK] Provide a guided project implementation with full solution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#36 | Stage 5 | Dart Object-Oriented &amp; Advanced Patterns | 📊 Level: Advanced | 🌐 Coding5s.com
**Project:** Advanced Type System and Error Handling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57"/>
      <c r="E47" s="58"/>
      <c r="F47" s="59"/>
      <c r="G47" s="60"/>
      <c r="H47" s="60"/>
      <c r="I47" s="61"/>
      <c r="J47" s="62"/>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basic class definitions, constructors, properties, and object instantiation inside main(). DO NOT use procedural scripts.", IF(G74="Intermediate", "STRICT REQUIREMENT: Integrate custom class definitions ('class'), constructors, instance methods, and getters/setters in EVERY example.", "Advanced OOP &amp; patterns: abstract classes, mixins, factory/named constructors, interfaces ('implements'), extensions, and overriding ('@override').")) &amp; " | " &amp;
_xlfn._LONGTEXT("[CODE_CONSTRAINTS_RULE]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 &amp;
"[I_O_PARADIGM] Use Basic primitive types (int, double, String, bool) or simple List/Map structures within classes. and gracefully handle print() statements with string interpolation to display outputs clearly. when applicable. | " &amp;
"[INLINE_PACKAGE_MANAGER] If using external packages, use Dart native classes, constructors, OOP patterns,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class instantiation, constructors, and property access inside main(). Do NOT expect advanced mixins or factories unless explicitly demanded.", IF(G74="Intermediate", "Expect clean class definitions, proper encapsulation (using '_'), named constructors, and correct 'this' usage. Enforce solid OOP principles.", "Expect advanced OOP architecture using abstract classes, mixins, factory constructors, interfaces, overriding, and composition.")) &amp; " | " &amp;
_xlfn._LONGTEXT("[CODE_QUALITY_POLICIES]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object validation inside main(). | " &amp;
"[DEPENDENCY_MANAGEMENT_RULE] Standard Dart runtime context. If external packages are needed, specify them strictly in pubspec.yaml support files. | " &amp;
"[CODE CONSTRAINTS] Each challenge MUST include: internal data OR collection usage, at least 1 print statement, at least 1 loop (when applicable), EXACTLY 1 class definition, 1 constructor, and EXACTLY 1 class instantiation within main(). - " &amp; IF(G74="Beginner", "5–15", IF(G74="Intermediate", "10–25", "15–35")) &amp; " lines of EXECUTABLE broken Dart code per challenge (STRICT: Do NOT count blank lines). All logic MUST be encapsulated inside class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property assignment, method call, or direct comparison). NO complex buffer redirections or string parsing. - " &amp; IF(G74="Beginner","5–15", IF(G74="Intermediate","10–25","15–35")) &amp; " 5-15 lines of EXECUTABLE base code with a main() entry point. Code outside // TODO MUST be 100% valid and readable. All code MUST be encapsulated within a class structure.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classes, constructors, OOP patterns,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IF(G74="Beginner","25–40", IF(G74="Intermediate","30–60","40–100")) &amp; " Class-based object architecture. Require at least 1 class with internal state management.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basic class definitions, constructors, properties, and object instantiation inside main(). DO NOT use procedural scripts.", IF(G138="Intermediate", "STRICT REQUIREMENT: Integrate custom class definitions ('class'), constructors, instance methods, and getters/setters in EVERY example.", "Advanced OOP &amp; patterns: abstract classes, mixins, factory/named constructors, interfaces ('implements'), extensions, and overriding ('@override').")) &amp; " | " &amp;
_xlfn._LONGTEXT("[CODE_CONSTRAINTS_RULE]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 &amp;
"[I_O_PARADIGM] Use Basic primitive types (int, double, String, bool) or simple List/Map structures within classes. and gracefully handle print() statements with string interpolation to display outputs clearly. when applicable. | " &amp;
"[INLINE_PACKAGE_MANAGER] If using external packages, use Dart native classes, constructors, OOP patterns,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class instantiation, constructors, and property access inside main(). Do NOT expect advanced mixins or factories unless explicitly demanded.", IF(G138="Intermediate", "Expect clean class definitions, proper encapsulation (using '_'), named constructors, and correct 'this' usage. Enforce solid OOP principles.", "Expect advanced OOP architecture using abstract classes, mixins, factory constructors, interfaces, overriding, and composition.")) &amp; " | " &amp;
_xlfn._LONGTEXT("[CODE_QUALITY_POLICIES]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object validation inside main(). | " &amp;
"[DEPENDENCY_MANAGEMENT_RULE] Standard Dart runtime context. If external packages are needed, specify them strictly in pubspec.yaml support files. | " &amp;
"[CODE CONSTRAINTS] Each challenge MUST include: internal data OR collection usage, at least 1 print statement, at least 1 loop (when applicable), EXACTLY 1 class definition, 1 constructor, and EXACTLY 1 class instantiation within main(). - " &amp; IF(G138="Beginner", "5–15", IF(G138="Intermediate", "10–25", "15–35")) &amp; " lines of EXECUTABLE broken Dart code per challenge (STRICT: Do NOT count blank lines). All logic MUST be encapsulated inside class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property assignment, method call, or direct comparison). NO complex buffer redirections or string parsing. - " &amp; IF(G138="Beginner","5–15", IF(G138="Intermediate","10–25","15–35")) &amp; " 5-15 lines of EXECUTABLE base code with a main() entry point. Code outside // TODO MUST be 100% valid and readable. All code MUST be encapsulated within a class structure.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classes, constructors, OOP patterns,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IF(G138="Beginner","25–40", IF(G138="Intermediate","30–60","40–100")) &amp; " Class-based object architecture. Require at least 1 class with internal state management.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E6" sqref="E6:E57"/>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Dart Object-Oriented &amp; Advanced Patterns</v>
      </c>
    </row>
    <row r="2" spans="1:5" ht="26.25">
      <c r="C2" s="122" t="s">
        <v>266</v>
      </c>
      <c r="D2" s="123" t="str">
        <f>IF(PromptGenerator!I3="","",PromptGenerator!I3)</f>
        <v/>
      </c>
    </row>
    <row r="5" spans="1:5">
      <c r="A5" s="124" t="s">
        <v>636</v>
      </c>
      <c r="B5" s="124" t="s">
        <v>23</v>
      </c>
      <c r="C5" s="124" t="s">
        <v>579</v>
      </c>
      <c r="D5" s="124" t="s">
        <v>614</v>
      </c>
      <c r="E5" s="124" t="s">
        <v>613</v>
      </c>
    </row>
    <row r="6" spans="1:5">
      <c r="A6" s="125" t="s">
        <v>0</v>
      </c>
      <c r="B6" t="s">
        <v>48</v>
      </c>
      <c r="C6" t="s">
        <v>601</v>
      </c>
      <c r="D6" t="s">
        <v>601</v>
      </c>
      <c r="E6" s="120" t="s">
        <v>808</v>
      </c>
    </row>
    <row r="7" spans="1:5">
      <c r="A7" s="125" t="s">
        <v>0</v>
      </c>
      <c r="B7" t="s">
        <v>48</v>
      </c>
      <c r="C7" s="136" t="s">
        <v>179</v>
      </c>
      <c r="D7" t="s">
        <v>605</v>
      </c>
      <c r="E7" s="121" t="s">
        <v>809</v>
      </c>
    </row>
    <row r="8" spans="1:5">
      <c r="A8" s="125" t="s">
        <v>0</v>
      </c>
      <c r="B8" t="s">
        <v>48</v>
      </c>
      <c r="C8" s="136" t="s">
        <v>179</v>
      </c>
      <c r="D8" t="s">
        <v>606</v>
      </c>
      <c r="E8" t="s">
        <v>810</v>
      </c>
    </row>
    <row r="9" spans="1:5">
      <c r="A9" s="125" t="s">
        <v>0</v>
      </c>
      <c r="B9" t="s">
        <v>48</v>
      </c>
      <c r="C9" s="136" t="s">
        <v>179</v>
      </c>
      <c r="D9" t="s">
        <v>607</v>
      </c>
      <c r="E9" t="s">
        <v>811</v>
      </c>
    </row>
    <row r="10" spans="1:5">
      <c r="A10" s="125" t="s">
        <v>0</v>
      </c>
      <c r="B10" t="s">
        <v>48</v>
      </c>
      <c r="C10" s="136" t="s">
        <v>608</v>
      </c>
      <c r="D10" t="s">
        <v>609</v>
      </c>
      <c r="E10" s="120" t="s">
        <v>812</v>
      </c>
    </row>
    <row r="11" spans="1:5">
      <c r="A11" s="125" t="s">
        <v>0</v>
      </c>
      <c r="B11" t="s">
        <v>48</v>
      </c>
      <c r="C11" s="136" t="s">
        <v>608</v>
      </c>
      <c r="D11" t="s">
        <v>610</v>
      </c>
      <c r="E11" t="s">
        <v>813</v>
      </c>
    </row>
    <row r="12" spans="1:5">
      <c r="A12" s="125" t="s">
        <v>0</v>
      </c>
      <c r="B12" t="s">
        <v>48</v>
      </c>
      <c r="C12" s="136" t="s">
        <v>608</v>
      </c>
      <c r="D12" t="s">
        <v>717</v>
      </c>
      <c r="E12" s="120" t="s">
        <v>724</v>
      </c>
    </row>
    <row r="13" spans="1:5">
      <c r="A13" s="125" t="s">
        <v>0</v>
      </c>
      <c r="B13" t="s">
        <v>48</v>
      </c>
      <c r="C13" s="136" t="s">
        <v>608</v>
      </c>
      <c r="D13" t="s">
        <v>725</v>
      </c>
      <c r="E13" s="120" t="s">
        <v>814</v>
      </c>
    </row>
    <row r="14" spans="1:5">
      <c r="A14" s="125" t="s">
        <v>0</v>
      </c>
      <c r="B14" t="s">
        <v>48</v>
      </c>
      <c r="C14" s="136" t="s">
        <v>600</v>
      </c>
      <c r="D14" t="s">
        <v>611</v>
      </c>
      <c r="E14" t="s">
        <v>815</v>
      </c>
    </row>
    <row r="15" spans="1:5">
      <c r="A15" s="125" t="s">
        <v>0</v>
      </c>
      <c r="B15" t="s">
        <v>48</v>
      </c>
      <c r="C15" s="136" t="s">
        <v>600</v>
      </c>
      <c r="D15" t="s">
        <v>612</v>
      </c>
      <c r="E15" t="s">
        <v>816</v>
      </c>
    </row>
    <row r="16" spans="1:5">
      <c r="A16" s="125" t="s">
        <v>0</v>
      </c>
      <c r="B16" t="s">
        <v>48</v>
      </c>
      <c r="C16" s="136" t="s">
        <v>225</v>
      </c>
      <c r="D16" t="s">
        <v>603</v>
      </c>
      <c r="E16" t="s">
        <v>817</v>
      </c>
    </row>
    <row r="17" spans="1:5">
      <c r="A17" s="125" t="s">
        <v>0</v>
      </c>
      <c r="B17" t="s">
        <v>48</v>
      </c>
      <c r="C17" s="136" t="s">
        <v>225</v>
      </c>
      <c r="D17" t="s">
        <v>604</v>
      </c>
      <c r="E17" t="s">
        <v>818</v>
      </c>
    </row>
    <row r="18" spans="1:5">
      <c r="A18" s="125" t="s">
        <v>0</v>
      </c>
      <c r="B18" t="s">
        <v>615</v>
      </c>
      <c r="C18" s="136" t="s">
        <v>616</v>
      </c>
      <c r="D18" t="s">
        <v>617</v>
      </c>
      <c r="E18" t="s">
        <v>819</v>
      </c>
    </row>
    <row r="19" spans="1:5">
      <c r="A19" s="125" t="s">
        <v>0</v>
      </c>
      <c r="B19" t="s">
        <v>615</v>
      </c>
      <c r="C19" s="136" t="s">
        <v>616</v>
      </c>
      <c r="D19" t="s">
        <v>618</v>
      </c>
      <c r="E19" t="s">
        <v>820</v>
      </c>
    </row>
    <row r="20" spans="1:5">
      <c r="A20" s="125" t="s">
        <v>0</v>
      </c>
      <c r="B20" t="s">
        <v>615</v>
      </c>
      <c r="C20" s="136" t="s">
        <v>616</v>
      </c>
      <c r="D20" t="s">
        <v>619</v>
      </c>
      <c r="E20" t="s">
        <v>821</v>
      </c>
    </row>
    <row r="21" spans="1:5">
      <c r="A21" s="125" t="s">
        <v>0</v>
      </c>
      <c r="B21" t="s">
        <v>615</v>
      </c>
      <c r="C21" s="136" t="s">
        <v>608</v>
      </c>
      <c r="D21" t="s">
        <v>718</v>
      </c>
      <c r="E21" t="s">
        <v>719</v>
      </c>
    </row>
    <row r="22" spans="1:5">
      <c r="A22" s="125" t="s">
        <v>0</v>
      </c>
      <c r="B22" t="s">
        <v>602</v>
      </c>
      <c r="C22" s="136" t="s">
        <v>620</v>
      </c>
      <c r="D22" t="s">
        <v>47</v>
      </c>
      <c r="E22" t="s">
        <v>822</v>
      </c>
    </row>
    <row r="23" spans="1:5">
      <c r="A23" s="125" t="s">
        <v>0</v>
      </c>
      <c r="B23" t="s">
        <v>602</v>
      </c>
      <c r="C23" s="136" t="s">
        <v>620</v>
      </c>
      <c r="D23" t="s">
        <v>158</v>
      </c>
      <c r="E23" t="s">
        <v>823</v>
      </c>
    </row>
    <row r="24" spans="1:5">
      <c r="A24" s="125" t="s">
        <v>0</v>
      </c>
      <c r="B24" t="s">
        <v>602</v>
      </c>
      <c r="C24" s="136" t="s">
        <v>620</v>
      </c>
      <c r="D24" t="s">
        <v>159</v>
      </c>
      <c r="E24" t="s">
        <v>824</v>
      </c>
    </row>
    <row r="25" spans="1:5">
      <c r="A25" s="125" t="s">
        <v>0</v>
      </c>
      <c r="B25" t="s">
        <v>602</v>
      </c>
      <c r="C25" s="136" t="s">
        <v>621</v>
      </c>
      <c r="D25" t="s">
        <v>622</v>
      </c>
      <c r="E25" t="s">
        <v>825</v>
      </c>
    </row>
    <row r="26" spans="1:5">
      <c r="A26" s="125" t="s">
        <v>0</v>
      </c>
      <c r="B26" t="s">
        <v>602</v>
      </c>
      <c r="C26" s="136" t="s">
        <v>621</v>
      </c>
      <c r="D26" t="s">
        <v>623</v>
      </c>
      <c r="E26" t="s">
        <v>826</v>
      </c>
    </row>
    <row r="27" spans="1:5">
      <c r="A27" s="125" t="s">
        <v>0</v>
      </c>
      <c r="B27" t="s">
        <v>602</v>
      </c>
      <c r="C27" s="136" t="s">
        <v>621</v>
      </c>
      <c r="D27" t="s">
        <v>624</v>
      </c>
      <c r="E27" t="s">
        <v>827</v>
      </c>
    </row>
    <row r="28" spans="1:5">
      <c r="A28" s="125" t="s">
        <v>0</v>
      </c>
      <c r="B28" t="s">
        <v>602</v>
      </c>
      <c r="C28" s="136" t="s">
        <v>621</v>
      </c>
      <c r="D28" t="s">
        <v>625</v>
      </c>
      <c r="E28" t="s">
        <v>828</v>
      </c>
    </row>
    <row r="29" spans="1:5">
      <c r="A29" s="126" t="s">
        <v>270</v>
      </c>
      <c r="B29" t="s">
        <v>48</v>
      </c>
      <c r="C29" s="136" t="s">
        <v>626</v>
      </c>
      <c r="D29" t="s">
        <v>627</v>
      </c>
      <c r="E29" t="s">
        <v>829</v>
      </c>
    </row>
    <row r="30" spans="1:5">
      <c r="A30" s="126" t="s">
        <v>270</v>
      </c>
      <c r="B30" t="s">
        <v>48</v>
      </c>
      <c r="C30" s="136" t="s">
        <v>626</v>
      </c>
      <c r="D30" t="s">
        <v>628</v>
      </c>
      <c r="E30" t="s">
        <v>830</v>
      </c>
    </row>
    <row r="31" spans="1:5">
      <c r="A31" s="126" t="s">
        <v>270</v>
      </c>
      <c r="B31" t="s">
        <v>48</v>
      </c>
      <c r="C31" s="136" t="s">
        <v>626</v>
      </c>
      <c r="D31" t="s">
        <v>629</v>
      </c>
      <c r="E31" t="s">
        <v>720</v>
      </c>
    </row>
    <row r="32" spans="1:5">
      <c r="A32" s="126" t="s">
        <v>270</v>
      </c>
      <c r="B32" t="s">
        <v>48</v>
      </c>
      <c r="C32" s="136" t="s">
        <v>728</v>
      </c>
      <c r="D32" t="s">
        <v>630</v>
      </c>
      <c r="E32" t="s">
        <v>831</v>
      </c>
    </row>
    <row r="33" spans="1:5">
      <c r="A33" s="126" t="s">
        <v>270</v>
      </c>
      <c r="B33" t="s">
        <v>48</v>
      </c>
      <c r="C33" s="136" t="s">
        <v>729</v>
      </c>
      <c r="D33" t="s">
        <v>631</v>
      </c>
      <c r="E33" t="s">
        <v>832</v>
      </c>
    </row>
    <row r="34" spans="1:5">
      <c r="A34" s="126" t="s">
        <v>270</v>
      </c>
      <c r="B34" t="s">
        <v>48</v>
      </c>
      <c r="C34" s="136" t="s">
        <v>632</v>
      </c>
      <c r="D34" t="s">
        <v>633</v>
      </c>
      <c r="E34" t="s">
        <v>833</v>
      </c>
    </row>
    <row r="35" spans="1:5">
      <c r="A35" s="126" t="s">
        <v>270</v>
      </c>
      <c r="B35" t="s">
        <v>48</v>
      </c>
      <c r="C35" s="136" t="s">
        <v>632</v>
      </c>
      <c r="D35" t="s">
        <v>634</v>
      </c>
      <c r="E35" t="s">
        <v>834</v>
      </c>
    </row>
    <row r="36" spans="1:5">
      <c r="A36" s="126" t="s">
        <v>270</v>
      </c>
      <c r="B36" t="s">
        <v>48</v>
      </c>
      <c r="C36" s="136" t="s">
        <v>632</v>
      </c>
      <c r="D36" t="s">
        <v>635</v>
      </c>
      <c r="E36" t="s">
        <v>721</v>
      </c>
    </row>
    <row r="37" spans="1:5">
      <c r="A37" s="126" t="s">
        <v>270</v>
      </c>
      <c r="B37" t="s">
        <v>615</v>
      </c>
      <c r="C37" s="136" t="s">
        <v>637</v>
      </c>
      <c r="D37" t="s">
        <v>638</v>
      </c>
      <c r="E37" t="s">
        <v>835</v>
      </c>
    </row>
    <row r="38" spans="1:5">
      <c r="A38" s="126" t="s">
        <v>270</v>
      </c>
      <c r="B38" t="s">
        <v>615</v>
      </c>
      <c r="C38" s="136" t="s">
        <v>637</v>
      </c>
      <c r="D38" t="s">
        <v>639</v>
      </c>
      <c r="E38" t="s">
        <v>836</v>
      </c>
    </row>
    <row r="39" spans="1:5">
      <c r="A39" s="126" t="s">
        <v>270</v>
      </c>
      <c r="B39" t="s">
        <v>615</v>
      </c>
      <c r="C39" s="136" t="s">
        <v>637</v>
      </c>
      <c r="D39" t="s">
        <v>640</v>
      </c>
      <c r="E39" t="s">
        <v>837</v>
      </c>
    </row>
    <row r="40" spans="1:5">
      <c r="A40" s="126" t="s">
        <v>270</v>
      </c>
      <c r="B40" t="s">
        <v>615</v>
      </c>
      <c r="C40" s="136" t="s">
        <v>637</v>
      </c>
      <c r="D40" t="s">
        <v>641</v>
      </c>
      <c r="E40" t="s">
        <v>838</v>
      </c>
    </row>
    <row r="41" spans="1:5">
      <c r="A41" s="126" t="s">
        <v>270</v>
      </c>
      <c r="B41" t="s">
        <v>602</v>
      </c>
      <c r="C41" s="136" t="s">
        <v>730</v>
      </c>
      <c r="D41" t="s">
        <v>642</v>
      </c>
      <c r="E41" t="s">
        <v>839</v>
      </c>
    </row>
    <row r="42" spans="1:5">
      <c r="A42" s="126" t="s">
        <v>270</v>
      </c>
      <c r="B42" t="s">
        <v>602</v>
      </c>
      <c r="C42" s="136" t="s">
        <v>730</v>
      </c>
      <c r="D42" t="s">
        <v>643</v>
      </c>
      <c r="E42" t="s">
        <v>840</v>
      </c>
    </row>
    <row r="43" spans="1:5">
      <c r="A43" s="126" t="s">
        <v>270</v>
      </c>
      <c r="B43" t="s">
        <v>602</v>
      </c>
      <c r="C43" s="136" t="s">
        <v>730</v>
      </c>
      <c r="D43" t="s">
        <v>644</v>
      </c>
      <c r="E43" t="s">
        <v>841</v>
      </c>
    </row>
    <row r="44" spans="1:5">
      <c r="A44" s="126" t="s">
        <v>270</v>
      </c>
      <c r="B44" t="s">
        <v>602</v>
      </c>
      <c r="C44" s="136" t="s">
        <v>730</v>
      </c>
      <c r="D44" t="s">
        <v>645</v>
      </c>
      <c r="E44" t="s">
        <v>842</v>
      </c>
    </row>
    <row r="45" spans="1:5">
      <c r="A45" s="127" t="s">
        <v>337</v>
      </c>
      <c r="B45" t="s">
        <v>48</v>
      </c>
      <c r="C45" s="136" t="s">
        <v>651</v>
      </c>
      <c r="D45" t="s">
        <v>647</v>
      </c>
      <c r="E45" t="s">
        <v>843</v>
      </c>
    </row>
    <row r="46" spans="1:5">
      <c r="A46" s="127" t="s">
        <v>337</v>
      </c>
      <c r="B46" t="s">
        <v>48</v>
      </c>
      <c r="C46" s="136" t="s">
        <v>652</v>
      </c>
      <c r="D46" t="s">
        <v>648</v>
      </c>
      <c r="E46" t="s">
        <v>722</v>
      </c>
    </row>
    <row r="47" spans="1:5">
      <c r="A47" s="127" t="s">
        <v>337</v>
      </c>
      <c r="B47" t="s">
        <v>48</v>
      </c>
      <c r="C47" s="136" t="s">
        <v>653</v>
      </c>
      <c r="D47" t="s">
        <v>649</v>
      </c>
      <c r="E47" t="s">
        <v>844</v>
      </c>
    </row>
    <row r="48" spans="1:5">
      <c r="A48" s="127" t="s">
        <v>337</v>
      </c>
      <c r="B48" t="s">
        <v>48</v>
      </c>
      <c r="C48" s="136" t="s">
        <v>653</v>
      </c>
      <c r="D48" t="s">
        <v>650</v>
      </c>
      <c r="E48" t="s">
        <v>845</v>
      </c>
    </row>
    <row r="49" spans="1:5">
      <c r="A49" s="127" t="s">
        <v>337</v>
      </c>
      <c r="B49" t="s">
        <v>615</v>
      </c>
      <c r="C49" s="136" t="s">
        <v>651</v>
      </c>
      <c r="D49" t="s">
        <v>654</v>
      </c>
      <c r="E49" t="s">
        <v>846</v>
      </c>
    </row>
    <row r="50" spans="1:5">
      <c r="A50" s="127" t="s">
        <v>337</v>
      </c>
      <c r="B50" t="s">
        <v>615</v>
      </c>
      <c r="C50" s="136" t="s">
        <v>653</v>
      </c>
      <c r="D50" t="s">
        <v>655</v>
      </c>
      <c r="E50" t="s">
        <v>847</v>
      </c>
    </row>
    <row r="51" spans="1:5">
      <c r="A51" s="127" t="s">
        <v>337</v>
      </c>
      <c r="B51" t="s">
        <v>615</v>
      </c>
      <c r="C51" s="136" t="s">
        <v>653</v>
      </c>
      <c r="D51" t="s">
        <v>656</v>
      </c>
      <c r="E51" t="s">
        <v>848</v>
      </c>
    </row>
    <row r="52" spans="1:5">
      <c r="A52" s="127" t="s">
        <v>337</v>
      </c>
      <c r="B52" t="s">
        <v>602</v>
      </c>
      <c r="C52" s="136" t="s">
        <v>730</v>
      </c>
      <c r="D52" t="s">
        <v>657</v>
      </c>
      <c r="E52" t="s">
        <v>723</v>
      </c>
    </row>
    <row r="53" spans="1:5">
      <c r="A53" s="127" t="s">
        <v>337</v>
      </c>
      <c r="B53" t="s">
        <v>602</v>
      </c>
      <c r="C53" s="136" t="s">
        <v>730</v>
      </c>
      <c r="D53" t="s">
        <v>643</v>
      </c>
      <c r="E53" t="s">
        <v>840</v>
      </c>
    </row>
    <row r="54" spans="1:5">
      <c r="A54" s="127" t="s">
        <v>337</v>
      </c>
      <c r="B54" t="s">
        <v>602</v>
      </c>
      <c r="C54" s="136" t="s">
        <v>730</v>
      </c>
      <c r="D54" t="s">
        <v>658</v>
      </c>
      <c r="E54" t="s">
        <v>849</v>
      </c>
    </row>
    <row r="55" spans="1:5">
      <c r="A55" s="127" t="s">
        <v>337</v>
      </c>
      <c r="B55" t="s">
        <v>602</v>
      </c>
      <c r="C55" s="136" t="s">
        <v>730</v>
      </c>
      <c r="D55" t="s">
        <v>659</v>
      </c>
      <c r="E55" t="s">
        <v>850</v>
      </c>
    </row>
    <row r="56" spans="1:5">
      <c r="A56" s="121" t="s">
        <v>413</v>
      </c>
      <c r="B56" t="s">
        <v>602</v>
      </c>
      <c r="C56" t="s">
        <v>663</v>
      </c>
      <c r="D56" t="s">
        <v>664</v>
      </c>
      <c r="E56" t="s">
        <v>851</v>
      </c>
    </row>
    <row r="57" spans="1:5">
      <c r="A57" s="128" t="s">
        <v>450</v>
      </c>
      <c r="B57" t="s">
        <v>602</v>
      </c>
      <c r="C57" t="s">
        <v>663</v>
      </c>
      <c r="D57" t="s">
        <v>664</v>
      </c>
      <c r="E57" t="s">
        <v>852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87" zoomScaleNormal="100" workbookViewId="0">
      <selection activeCell="E83" sqref="E83:E104"/>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491</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710</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492</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basic class definitions, constructors, properties, and object instantiation inside main(). DO NOT use procedural scripts.", IF(G9="Intermediate", "STRICT REQUIREMENT: Integrate custom class definitions ('class'), constructors, instance methods, and getters/setters in EVERY example.", "Advanced OOP &amp; patterns: abstract classes, mixins, factory/named constructors, interfaces ('implements'), extensions, and overriding ('@override').")) &amp; " | " &amp;</v>
      </c>
      <c r="E14" s="77" t="str">
        <f t="shared" si="0"/>
        <v>"[FUNCTION RULE] Rule: " &amp; IF(G9="Beginner","Focus strictly on basic class definitions, constructors, properties, and object instantiation inside main(). DO NOT use procedural scripts.", IF(G9="Intermediate", "STRICT REQUIREMENT: Integrate custom class definitions ('class'), constructors, instance methods, and getters/setters in EVERY example.", "Advanced OOP &amp; patterns: abstract classes, mixins, factory/named constructors, interfaces ('implements'), extensions, and overriding ('@override')."))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603</v>
      </c>
      <c r="B18" s="83" t="s">
        <v>223</v>
      </c>
      <c r="C18" s="32" t="s">
        <v>608</v>
      </c>
      <c r="D18" s="137" t="str">
        <f>"Each example MUST: - Use " &amp; Variables!E10 &amp; " - Print steps &amp; result via " &amp; Variables!E11 &amp; " - " &amp; Variables!E12 &amp; " - " &amp; Variables!E13 &amp; " | " &amp; CHAR(34) &amp; " &amp;"</f>
        <v>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 &amp;</v>
      </c>
      <c r="E18" s="77" t="str">
        <f t="shared" si="0"/>
        <v>"[CODE_CONSTRAINTS_RULE]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 &amp;</v>
      </c>
      <c r="F18" s="54" t="s">
        <v>224</v>
      </c>
    </row>
    <row r="19" spans="1:6">
      <c r="A19">
        <f t="shared" si="1"/>
        <v>217</v>
      </c>
      <c r="B19" s="84" t="s">
        <v>223</v>
      </c>
      <c r="C19" s="32" t="s">
        <v>600</v>
      </c>
      <c r="D19" s="137" t="str">
        <f>"Use " &amp; Variables!E14 &amp; " and gracefully handle " &amp; Variables!E15 &amp; " when applicable." &amp; " | " &amp; CHAR(34) &amp; " &amp;"</f>
        <v>Use Basic primitive types (int, double, String, bool) or simple List/Map structures within classes. and gracefully handle print() statements with string interpolation to display outputs clearly. when applicable. | " &amp;</v>
      </c>
      <c r="E19" s="77" t="str">
        <f t="shared" si="0"/>
        <v>"[I_O_PARADIGM] Use Basic primitive types (int, double, String, bool) or simple List/Map structures within classes. and gracefully handle print() statements with string interpolation to display outputs clearly. when applicable. | " &amp;</v>
      </c>
      <c r="F19" s="54" t="s">
        <v>224</v>
      </c>
    </row>
    <row r="20" spans="1:6">
      <c r="A20">
        <f t="shared" si="1"/>
        <v>224</v>
      </c>
      <c r="B20" s="84" t="s">
        <v>223</v>
      </c>
      <c r="C20" s="32" t="s">
        <v>601</v>
      </c>
      <c r="D20" s="137" t="str">
        <f>"If using external packages, use " &amp; Variables!E6 &amp; " at the top of the code block. Assume no project configuration file exists." &amp; " | " &amp; CHAR(34) &amp; " &amp;"</f>
        <v>If using external packages, use Dart native classes, constructors, OOP patterns, and standard core execution models utilizing top-level main(). at the top of the code block. Assume no project configuration file exists. | " &amp;</v>
      </c>
      <c r="E20" s="77" t="str">
        <f t="shared" si="0"/>
        <v>"[INLINE_PACKAGE_MANAGER] If using external packages, use Dart native classes, constructors, OOP patterns, and standard core execution models utilizing top-level main(). at the top of the code block. Assume no project configuration file exists. | " &amp;</v>
      </c>
      <c r="F20" s="54" t="s">
        <v>224</v>
      </c>
    </row>
    <row r="21" spans="1:6">
      <c r="A21">
        <f t="shared" si="1"/>
        <v>267</v>
      </c>
      <c r="B21" s="83" t="s">
        <v>223</v>
      </c>
      <c r="C21" s="54" t="s">
        <v>726</v>
      </c>
      <c r="D21" s="94" t="s">
        <v>727</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711</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Dart native classes, constructors, OOP patterns, and standard core execution models utilizing top-level main(). at the top of the code block. Assume no project configuration file exists. | " &amp;</v>
      </c>
      <c r="E65" s="77" t="str">
        <f t="shared" si="2"/>
        <v>"[INLINE_PACKAGE_MANAGER] If using external packages, use Dart native classes, constructors, OOP patterns, and standard core execution models utilizing top-level main(). at the top of the code block. Assume no project configuration file exists. | " &amp;</v>
      </c>
      <c r="F65" s="32" t="s">
        <v>224</v>
      </c>
    </row>
    <row r="66" spans="2:6">
      <c r="B66" s="54" t="s">
        <v>223</v>
      </c>
      <c r="C66" s="32" t="s">
        <v>608</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 &amp;</v>
      </c>
      <c r="E67" s="77" t="str">
        <f t="shared" si="2"/>
        <v>"[VISUAL_ARCHITECTURE_COMMENTS]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712</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class instantiation, constructors, and property access inside main(). Do NOT expect advanced mixins or factories unless explicitly demanded.", IF(G9="Intermediate", "Expect clean class definitions, proper encapsulation (using '_'), named constructors, and correct 'this' usage. Enforce solid OOP principles.", "Expect advanced OOP architecture using abstract classes, mixins, factory constructors, interfaces, overriding, and composition.")) &amp; " | " &amp;</v>
      </c>
      <c r="E93" s="77" t="str">
        <f>IF(D93="","",""""&amp;C93&amp;" "&amp;IF(C93="[FOOTER RULE - STRICT]",D93,IF(RIGHT(D93,6)=" | "&amp;CHAR(34)&amp;" &amp;",D93,D93&amp;" | "&amp;CHAR(34)&amp;" &amp;")))</f>
        <v>"[MENTOR_SCOPE_EXPECTATIONS] " &amp; IF(G9="Beginner", "Evaluate based on basic class instantiation, constructors, and property access inside main(). Do NOT expect advanced mixins or factories unless explicitly demanded.", IF(G9="Intermediate", "Expect clean class definitions, proper encapsulation (using '_'), named constructors, and correct 'this' usage. Enforce solid OOP principles.", "Expect advanced OOP architecture using abstract classes, mixins, factory constructors, interfaces, overriding, and composition."))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7"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491</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394</v>
      </c>
      <c r="B16" s="83" t="s">
        <v>223</v>
      </c>
      <c r="C16" s="32" t="s">
        <v>188</v>
      </c>
      <c r="D16" s="93" t="str">
        <f>Variables!E29 &amp; " | " &amp; Variables!E30 &amp; " | " &amp; Variables!E31 &amp; " | " &amp; CHAR(34) &amp; " &amp;"</f>
        <v>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 &amp;</v>
      </c>
      <c r="E16" s="77" t="str">
        <f t="shared" si="0"/>
        <v>"[FILE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 &amp;</v>
      </c>
      <c r="F16" s="54" t="s">
        <v>224</v>
      </c>
    </row>
    <row r="17" spans="1:6">
      <c r="A17">
        <f t="shared" si="1"/>
        <v>140</v>
      </c>
      <c r="B17" s="83" t="s">
        <v>223</v>
      </c>
      <c r="C17" s="32" t="s">
        <v>728</v>
      </c>
      <c r="D17" s="93" t="str">
        <f>Variables!E32 &amp; " | " &amp; CHAR(34) &amp; " &amp;"</f>
        <v>Validation using print() statements or native assert statements. Avoid complex dart test suites; keep object validation inside main(). | " &amp;</v>
      </c>
      <c r="E17" s="77" t="str">
        <f t="shared" si="0"/>
        <v>"[TESTING_FRAMEWORK_RULE] Validation using print() statements or native assert statements. Avoid complex dart test suites; keep object validation inside main(). | " &amp;</v>
      </c>
      <c r="F17" s="54" t="s">
        <v>224</v>
      </c>
    </row>
    <row r="18" spans="1:6">
      <c r="A18">
        <f t="shared" si="1"/>
        <v>122</v>
      </c>
      <c r="B18" s="54" t="s">
        <v>223</v>
      </c>
      <c r="C18" s="32" t="s">
        <v>729</v>
      </c>
      <c r="D18" s="93" t="str">
        <f>Variables!E33 &amp; " | " &amp; CHAR(34) &amp; " &amp;"</f>
        <v>Standard Dart runtime context. If external packages are needed, specify them strictly in pubspec.yaml support files. | " &amp;</v>
      </c>
      <c r="E18" s="77" t="str">
        <f t="shared" si="0"/>
        <v>"[DEPENDENCY_MANAGEMENT_RULE] Standard Dart runtime context. If external packages are needed, specify them strictly in pubspec.yaml support files. | " &amp;</v>
      </c>
      <c r="F18" s="54" t="s">
        <v>224</v>
      </c>
    </row>
    <row r="19" spans="1:6">
      <c r="A19">
        <f t="shared" si="1"/>
        <v>542</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collection usage, at least 1 print statement, at least 1 loop (when applicable), EXACTLY 1 class definition, 1 constructor, and EXACTLY 1 class instantiation within main(). - " &amp; IF(G9="Beginner", "5–15", IF(G9="Intermediate", "10–25", "15–35")) &amp; " lines of EXECUTABLE broken Dart code per challenge (STRICT: Do NOT count blank lines). All logic MUST be encapsulated inside class methods and executed via main(). | All challenges MUST have similar complexity, length, and functional scope. | " &amp;</v>
      </c>
      <c r="E19" s="77" t="str">
        <f t="shared" si="0"/>
        <v>"[CODE CONSTRAINTS] Each challenge MUST include: internal data OR collection usage, at least 1 print statement, at least 1 loop (when applicable), EXACTLY 1 class definition, 1 constructor, and EXACTLY 1 class instantiation within main(). - " &amp; IF(G9="Beginner", "5–15", IF(G9="Intermediate", "10–25", "15–35")) &amp; " lines of EXECUTABLE broken Dart code per challenge (STRICT: Do NOT count blank lines). All logic MUST be encapsulated inside class methods and executed via main(). | All challenges MUST have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711</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 &amp;</v>
      </c>
      <c r="E59" s="77" t="str">
        <f t="shared" si="2"/>
        <v>"[BUG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713</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730</v>
      </c>
      <c r="D90" s="93" t="str">
        <f>Variables!E41 &amp; " " &amp; Variables!E42 &amp; " " &amp; Variables!E43 &amp; " " &amp; Variables!E44 &amp; " | " &amp; CHAR(34) &amp; " &amp;"</f>
        <v>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 &amp;</v>
      </c>
      <c r="E90" s="17" t="str">
        <f t="shared" si="3"/>
        <v>"[CORE_QUALITY_POLICY]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Dart built-ins. Strictly ZERO external pub.dev packages required for beginner topics. | " &amp;</v>
      </c>
      <c r="E15" s="77" t="str">
        <f t="shared" si="0"/>
        <v>"[EXTERNAL_PACKAGE_PROTOCOL] Standard Dart built-ins. Strictly ZERO external pub.dev packages required for beginner topics. | " &amp;</v>
      </c>
      <c r="F15" s="54" t="s">
        <v>224</v>
      </c>
    </row>
    <row r="16" spans="2:29">
      <c r="B16" s="83" t="s">
        <v>223</v>
      </c>
      <c r="C16" s="54" t="s">
        <v>652</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property assignment, method call, or direct comparison). NO complex buffer redirections or string parsing. - " &amp; IF(G9="Beginner","5–15", IF(G9="Intermediate","10–25","15–35")) &amp; " 5-15 lines of EXECUTABLE base code with a main() entry point. Code outside // TODO MUST be 100% valid and readable. All code MUST be encapsulated within a class structure. | " &amp;</v>
      </c>
      <c r="E17" s="77" t="str">
        <f t="shared" si="0"/>
        <v>"[CHALLENGE_CONSTRAINTS_POLICY] For Beginner level, // TODO MUST be atomic (1-2 simple lines max, e.g., basic property assignment, method call, or direct comparison). NO complex buffer redirections or string parsing. - " &amp; IF(G9="Beginner","5–15", IF(G9="Intermediate","10–25","15–35")) &amp; " 5-15 lines of EXECUTABLE base code with a main() entry point. Code outside // TODO MUST be 100% valid and readable. All code MUST be encapsulated within a class structure.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711</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standard dart pub tooling and pubspec.yaml file for external dependencies when applicable. | " &amp;</v>
      </c>
      <c r="E57" s="77" t="str">
        <f t="shared" si="1"/>
        <v>"[EXTERNAL_PACKAGE_PROTOCOL] Require standard dart pub tooling and pubspec.yaml file for external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Dart code (STRICT: Do NOT count comments or // TODO blocks). " &amp; IF(G9="Beginner","25–40", IF(G9="Intermediate","30–60","40–100")) &amp; " Class-based object architecture. Require at least 1 class with internal state management. Logica de integracion ubicada exclusivamente dentro de los bloques // TODO. | " &amp;</v>
      </c>
      <c r="E58" s="77" t="str">
        <f t="shared" si="1"/>
        <v>"[CHALLENGE_CONSTRAINTS_POLICY] MUST be between 25-40 lines of EXECUTABLE base Dart code (STRICT: Do NOT count comments or // TODO blocks). " &amp; IF(G9="Beginner","25–40", IF(G9="Intermediate","30–60","40–100")) &amp; " Class-based object architecture. Require at least 1 class with internal state management. Logica de integracion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714</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730</v>
      </c>
      <c r="D90" s="92" t="str">
        <f>Variables!E52 &amp; " " &amp; Variables!E53 &amp; " " &amp; Variables!E54 &amp; " " &amp; Variables!E55 &amp; " | " &amp; CHAR(34) &amp; " &amp;"</f>
        <v>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 &amp;</v>
      </c>
      <c r="E90" s="17" t="str">
        <f t="shared" si="2"/>
        <v>"[CORE_QUALITY_POLICY]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9"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v>
      </c>
      <c r="E10" s="77" t="str">
        <f t="shared" si="0"/>
        <v>"[ECOSYSTEM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711</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715</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 &amp;</v>
      </c>
      <c r="E91" s="17" t="str">
        <f t="shared" si="2"/>
        <v>"[PYTHON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3"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v>
      </c>
      <c r="E9" s="77" t="str">
        <f t="shared" si="0"/>
        <v>"[ECOSYSTEM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711</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v>
      </c>
      <c r="E54" s="77" t="str">
        <f t="shared" si="1"/>
        <v>"[ECOSYSTEM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716</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 &amp;</v>
      </c>
      <c r="E90" s="17" t="str">
        <f t="shared" si="2"/>
        <v>"[CODE_QUALITY_PROTOCOL]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2026-08-16T23:19:51Z</dcterms:modified>
</cp:coreProperties>
</file>