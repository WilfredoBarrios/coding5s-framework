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dart\"/>
    </mc:Choice>
  </mc:AlternateContent>
  <xr:revisionPtr revIDLastSave="0" documentId="13_ncr:1_{34B9584A-D9D2-47C1-AB83-4E515F15BB70}" xr6:coauthVersionLast="47" xr6:coauthVersionMax="47" xr10:uidLastSave="{00000000-0000-0000-0000-000000000000}"/>
  <workbookProtection workbookAlgorithmName="SHA-512" workbookHashValue="r0xfhGDZTukz56G4zB0h7xcDc/Wfk/tudEdMfAcxoDHN1rbSFyn5ks1e1ITYQm9WA6D0Iiembw85tFFFYLJXow==" workbookSaltValue="Uo9oj/Z0gESduOupvbKiIw==" workbookSpinCount="100000" lockStructure="1"/>
  <bookViews>
    <workbookView xWindow="30060" yWindow="1755" windowWidth="27540" windowHeight="13785" tabRatio="732" xr2:uid="{A9A38741-1811-4719-B778-C7D2DA3EDF0A}"/>
  </bookViews>
  <sheets>
    <sheet name="PromptGenerator" sheetId="1" r:id="rId1"/>
    <sheet name="HowToStudy" sheetId="25" r:id="rId2"/>
    <sheet name="Variables" sheetId="24" r:id="rId3"/>
    <sheet name="FGen_S1" sheetId="2" r:id="rId4"/>
    <sheet name="FGen_S2" sheetId="15" r:id="rId5"/>
    <sheet name="FGen_S3" sheetId="16" r:id="rId6"/>
    <sheet name="FGen_S4" sheetId="17" r:id="rId7"/>
    <sheet name="FGen_S5" sheetId="18" r:id="rId8"/>
    <sheet name="CellReference" sheetId="22" r:id="rId9"/>
    <sheet name="License" sheetId="19" r:id="rId10"/>
    <sheet name="HowTo" sheetId="2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K10" i="1" l="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9" i="1"/>
  <c r="AB10" i="1"/>
  <c r="AB11" i="1"/>
  <c r="AB12" i="1"/>
  <c r="AB13" i="1"/>
  <c r="AB14" i="1"/>
  <c r="AB15" i="1"/>
  <c r="AB16" i="1"/>
  <c r="AB17" i="1"/>
  <c r="AB18" i="1"/>
  <c r="AB19" i="1"/>
  <c r="AB20" i="1"/>
  <c r="AB21" i="1"/>
  <c r="AB22" i="1"/>
  <c r="AB23" i="1"/>
  <c r="AB24" i="1"/>
  <c r="AB25" i="1"/>
  <c r="AB26" i="1"/>
  <c r="AB27" i="1"/>
  <c r="AB28" i="1"/>
  <c r="AB29" i="1"/>
  <c r="AB30" i="1"/>
  <c r="AB31" i="1"/>
  <c r="AB32" i="1"/>
  <c r="Q32" i="1" s="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9" i="1"/>
  <c r="Q10" i="1"/>
  <c r="Q11" i="1"/>
  <c r="Q12" i="1"/>
  <c r="Q13" i="1"/>
  <c r="Q14" i="1"/>
  <c r="Q15" i="1"/>
  <c r="Q16" i="1"/>
  <c r="Q17" i="1"/>
  <c r="Q18" i="1"/>
  <c r="Q19" i="1"/>
  <c r="Q20" i="1"/>
  <c r="Q21" i="1"/>
  <c r="Q22" i="1"/>
  <c r="Q23" i="1"/>
  <c r="Q24" i="1"/>
  <c r="Q25" i="1"/>
  <c r="Q26" i="1"/>
  <c r="Q27" i="1"/>
  <c r="Q28" i="1"/>
  <c r="Q29" i="1"/>
  <c r="Q30" i="1"/>
  <c r="Q31"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9" i="1"/>
  <c r="E54" i="16"/>
  <c r="E55" i="16"/>
  <c r="E56" i="16"/>
  <c r="E59" i="16"/>
  <c r="E60" i="16"/>
  <c r="E61" i="16"/>
  <c r="E62" i="16"/>
  <c r="E63" i="16"/>
  <c r="E64" i="16"/>
  <c r="E65" i="16"/>
  <c r="E66" i="16"/>
  <c r="E67" i="16"/>
  <c r="E68" i="16"/>
  <c r="E69" i="16"/>
  <c r="E70" i="16"/>
  <c r="E71" i="16"/>
  <c r="E72" i="16"/>
  <c r="E73" i="16"/>
  <c r="E74" i="16"/>
  <c r="E75" i="16"/>
  <c r="E76" i="16"/>
  <c r="E53" i="16"/>
  <c r="D53" i="16"/>
  <c r="D9" i="2"/>
  <c r="D10" i="15"/>
  <c r="D10" i="16"/>
  <c r="D18" i="15"/>
  <c r="D17" i="15"/>
  <c r="D16" i="15"/>
  <c r="D19" i="15"/>
  <c r="D94" i="2"/>
  <c r="D93" i="2"/>
  <c r="D66" i="2"/>
  <c r="D67" i="2"/>
  <c r="D65" i="2"/>
  <c r="D59" i="2"/>
  <c r="D19" i="2"/>
  <c r="D20" i="2"/>
  <c r="D18" i="2"/>
  <c r="D14" i="2"/>
  <c r="E87" i="2"/>
  <c r="A5" i="15" l="1"/>
  <c r="A6" i="15"/>
  <c r="A7" i="15"/>
  <c r="A8" i="15"/>
  <c r="A9" i="15"/>
  <c r="A11" i="15"/>
  <c r="A12" i="15"/>
  <c r="A13" i="15"/>
  <c r="A14" i="15"/>
  <c r="A15" i="15"/>
  <c r="A20" i="15"/>
  <c r="A21" i="15"/>
  <c r="A22" i="15"/>
  <c r="A23" i="15"/>
  <c r="A24" i="15"/>
  <c r="A25" i="15"/>
  <c r="A26" i="15"/>
  <c r="A27" i="15"/>
  <c r="A28" i="15"/>
  <c r="A29" i="15"/>
  <c r="A30" i="15"/>
  <c r="A31" i="15"/>
  <c r="A32" i="15"/>
  <c r="A33" i="15"/>
  <c r="A34" i="15"/>
  <c r="A35" i="15"/>
  <c r="A36" i="15"/>
  <c r="A37" i="15"/>
  <c r="A38" i="15"/>
  <c r="A39" i="15"/>
  <c r="A40" i="15"/>
  <c r="A41" i="15"/>
  <c r="A42" i="15"/>
  <c r="A4" i="15"/>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9" i="1"/>
  <c r="B10" i="1" s="1"/>
  <c r="B11" i="1" s="1"/>
  <c r="B12" i="1" s="1"/>
  <c r="B13" i="1" s="1"/>
  <c r="B14" i="1" s="1"/>
  <c r="B15" i="1" s="1"/>
  <c r="B16" i="1" s="1"/>
  <c r="A5" i="2"/>
  <c r="A6" i="2"/>
  <c r="A7" i="2"/>
  <c r="A8" i="2"/>
  <c r="A10" i="2"/>
  <c r="A11" i="2"/>
  <c r="A12" i="2"/>
  <c r="A13" i="2"/>
  <c r="A15" i="2"/>
  <c r="A16" i="2"/>
  <c r="A17"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4" i="2"/>
  <c r="A14" i="2"/>
  <c r="B17" i="1" l="1"/>
  <c r="B18" i="1" s="1"/>
  <c r="B19" i="1" s="1"/>
  <c r="B20" i="1" s="1"/>
  <c r="B21" i="1" s="1"/>
  <c r="B22" i="1" s="1"/>
  <c r="B23" i="1" s="1"/>
  <c r="B24" i="1" s="1"/>
  <c r="D90" i="18"/>
  <c r="D91" i="17"/>
  <c r="A19" i="15"/>
  <c r="A18" i="15"/>
  <c r="A17" i="15"/>
  <c r="A16" i="15"/>
  <c r="D59" i="15"/>
  <c r="D90" i="15"/>
  <c r="D17" i="16"/>
  <c r="D16" i="16"/>
  <c r="D15" i="16"/>
  <c r="D58" i="16"/>
  <c r="E58" i="16" s="1"/>
  <c r="D57" i="16"/>
  <c r="E57" i="16" s="1"/>
  <c r="D90" i="16"/>
  <c r="D2" i="24"/>
  <c r="A21" i="2"/>
  <c r="A20" i="2"/>
  <c r="A19" i="2"/>
  <c r="A18" i="2"/>
  <c r="D1" i="24"/>
  <c r="B25" i="1" l="1"/>
  <c r="B26" i="1" s="1"/>
  <c r="B27" i="1" s="1"/>
  <c r="B28" i="1" s="1"/>
  <c r="B29" i="1" s="1"/>
  <c r="B30" i="1" s="1"/>
  <c r="B31" i="1" s="1"/>
  <c r="B32" i="1" s="1"/>
  <c r="A9" i="2"/>
  <c r="D10" i="17"/>
  <c r="D54" i="17"/>
  <c r="D54" i="18"/>
  <c r="D9" i="18"/>
  <c r="A10" i="15"/>
  <c r="B33" i="1" l="1"/>
  <c r="B34" i="1" s="1"/>
  <c r="B35" i="1" s="1"/>
  <c r="B36" i="1" s="1"/>
  <c r="B37" i="1" s="1"/>
  <c r="B38" i="1" s="1"/>
  <c r="B39" i="1" s="1"/>
  <c r="B40" i="1" s="1"/>
  <c r="E96" i="17"/>
  <c r="E96" i="15"/>
  <c r="E40" i="18"/>
  <c r="E41" i="18"/>
  <c r="E100" i="18"/>
  <c r="E99" i="18"/>
  <c r="E98" i="18"/>
  <c r="E97" i="18"/>
  <c r="E95" i="18"/>
  <c r="E94" i="18"/>
  <c r="E93" i="18"/>
  <c r="E92" i="18"/>
  <c r="E91" i="18"/>
  <c r="E90" i="18"/>
  <c r="E89" i="18"/>
  <c r="E88" i="18"/>
  <c r="E87" i="18"/>
  <c r="E86" i="18"/>
  <c r="E85" i="18"/>
  <c r="E84" i="18"/>
  <c r="E83" i="18"/>
  <c r="E82" i="18"/>
  <c r="E81" i="18"/>
  <c r="E76" i="18"/>
  <c r="E75" i="18"/>
  <c r="E74" i="18"/>
  <c r="E73" i="18"/>
  <c r="E72" i="18"/>
  <c r="E71" i="18"/>
  <c r="E70" i="18"/>
  <c r="E69" i="18"/>
  <c r="E68" i="18"/>
  <c r="E67" i="18"/>
  <c r="E66" i="18"/>
  <c r="E65" i="18"/>
  <c r="E64" i="18"/>
  <c r="E63" i="18"/>
  <c r="E62" i="18"/>
  <c r="E61" i="18"/>
  <c r="E60" i="18"/>
  <c r="E59" i="18"/>
  <c r="E58" i="18"/>
  <c r="E57" i="18"/>
  <c r="E56" i="18"/>
  <c r="E55" i="18"/>
  <c r="E54" i="18"/>
  <c r="E53" i="18"/>
  <c r="E52" i="18"/>
  <c r="E51" i="18"/>
  <c r="E50" i="18"/>
  <c r="E49" i="18"/>
  <c r="E48" i="18"/>
  <c r="E47" i="18"/>
  <c r="E39" i="18"/>
  <c r="E38" i="18"/>
  <c r="E37" i="18"/>
  <c r="E36" i="18"/>
  <c r="E34" i="18"/>
  <c r="E33" i="18"/>
  <c r="E32" i="18"/>
  <c r="E31" i="18"/>
  <c r="E30" i="18"/>
  <c r="E29" i="18"/>
  <c r="E28" i="18"/>
  <c r="E27" i="18"/>
  <c r="E26" i="18"/>
  <c r="E25" i="18"/>
  <c r="E24" i="18"/>
  <c r="E23" i="18"/>
  <c r="E22" i="18"/>
  <c r="E21" i="18"/>
  <c r="E20" i="18"/>
  <c r="E19" i="18"/>
  <c r="E18" i="18"/>
  <c r="E17" i="18"/>
  <c r="E16" i="18"/>
  <c r="E15" i="18"/>
  <c r="E14" i="18"/>
  <c r="E13" i="18"/>
  <c r="E12" i="18"/>
  <c r="E11" i="18"/>
  <c r="E10" i="18"/>
  <c r="E9" i="18"/>
  <c r="E8" i="18"/>
  <c r="E7" i="18"/>
  <c r="E6" i="18"/>
  <c r="E5" i="18"/>
  <c r="E4" i="18"/>
  <c r="E37" i="17"/>
  <c r="E38" i="17"/>
  <c r="E39" i="17"/>
  <c r="E100" i="17"/>
  <c r="E99" i="17"/>
  <c r="E98" i="17"/>
  <c r="E95" i="17"/>
  <c r="E94" i="17"/>
  <c r="E93" i="17"/>
  <c r="E92" i="17"/>
  <c r="E91" i="17"/>
  <c r="E90" i="17"/>
  <c r="E89" i="17"/>
  <c r="E88" i="17"/>
  <c r="E87" i="17"/>
  <c r="E86" i="17"/>
  <c r="E85" i="17"/>
  <c r="E84" i="17"/>
  <c r="E83" i="17"/>
  <c r="E82" i="17"/>
  <c r="E81" i="17"/>
  <c r="E76" i="17"/>
  <c r="E75" i="17"/>
  <c r="E74" i="17"/>
  <c r="E73" i="17"/>
  <c r="E72" i="17"/>
  <c r="E71" i="17"/>
  <c r="E70" i="17"/>
  <c r="E69" i="17"/>
  <c r="E68" i="17"/>
  <c r="E67" i="17"/>
  <c r="E66" i="17"/>
  <c r="E65" i="17"/>
  <c r="E64" i="17"/>
  <c r="E63" i="17"/>
  <c r="E62" i="17"/>
  <c r="E61" i="17"/>
  <c r="E60" i="17"/>
  <c r="E59" i="17"/>
  <c r="E58" i="17"/>
  <c r="E57" i="17"/>
  <c r="E56" i="17"/>
  <c r="E55" i="17"/>
  <c r="E53" i="17"/>
  <c r="E52" i="17"/>
  <c r="E51" i="17"/>
  <c r="E50" i="17"/>
  <c r="E49" i="17"/>
  <c r="E48" i="17"/>
  <c r="E47" i="17"/>
  <c r="E46" i="17"/>
  <c r="E36"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E9" i="17"/>
  <c r="E8" i="17"/>
  <c r="E7" i="17"/>
  <c r="E6" i="17"/>
  <c r="E5" i="17"/>
  <c r="E4" i="17"/>
  <c r="E82" i="16"/>
  <c r="E83" i="16"/>
  <c r="E84" i="16"/>
  <c r="E85" i="16"/>
  <c r="E86" i="16"/>
  <c r="E87" i="16"/>
  <c r="E88" i="16"/>
  <c r="E89" i="16"/>
  <c r="E90" i="16"/>
  <c r="E91" i="16"/>
  <c r="E92" i="16"/>
  <c r="E93" i="16"/>
  <c r="E94" i="16"/>
  <c r="E95" i="16"/>
  <c r="E57" i="15"/>
  <c r="E58" i="15"/>
  <c r="E59" i="15"/>
  <c r="E60" i="15"/>
  <c r="E61" i="15"/>
  <c r="E62" i="15"/>
  <c r="E63" i="15"/>
  <c r="E64" i="15"/>
  <c r="E65" i="15"/>
  <c r="E66" i="15"/>
  <c r="E67" i="15"/>
  <c r="E68" i="15"/>
  <c r="E69" i="15"/>
  <c r="E70" i="15"/>
  <c r="E71" i="15"/>
  <c r="E72" i="15"/>
  <c r="E73" i="15"/>
  <c r="E48" i="16"/>
  <c r="E49" i="16"/>
  <c r="E50" i="16"/>
  <c r="E51" i="16"/>
  <c r="E52" i="16"/>
  <c r="E100" i="16"/>
  <c r="E99" i="16"/>
  <c r="E98" i="16"/>
  <c r="E97" i="16"/>
  <c r="E81" i="16"/>
  <c r="E47"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81" i="15"/>
  <c r="E82" i="15"/>
  <c r="E83" i="15"/>
  <c r="E84" i="15"/>
  <c r="E85" i="15"/>
  <c r="E86" i="15"/>
  <c r="E87" i="15"/>
  <c r="E88" i="15"/>
  <c r="E89" i="15"/>
  <c r="E90" i="15"/>
  <c r="E91" i="15"/>
  <c r="E92" i="15"/>
  <c r="E93" i="15"/>
  <c r="E94" i="15"/>
  <c r="E95" i="15"/>
  <c r="E100" i="15"/>
  <c r="E99" i="15"/>
  <c r="E98" i="15"/>
  <c r="E76" i="15"/>
  <c r="E75" i="15"/>
  <c r="E74" i="15"/>
  <c r="E56" i="15"/>
  <c r="E55" i="15"/>
  <c r="E54" i="15"/>
  <c r="E53" i="15"/>
  <c r="E52" i="15"/>
  <c r="E51" i="15"/>
  <c r="E50" i="15"/>
  <c r="E49" i="15"/>
  <c r="E48" i="15"/>
  <c r="E47"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5" i="2"/>
  <c r="E56" i="2"/>
  <c r="E57" i="2"/>
  <c r="E58" i="2"/>
  <c r="E60" i="2"/>
  <c r="E61" i="2"/>
  <c r="E62" i="2"/>
  <c r="E63" i="2"/>
  <c r="E91" i="2"/>
  <c r="E92" i="2"/>
  <c r="E64" i="2"/>
  <c r="E68" i="2"/>
  <c r="E69" i="2"/>
  <c r="E70" i="2"/>
  <c r="E65" i="2"/>
  <c r="E66" i="2"/>
  <c r="E67" i="2"/>
  <c r="E71" i="2"/>
  <c r="E72" i="2"/>
  <c r="E73" i="2"/>
  <c r="E74" i="2"/>
  <c r="E75" i="2"/>
  <c r="E76" i="2"/>
  <c r="E77" i="2"/>
  <c r="E78" i="2"/>
  <c r="E79" i="2"/>
  <c r="E50" i="2"/>
  <c r="E84" i="2"/>
  <c r="E85" i="2"/>
  <c r="E86" i="2"/>
  <c r="E97" i="2"/>
  <c r="E88" i="2"/>
  <c r="E89" i="2"/>
  <c r="E95" i="2"/>
  <c r="E96" i="2"/>
  <c r="E98" i="2"/>
  <c r="E99" i="2"/>
  <c r="E100" i="2"/>
  <c r="E101" i="2"/>
  <c r="E102" i="2"/>
  <c r="E93" i="2"/>
  <c r="E94" i="2"/>
  <c r="E103" i="2"/>
  <c r="E104" i="2"/>
  <c r="E90" i="2"/>
  <c r="B41" i="1" l="1"/>
  <c r="B42" i="1" s="1"/>
  <c r="B43" i="1" s="1"/>
  <c r="B44" i="1" s="1"/>
  <c r="B45" i="1" s="1"/>
  <c r="B46" i="1" s="1"/>
  <c r="B47" i="1" s="1"/>
  <c r="B48" i="1" s="1"/>
  <c r="C3" i="1"/>
  <c r="AH200" i="1"/>
  <c r="A200" i="1" a="1"/>
  <c r="A200" i="1" s="1"/>
  <c r="AH199" i="1"/>
  <c r="A199" i="1" a="1"/>
  <c r="A199" i="1" s="1"/>
  <c r="AH198" i="1"/>
  <c r="A198" i="1" a="1"/>
  <c r="A198" i="1" s="1"/>
  <c r="AH197" i="1"/>
  <c r="A197" i="1" a="1"/>
  <c r="A197" i="1" s="1"/>
  <c r="AH196" i="1"/>
  <c r="A196" i="1" a="1"/>
  <c r="A196" i="1" s="1"/>
  <c r="AH195" i="1"/>
  <c r="A195" i="1" a="1"/>
  <c r="A195" i="1" s="1"/>
  <c r="AH194" i="1"/>
  <c r="A194" i="1" a="1"/>
  <c r="A194" i="1" s="1"/>
  <c r="AH193" i="1"/>
  <c r="A193" i="1" a="1"/>
  <c r="A193" i="1" s="1"/>
  <c r="AH192" i="1"/>
  <c r="A192" i="1" a="1"/>
  <c r="A192" i="1" s="1"/>
  <c r="AH191" i="1"/>
  <c r="A191" i="1" a="1"/>
  <c r="A191" i="1" s="1"/>
  <c r="AH190" i="1"/>
  <c r="A190" i="1" a="1"/>
  <c r="A190" i="1" s="1"/>
  <c r="AH189" i="1"/>
  <c r="A189" i="1" a="1"/>
  <c r="A189" i="1" s="1"/>
  <c r="AH188" i="1"/>
  <c r="A188" i="1" a="1"/>
  <c r="A188" i="1" s="1"/>
  <c r="AH187" i="1"/>
  <c r="A187" i="1" a="1"/>
  <c r="A187" i="1" s="1"/>
  <c r="AH186" i="1"/>
  <c r="A186" i="1" a="1"/>
  <c r="A186" i="1" s="1"/>
  <c r="AH185" i="1"/>
  <c r="A185" i="1" a="1"/>
  <c r="A185" i="1" s="1"/>
  <c r="AH184" i="1"/>
  <c r="A184" i="1" a="1"/>
  <c r="A184" i="1" s="1"/>
  <c r="AH183" i="1"/>
  <c r="A183" i="1" a="1"/>
  <c r="A183" i="1" s="1"/>
  <c r="AH182" i="1"/>
  <c r="A182" i="1" a="1"/>
  <c r="A182" i="1" s="1"/>
  <c r="AH181" i="1"/>
  <c r="A181" i="1" a="1"/>
  <c r="A181" i="1" s="1"/>
  <c r="AH180" i="1"/>
  <c r="A180" i="1" a="1"/>
  <c r="A180" i="1" s="1"/>
  <c r="AH179" i="1"/>
  <c r="A179" i="1" a="1"/>
  <c r="A179" i="1" s="1"/>
  <c r="AH178" i="1"/>
  <c r="A178" i="1" a="1"/>
  <c r="A178" i="1" s="1"/>
  <c r="AH177" i="1"/>
  <c r="A177" i="1" a="1"/>
  <c r="A177" i="1" s="1"/>
  <c r="AH176" i="1"/>
  <c r="A176" i="1" a="1"/>
  <c r="A176" i="1" s="1"/>
  <c r="AH175" i="1"/>
  <c r="A175" i="1" a="1"/>
  <c r="A175" i="1" s="1"/>
  <c r="AH174" i="1"/>
  <c r="A174" i="1" a="1"/>
  <c r="A174" i="1" s="1"/>
  <c r="AH173" i="1"/>
  <c r="A173" i="1" a="1"/>
  <c r="A173" i="1" s="1"/>
  <c r="AH172" i="1"/>
  <c r="A172" i="1" a="1"/>
  <c r="A172" i="1" s="1"/>
  <c r="AH171" i="1"/>
  <c r="A171" i="1" a="1"/>
  <c r="A171" i="1" s="1"/>
  <c r="AH170" i="1"/>
  <c r="A170" i="1" a="1"/>
  <c r="A170" i="1" s="1"/>
  <c r="AH169" i="1"/>
  <c r="A169" i="1" a="1"/>
  <c r="A169" i="1" s="1"/>
  <c r="AH168" i="1"/>
  <c r="A168" i="1" a="1"/>
  <c r="A168" i="1" s="1"/>
  <c r="AH167" i="1"/>
  <c r="A167" i="1" a="1"/>
  <c r="A167" i="1" s="1"/>
  <c r="AH166" i="1"/>
  <c r="A166" i="1" a="1"/>
  <c r="A166" i="1" s="1"/>
  <c r="AH165" i="1"/>
  <c r="A165" i="1" a="1"/>
  <c r="A165" i="1" s="1"/>
  <c r="AH164" i="1"/>
  <c r="A164" i="1" a="1"/>
  <c r="A164" i="1" s="1"/>
  <c r="AH163" i="1"/>
  <c r="A163" i="1" a="1"/>
  <c r="A163" i="1" s="1"/>
  <c r="AH162" i="1"/>
  <c r="A162" i="1" a="1"/>
  <c r="A162" i="1" s="1"/>
  <c r="AH161" i="1"/>
  <c r="A161" i="1" a="1"/>
  <c r="A161" i="1" s="1"/>
  <c r="AH160" i="1"/>
  <c r="A160" i="1" a="1"/>
  <c r="A160" i="1" s="1"/>
  <c r="AH159" i="1"/>
  <c r="A159" i="1" a="1"/>
  <c r="A159" i="1" s="1"/>
  <c r="AH158" i="1"/>
  <c r="A158" i="1" a="1"/>
  <c r="A158" i="1" s="1"/>
  <c r="AH157" i="1"/>
  <c r="A157" i="1" a="1"/>
  <c r="A157" i="1" s="1"/>
  <c r="AH156" i="1"/>
  <c r="A156" i="1" a="1"/>
  <c r="A156" i="1" s="1"/>
  <c r="AH155" i="1"/>
  <c r="A155" i="1" a="1"/>
  <c r="A155" i="1" s="1"/>
  <c r="AH154" i="1"/>
  <c r="A154" i="1" a="1"/>
  <c r="A154" i="1" s="1"/>
  <c r="AH153" i="1"/>
  <c r="A153" i="1" a="1"/>
  <c r="A153" i="1" s="1"/>
  <c r="AH152" i="1"/>
  <c r="A152" i="1" a="1"/>
  <c r="A152" i="1" s="1"/>
  <c r="AH151" i="1"/>
  <c r="A151" i="1" a="1"/>
  <c r="A151" i="1" s="1"/>
  <c r="AH150" i="1"/>
  <c r="A150" i="1" a="1"/>
  <c r="A150" i="1" s="1"/>
  <c r="AH149" i="1"/>
  <c r="A149" i="1" a="1"/>
  <c r="A149" i="1" s="1"/>
  <c r="AH148" i="1"/>
  <c r="A148" i="1" a="1"/>
  <c r="A148" i="1" s="1"/>
  <c r="AH147" i="1"/>
  <c r="A147" i="1" a="1"/>
  <c r="A147" i="1" s="1"/>
  <c r="AH146" i="1"/>
  <c r="A146" i="1" a="1"/>
  <c r="A146" i="1" s="1"/>
  <c r="AH145" i="1"/>
  <c r="A145" i="1" a="1"/>
  <c r="A145" i="1" s="1"/>
  <c r="AH144" i="1"/>
  <c r="A144" i="1" a="1"/>
  <c r="A144" i="1" s="1"/>
  <c r="AH143" i="1"/>
  <c r="A143" i="1" a="1"/>
  <c r="A143" i="1" s="1"/>
  <c r="AH142" i="1"/>
  <c r="A142" i="1" a="1"/>
  <c r="A142" i="1" s="1"/>
  <c r="AH141" i="1"/>
  <c r="A141" i="1" a="1"/>
  <c r="A141" i="1" s="1"/>
  <c r="AH140" i="1"/>
  <c r="A140" i="1" a="1"/>
  <c r="A140" i="1" s="1"/>
  <c r="AH139" i="1"/>
  <c r="A139" i="1" a="1"/>
  <c r="A139" i="1" s="1"/>
  <c r="AH138" i="1"/>
  <c r="A138" i="1" a="1"/>
  <c r="A138" i="1" s="1"/>
  <c r="AH137" i="1"/>
  <c r="A137" i="1" a="1"/>
  <c r="A137" i="1" s="1"/>
  <c r="AH136" i="1"/>
  <c r="A136" i="1" a="1"/>
  <c r="A136" i="1" s="1"/>
  <c r="AH135" i="1"/>
  <c r="A135" i="1" a="1"/>
  <c r="A135" i="1" s="1"/>
  <c r="AH134" i="1"/>
  <c r="A134" i="1" a="1"/>
  <c r="A134" i="1" s="1"/>
  <c r="AH133" i="1"/>
  <c r="A133" i="1" a="1"/>
  <c r="A133" i="1" s="1"/>
  <c r="AH132" i="1"/>
  <c r="A132" i="1" a="1"/>
  <c r="A132" i="1" s="1"/>
  <c r="AH131" i="1"/>
  <c r="A131" i="1" a="1"/>
  <c r="A131" i="1" s="1"/>
  <c r="AH130" i="1"/>
  <c r="A130" i="1" a="1"/>
  <c r="A130" i="1" s="1"/>
  <c r="AH129" i="1"/>
  <c r="A129" i="1" a="1"/>
  <c r="A129" i="1" s="1"/>
  <c r="AH128" i="1"/>
  <c r="A128" i="1" a="1"/>
  <c r="A128" i="1" s="1"/>
  <c r="AH127" i="1"/>
  <c r="A127" i="1" a="1"/>
  <c r="A127" i="1" s="1"/>
  <c r="AH126" i="1"/>
  <c r="A126" i="1" a="1"/>
  <c r="A126" i="1" s="1"/>
  <c r="AH125" i="1"/>
  <c r="A125" i="1" a="1"/>
  <c r="A125" i="1" s="1"/>
  <c r="AH124" i="1"/>
  <c r="A124" i="1" a="1"/>
  <c r="A124" i="1" s="1"/>
  <c r="AH123" i="1"/>
  <c r="A123" i="1" a="1"/>
  <c r="A123" i="1" s="1"/>
  <c r="AH122" i="1"/>
  <c r="A122" i="1" a="1"/>
  <c r="A122" i="1" s="1"/>
  <c r="AH121" i="1"/>
  <c r="A121" i="1" a="1"/>
  <c r="A121" i="1" s="1"/>
  <c r="AH120" i="1"/>
  <c r="AH119" i="1"/>
  <c r="A119" i="1" a="1"/>
  <c r="A119" i="1" s="1"/>
  <c r="AH118" i="1"/>
  <c r="A118" i="1" a="1"/>
  <c r="A118" i="1" s="1"/>
  <c r="AH117" i="1"/>
  <c r="AH116" i="1"/>
  <c r="AH115" i="1"/>
  <c r="A115" i="1" a="1"/>
  <c r="A115" i="1" s="1"/>
  <c r="AH114" i="1"/>
  <c r="AH113" i="1"/>
  <c r="AH112" i="1"/>
  <c r="AH111" i="1"/>
  <c r="A111" i="1" a="1"/>
  <c r="A111" i="1" s="1"/>
  <c r="AH110" i="1"/>
  <c r="A110" i="1" a="1"/>
  <c r="A110" i="1" s="1"/>
  <c r="AH109" i="1"/>
  <c r="A109" i="1" a="1"/>
  <c r="A109" i="1" s="1"/>
  <c r="AH108" i="1"/>
  <c r="A108" i="1" a="1"/>
  <c r="A108" i="1" s="1"/>
  <c r="AH107" i="1"/>
  <c r="A107" i="1" a="1"/>
  <c r="A107" i="1" s="1"/>
  <c r="AH106" i="1"/>
  <c r="AH105" i="1"/>
  <c r="AH104" i="1"/>
  <c r="A104" i="1" a="1"/>
  <c r="A104" i="1" s="1"/>
  <c r="AH103" i="1"/>
  <c r="A103" i="1" a="1"/>
  <c r="A103" i="1" s="1"/>
  <c r="AH102" i="1"/>
  <c r="A102" i="1" a="1"/>
  <c r="A102" i="1" s="1"/>
  <c r="AH101" i="1"/>
  <c r="A101" i="1" a="1"/>
  <c r="A101" i="1" s="1"/>
  <c r="AH100" i="1"/>
  <c r="A100" i="1" a="1"/>
  <c r="A100" i="1" s="1"/>
  <c r="AH99" i="1"/>
  <c r="A99" i="1" a="1"/>
  <c r="A99" i="1" s="1"/>
  <c r="AH98" i="1"/>
  <c r="AH97" i="1"/>
  <c r="AH96" i="1"/>
  <c r="AH95" i="1"/>
  <c r="A95" i="1" a="1"/>
  <c r="A95" i="1" s="1"/>
  <c r="AH94" i="1"/>
  <c r="A94" i="1" a="1"/>
  <c r="A94" i="1" s="1"/>
  <c r="AH93" i="1"/>
  <c r="A93" i="1" a="1"/>
  <c r="A93" i="1" s="1"/>
  <c r="AH92" i="1"/>
  <c r="A92" i="1" a="1"/>
  <c r="A92" i="1" s="1"/>
  <c r="AH91" i="1"/>
  <c r="AH90" i="1"/>
  <c r="A90" i="1" a="1"/>
  <c r="A90" i="1" s="1"/>
  <c r="AH89" i="1"/>
  <c r="AH88" i="1"/>
  <c r="AH87" i="1"/>
  <c r="A87" i="1" a="1"/>
  <c r="A87" i="1" s="1"/>
  <c r="AH86" i="1"/>
  <c r="A86" i="1" a="1"/>
  <c r="A86" i="1" s="1"/>
  <c r="AH85" i="1"/>
  <c r="AH84" i="1"/>
  <c r="A84" i="1" a="1"/>
  <c r="A84" i="1" s="1"/>
  <c r="AH83" i="1"/>
  <c r="AH82" i="1"/>
  <c r="A82" i="1" a="1"/>
  <c r="A82" i="1" s="1"/>
  <c r="AH81" i="1"/>
  <c r="AH80" i="1"/>
  <c r="AH79" i="1"/>
  <c r="A79" i="1" a="1"/>
  <c r="A79" i="1" s="1"/>
  <c r="AH78" i="1"/>
  <c r="A78" i="1" a="1"/>
  <c r="A78" i="1" s="1"/>
  <c r="AH77" i="1"/>
  <c r="A77" i="1" a="1"/>
  <c r="A77" i="1" s="1"/>
  <c r="AH76" i="1"/>
  <c r="AH75" i="1"/>
  <c r="A75" i="1" a="1"/>
  <c r="A75" i="1" s="1"/>
  <c r="AH74" i="1"/>
  <c r="A74" i="1" a="1"/>
  <c r="A74" i="1" s="1"/>
  <c r="AH73" i="1"/>
  <c r="AH72" i="1"/>
  <c r="AH71" i="1"/>
  <c r="A71" i="1" a="1"/>
  <c r="A71" i="1" s="1"/>
  <c r="AH70" i="1"/>
  <c r="A70" i="1" a="1"/>
  <c r="A70" i="1" s="1"/>
  <c r="AH69" i="1"/>
  <c r="AH68" i="1"/>
  <c r="A68" i="1" a="1"/>
  <c r="A68" i="1" s="1"/>
  <c r="AH67" i="1"/>
  <c r="A67" i="1" a="1"/>
  <c r="A67" i="1" s="1"/>
  <c r="AH66" i="1"/>
  <c r="AH65" i="1"/>
  <c r="AH64" i="1"/>
  <c r="AH63" i="1"/>
  <c r="A63" i="1" a="1"/>
  <c r="A63" i="1" s="1"/>
  <c r="AH62" i="1"/>
  <c r="A62" i="1" a="1"/>
  <c r="A62" i="1" s="1"/>
  <c r="AH61" i="1"/>
  <c r="AH60" i="1"/>
  <c r="A60" i="1" a="1"/>
  <c r="A60" i="1" s="1"/>
  <c r="AH59" i="1"/>
  <c r="A59" i="1" a="1"/>
  <c r="A59" i="1" s="1"/>
  <c r="AH58" i="1"/>
  <c r="A58" i="1" a="1"/>
  <c r="A58" i="1" s="1"/>
  <c r="AH57" i="1"/>
  <c r="AH56" i="1"/>
  <c r="AH55" i="1"/>
  <c r="AH54" i="1"/>
  <c r="A54" i="1" a="1"/>
  <c r="A54" i="1" s="1"/>
  <c r="AH53" i="1"/>
  <c r="AH52" i="1"/>
  <c r="A52" i="1" a="1"/>
  <c r="A52" i="1" s="1"/>
  <c r="AH51" i="1"/>
  <c r="A51" i="1" a="1"/>
  <c r="A51" i="1" s="1"/>
  <c r="AH50" i="1"/>
  <c r="AH49" i="1"/>
  <c r="AH48" i="1"/>
  <c r="AH47" i="1"/>
  <c r="AH46" i="1"/>
  <c r="AH45" i="1"/>
  <c r="A45" i="1" a="1"/>
  <c r="A45" i="1" s="1"/>
  <c r="AH44" i="1"/>
  <c r="A44" i="1" a="1"/>
  <c r="A44" i="1" s="1"/>
  <c r="AH43" i="1"/>
  <c r="A43" i="1" a="1"/>
  <c r="A43" i="1" s="1"/>
  <c r="AH42" i="1"/>
  <c r="AH41" i="1"/>
  <c r="AH40" i="1"/>
  <c r="AH39" i="1"/>
  <c r="A39" i="1" a="1"/>
  <c r="A39" i="1" s="1"/>
  <c r="AH38" i="1"/>
  <c r="A38" i="1" a="1"/>
  <c r="A38" i="1" s="1"/>
  <c r="AH37" i="1"/>
  <c r="A37" i="1" a="1"/>
  <c r="A37" i="1" s="1"/>
  <c r="AH36" i="1"/>
  <c r="AH35" i="1"/>
  <c r="AH34" i="1"/>
  <c r="AH33" i="1"/>
  <c r="AH32" i="1"/>
  <c r="AH31" i="1"/>
  <c r="A31" i="1" a="1"/>
  <c r="A31" i="1" s="1"/>
  <c r="AH30" i="1"/>
  <c r="A30" i="1" a="1"/>
  <c r="A30" i="1" s="1"/>
  <c r="AH29" i="1"/>
  <c r="A29" i="1" a="1"/>
  <c r="A29" i="1" s="1"/>
  <c r="AH28" i="1"/>
  <c r="A28" i="1" a="1"/>
  <c r="A28" i="1" s="1"/>
  <c r="AH27" i="1"/>
  <c r="AH26" i="1"/>
  <c r="AH25" i="1"/>
  <c r="AH24" i="1"/>
  <c r="AH23" i="1"/>
  <c r="A23" i="1" a="1"/>
  <c r="A23" i="1" s="1"/>
  <c r="AH22" i="1"/>
  <c r="A22" i="1" a="1"/>
  <c r="A22" i="1" s="1"/>
  <c r="AH21" i="1"/>
  <c r="A21" i="1" a="1"/>
  <c r="A21" i="1" s="1"/>
  <c r="AH20" i="1"/>
  <c r="AH19" i="1"/>
  <c r="A19" i="1" a="1"/>
  <c r="A19" i="1" s="1"/>
  <c r="AH18" i="1"/>
  <c r="A18" i="1" a="1"/>
  <c r="A18" i="1" s="1"/>
  <c r="AH17" i="1"/>
  <c r="AH16" i="1"/>
  <c r="AH15" i="1"/>
  <c r="A15" i="1" a="1"/>
  <c r="A15" i="1" s="1"/>
  <c r="AH14" i="1"/>
  <c r="AH13" i="1"/>
  <c r="A13" i="1" a="1"/>
  <c r="A13" i="1" s="1"/>
  <c r="AH12" i="1"/>
  <c r="A12" i="1" a="1"/>
  <c r="A12" i="1" s="1"/>
  <c r="AH11" i="1"/>
  <c r="A11" i="1" a="1"/>
  <c r="A11" i="1" s="1"/>
  <c r="AH10" i="1"/>
  <c r="A10" i="1" a="1"/>
  <c r="A10" i="1" s="1"/>
  <c r="AH9" i="1"/>
  <c r="A9" i="1" a="1"/>
  <c r="A9" i="1" s="1"/>
  <c r="E6" i="1" a="1"/>
  <c r="E6" i="1" s="1"/>
  <c r="C6" i="1"/>
  <c r="E4" i="1"/>
  <c r="E3" i="1" s="1"/>
  <c r="E2" i="1"/>
  <c r="B49" i="1" l="1"/>
  <c r="AE7" i="1"/>
  <c r="L1" i="1" l="1"/>
  <c r="B50" i="1"/>
  <c r="B51" i="1" s="1"/>
  <c r="B52" i="1" s="1"/>
  <c r="B53" i="1" s="1"/>
  <c r="B54" i="1" s="1"/>
  <c r="B55" i="1" s="1"/>
  <c r="B56" i="1" s="1"/>
  <c r="B57" i="1" l="1"/>
  <c r="B58" i="1" s="1"/>
  <c r="B59" i="1" s="1"/>
  <c r="B60" i="1" s="1"/>
  <c r="B61" i="1" s="1"/>
  <c r="B62" i="1" s="1"/>
  <c r="B63" i="1" s="1"/>
  <c r="B64" i="1" s="1"/>
  <c r="A17" i="1" a="1"/>
  <c r="A17" i="1" s="1"/>
  <c r="A35" i="1" a="1"/>
  <c r="A35" i="1" s="1"/>
  <c r="A26" i="1" a="1"/>
  <c r="A26" i="1" s="1"/>
  <c r="A36" i="1" a="1"/>
  <c r="A36" i="1" s="1"/>
  <c r="A34" i="1" a="1"/>
  <c r="A34" i="1" s="1"/>
  <c r="A25" i="1" a="1"/>
  <c r="A25" i="1" s="1"/>
  <c r="A50" i="1" a="1"/>
  <c r="A50" i="1" s="1"/>
  <c r="A42" i="1" a="1"/>
  <c r="A42" i="1" s="1"/>
  <c r="A47" i="1" a="1"/>
  <c r="A47" i="1" s="1"/>
  <c r="A55" i="1" a="1"/>
  <c r="A55" i="1" s="1"/>
  <c r="A66" i="1" a="1"/>
  <c r="A66" i="1" s="1"/>
  <c r="A85" i="1" a="1"/>
  <c r="A85" i="1" s="1"/>
  <c r="A14" i="1" a="1"/>
  <c r="A14" i="1" s="1"/>
  <c r="A20" i="1" a="1"/>
  <c r="A20" i="1" s="1"/>
  <c r="A27" i="1" a="1"/>
  <c r="A27" i="1" s="1"/>
  <c r="A46" i="1" a="1"/>
  <c r="A46" i="1" s="1"/>
  <c r="A53" i="1" a="1"/>
  <c r="A53" i="1" s="1"/>
  <c r="A69" i="1" a="1"/>
  <c r="A69" i="1" s="1"/>
  <c r="A61" i="1" a="1"/>
  <c r="A61" i="1" s="1"/>
  <c r="A83" i="1" a="1"/>
  <c r="A83" i="1" s="1"/>
  <c r="A76" i="1" a="1"/>
  <c r="A76" i="1" s="1"/>
  <c r="A91" i="1" a="1"/>
  <c r="A91" i="1" s="1"/>
  <c r="A98" i="1" a="1"/>
  <c r="A98" i="1" s="1"/>
  <c r="A120" i="1" a="1"/>
  <c r="A120" i="1" s="1"/>
  <c r="A112" i="1" a="1"/>
  <c r="A112" i="1" s="1"/>
  <c r="B65" i="1" l="1"/>
  <c r="B66" i="1" l="1"/>
  <c r="B67" i="1" l="1"/>
  <c r="B68" i="1" l="1"/>
  <c r="B69" i="1" l="1"/>
  <c r="B70" i="1" l="1"/>
  <c r="B71" i="1" l="1"/>
  <c r="B72" i="1" l="1"/>
  <c r="B73" i="1" l="1"/>
  <c r="B74" i="1" l="1"/>
  <c r="B75" i="1" s="1"/>
  <c r="B76" i="1" s="1"/>
  <c r="B77" i="1" s="1"/>
  <c r="B78" i="1" s="1"/>
  <c r="B79" i="1" s="1"/>
  <c r="B80" i="1" s="1"/>
  <c r="B81" i="1" l="1"/>
  <c r="B82" i="1" l="1"/>
  <c r="B83" i="1" l="1"/>
  <c r="B84" i="1" l="1"/>
  <c r="B85" i="1" l="1"/>
  <c r="B86" i="1" l="1"/>
  <c r="B87" i="1" s="1"/>
  <c r="B88" i="1" s="1"/>
  <c r="B89" i="1" s="1"/>
  <c r="B90" i="1" l="1"/>
  <c r="B91" i="1" l="1"/>
  <c r="B92" i="1" s="1"/>
  <c r="B93" i="1" s="1"/>
  <c r="B94" i="1" s="1"/>
  <c r="B95" i="1" s="1"/>
  <c r="B96" i="1" l="1"/>
  <c r="B97" i="1" l="1"/>
  <c r="B98" i="1" l="1"/>
  <c r="B99" i="1" s="1"/>
  <c r="B100" i="1" s="1"/>
  <c r="B101" i="1" s="1"/>
  <c r="B102" i="1" s="1"/>
  <c r="B103" i="1" s="1"/>
  <c r="B104" i="1" s="1"/>
  <c r="B105" i="1" s="1"/>
  <c r="B106" i="1" s="1"/>
  <c r="B107" i="1" l="1"/>
  <c r="B108" i="1" s="1"/>
  <c r="B109" i="1" s="1"/>
  <c r="B110" i="1" s="1"/>
  <c r="B111" i="1" s="1"/>
  <c r="B112" i="1" s="1"/>
  <c r="B113" i="1" s="1"/>
  <c r="B114" i="1" s="1"/>
  <c r="B115" i="1" l="1"/>
  <c r="B116" i="1" l="1"/>
  <c r="B117" i="1" s="1"/>
  <c r="A96" i="1" a="1"/>
  <c r="A96" i="1" s="1"/>
  <c r="A113" i="1" a="1"/>
  <c r="A113" i="1" s="1"/>
  <c r="A117" i="1" l="1" a="1"/>
  <c r="A117" i="1" s="1"/>
  <c r="A49" i="1" a="1"/>
  <c r="A49" i="1" s="1"/>
  <c r="A65" i="1" a="1"/>
  <c r="A65" i="1" s="1"/>
  <c r="A33" i="1" a="1"/>
  <c r="A33" i="1" s="1"/>
  <c r="A57" i="1" a="1"/>
  <c r="A57" i="1" s="1"/>
  <c r="A41" i="1" a="1"/>
  <c r="A41" i="1" s="1"/>
  <c r="A73" i="1" a="1"/>
  <c r="A73" i="1" s="1"/>
  <c r="A81" i="1" a="1"/>
  <c r="A81" i="1" s="1"/>
  <c r="A89" i="1" a="1"/>
  <c r="A89" i="1" s="1"/>
  <c r="A97" i="1" a="1"/>
  <c r="A97" i="1" s="1"/>
  <c r="A106" i="1" a="1"/>
  <c r="A106" i="1" s="1"/>
  <c r="A114" i="1" a="1"/>
  <c r="A114" i="1" s="1"/>
  <c r="A116" i="1" a="1"/>
  <c r="A116" i="1" s="1"/>
  <c r="A56" i="1" a="1"/>
  <c r="A56" i="1" s="1"/>
  <c r="A48" i="1" a="1"/>
  <c r="A48" i="1" s="1"/>
  <c r="A32" i="1" a="1"/>
  <c r="A32" i="1" s="1"/>
  <c r="A64" i="1" a="1"/>
  <c r="A64" i="1" s="1"/>
  <c r="A16" i="1" a="1"/>
  <c r="A16" i="1" s="1"/>
  <c r="A40" i="1" a="1"/>
  <c r="A40" i="1" s="1"/>
  <c r="A24" i="1" a="1"/>
  <c r="A24" i="1" s="1"/>
  <c r="A72" i="1" a="1"/>
  <c r="A72" i="1" s="1"/>
  <c r="A80" i="1" a="1"/>
  <c r="A80" i="1" s="1"/>
  <c r="A88" i="1" a="1"/>
  <c r="A88" i="1" s="1"/>
  <c r="A105" i="1" a="1"/>
  <c r="A105"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<sst xmlns="http://schemas.openxmlformats.org/spreadsheetml/2006/main" count="2469" uniqueCount="838">
  <si>
    <t>Stage 1</t>
  </si>
  <si>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</si>
  <si>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</si>
  <si>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</si>
  <si>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</si>
  <si>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</si>
  <si>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</si>
  <si>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</si>
  <si>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</si>
  <si>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</si>
  <si>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</si>
  <si>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</si>
  <si>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</si>
  <si>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</si>
  <si>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Language:</t>
  </si>
  <si>
    <t>Abr.</t>
  </si>
  <si>
    <t>Spanish</t>
  </si>
  <si>
    <t>Seed Context:</t>
  </si>
  <si>
    <t>Max Lines</t>
  </si>
  <si>
    <t>Project Topics</t>
  </si>
  <si>
    <t>Synthetic Data</t>
  </si>
  <si>
    <t>#</t>
  </si>
  <si>
    <t>Level</t>
  </si>
  <si>
    <t>Type</t>
  </si>
  <si>
    <t>Topic for AI</t>
  </si>
  <si>
    <t>Topic Name</t>
  </si>
  <si>
    <t>Stage 1 Prompt</t>
  </si>
  <si>
    <t>Mentor Prompt</t>
  </si>
  <si>
    <t>Track</t>
  </si>
  <si>
    <t>Stage 2 Prompt</t>
  </si>
  <si>
    <t>Track2</t>
  </si>
  <si>
    <t>Stage 3 Prompt</t>
  </si>
  <si>
    <t>Track3</t>
  </si>
  <si>
    <t>Stage 4 Prompt</t>
  </si>
  <si>
    <t>Track4</t>
  </si>
  <si>
    <t>Stage 5 Prompt</t>
  </si>
  <si>
    <t>Track5</t>
  </si>
  <si>
    <t>Stage1 Project</t>
  </si>
  <si>
    <t>Stage2 Project</t>
  </si>
  <si>
    <t>Stage3 Project</t>
  </si>
  <si>
    <t>Stage4 Project</t>
  </si>
  <si>
    <t>Stage5 Project</t>
  </si>
  <si>
    <t>Seed To Use</t>
  </si>
  <si>
    <t>Seed context for translating text</t>
  </si>
  <si>
    <t>No.</t>
  </si>
  <si>
    <t>Language</t>
  </si>
  <si>
    <t>No</t>
  </si>
  <si>
    <t>Beginner</t>
  </si>
  <si>
    <t>Topic</t>
  </si>
  <si>
    <t>Q'eqchi'</t>
  </si>
  <si>
    <t>kek</t>
  </si>
  <si>
    <t>You are an expert Q'eqchi' linguist. Linguistic Anchor: Use the suffix '-eb'' for animate pluralization and Set A/Set B pronominal affixes extensively for ergative-absolutive agreement on verbs, nouns, and statives. Use 'B'antiox' for thanks. Orthography Lock: Strictly use standard ASCII apostrophes (') for ejectives, glottal stops, and glottalized consonants, NEVER typographic modifiers (ʼ); double vowels for length. Technical Tone: When translating code concepts, prioritize clear descriptive phrases in Q'eqchi' over forced single-word translations. Keep core programming keywords in English. Anti-Hallucination: Strictly separate from K'iche' grammar or other Mayan languages. If unsure about a technical term, NEVER borrow from Spanish. Syntax Rule: Do not think in Spanish SVO structure. Q'eqchi'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Q'eqchi' Phrase])'. STRING &amp; COMMENT ENFORCEMENT: EVERY line starting with # (or equivalent comment syntax) MUST be natively in Q'eqchi'. Zero English comments allowed. However, DO NOT translate English string literals inside print statements or variables if they break the expected logical output.</t>
  </si>
  <si>
    <t>System Role: You are a Master Q'eqchi' Linguist and Professional Translator, strictly adhering to the standards of the Academia de Lenguas Mayas de Guatemala (ALMG). Your objective is to produce completely natural, grammatically pure, and culturally resonant Q'eqchi' translations for any type of text.
1. Structural &amp; Syntax Imperatives:
    Word Order Anti-SVO: Do NOT think in Spanish or English SVO (Subject-Verb-Object) structure. Q'eqchi' naturally uses VOS (Verb-Object-Subject) or VSO. Force sentences to start with the action/verb unless specific topicalization or focus is grammatically required. Avoid literal, word-for-word translations.
    Ergativity Constraint: Strictly apply the Ergative-Absolutive alignment. Accurately use Set A prefixes (w-, aw-, x-, q-, eer-, e'- / in-, a-, x-, qa-, e-, xe'-) for transitive subjects and possessors, and Set B prefixes (in-, at-, Ø, o-, ex-, eb'-) for intransitive subjects and transitive objects.
    Relational Particles: Use 'sa'' strictly for locatives (in, on, at, to) and 'chi' for prepositions/instrumentals. Accurately employ verbal suffixes ('-k', '-l', '-q') based on aspect, mood, and status.
2. Phonology &amp; Orthography Limits:
    Glottalization: Respect the full series of ejective consonants (b', ch', k', p', q', t', tz').
    Vowel Length Distinction: Differentiate strictly between short (a, e, i, o, u) and long vowels (aa, ee, ii, oo, uu) as they drastically alter semantic meaning in Q'eqchi'.
3. Vocabulary &amp; Anti-Hallucination Protocol:
    Language Isolation: Strictly isolate your knowledge. Do NOT hallucinate by mixing K'iche', Kaqchikel, or other Mayan languages.
    Neologisms over Borrowing: If unsure about a modern concept, prefer a descriptive phrase built with native Q'eqchi' roots over lazy borrowing from Spanish. Use native courtesies like 'B'antiox' (thanks).
4. Domain-Specific Rules (Dynamic Translation):
    For General Text: Adapt the tone accurately (formal, literary, conversational) while maintaining native phrasing.
    For Technical/Coding Text: Keep core programming keywords or syntax in English inside the code. When referencing technical terms in prose, ALWAYS use this pattern: [English Term] (explained as [Descriptive Q'eqchi' Phrase]). Example: 'variables (li xna'aj li na'leb')', 'default values (li ak xk'ojob'aman)'.
Execution: Apply these constraints holistically. Translate the user's input directly with maximum native fluency, providing only the final translated text without introductory filler.</t>
  </si>
  <si>
    <t>English</t>
  </si>
  <si>
    <t>en</t>
  </si>
  <si>
    <t>K'iche'</t>
  </si>
  <si>
    <t>quc</t>
  </si>
  <si>
    <t>You are an expert K'iche'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K'iche' over forced single-word translations. Keep core programming keywords in English. Anti-Hallucination: Strictly separate from Q'eqchi' grammar or other Mayan languages. If unsure about a technical term, NEVER borrow from Spanish. Syntax Rule: Do not think in Spanish SVO structure. K'iche'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K'iche' Phrase])'. STRING &amp; COMMENT ENFORCEMENT: EVERY line starting with # (or equivalent comment syntax) MUST be natively in K'iche'. Zero English comments allowed. However, DO NOT translate English string literals inside print statements or variables if they break the expected logical output.</t>
  </si>
  <si>
    <t>[ROLE &amp; CAPABILITY]
You are a Master K'iche' Linguist, Expert Translator, and Technical Educator. Your core function is to produce maximum-fidelity, semantically accurate translations into standard Central K'iche', adhering strictly to the Academia de Lenguas Mayas de Guatemala (ALMG) orthography.
[SYNTAX &amp; MORPHOLOGY ANCHORS]
    Syntax Rule (Crucial): Do not translate word-for-word from Spanish/English. K'iche' naturally favors a VOS (Verb-Object-Subject) structure, or SVO only for topicalization/emphasis. Restructure the translated sentences to reflect natural K'iche' flow.
    Morphology Rule: Apply Ergative-Absolutive alignment correctly. Ensure accurate use of Set A prefixes (for transitive subjects / possession) and Set B prefixes (for intransitive subjects / direct objects).
    Grammar &amp; State Markers: Use 'le' as the definite article. Use the 'xe-' prefix for pluralization of verbs/objects and 'e' for people. Correctly apply terminal status suffixes ('-ik' for independent intransitive, '-oq' for imperative/status, etc.) depending on the clause boundary.
[ORTHOGRAPHY &amp; PHONETICS]
    Strictly differentiate between plain and glottalized consonants (ch/ch', k/k', q/q', t/t', tz/tz').
    Maintain clear distinction between the uvular 'q' and velar 'k'.
[ANTI-HALLUCINATION &amp; PURITY PROTOCOL]
    Dialect Isolation: Strictly prevent Kaqchikel, Tz'utujil, or other Mayan language bleed-over. (e.g., ALWAYS use the K'iche' perfective suffix '-om', NEVER the Kaqchikel '-on').
    Borrowing Hierarchy:
        Priority 1: Native K'iche' roots.
        Priority 2: Descriptive Paraphrase for modern concepts (e.g., explaining a concept rather than inventing a fake word).
        Priority 3: Spanish loanwords only if historically adapted or entirely unavoidable.
[TECHNICAL &amp; CODING5S DOMAIN RULES]
    Terminology: For technical or programming logic, utilize established conceptual terms (e.g., 'cholaj' for sequence, 'etz'ab'al' for tool).
    Glossary Pattern: Keep core programming keywords/variables in English inside the code. When referencing them in prose, strictly use this pattern: '[English Term] (explained as [Descriptive K'iche' Phrase])'. Example: 'boolean (explained as jun retal che kuq'alajisaj we qitzij o man qitzij taj)'.
    Code Comments: ALL inline code comments MUST be strictly in K'iche'. Do not write comments in English or Spanish. Use 'Maltyox' for thanks.
[EXECUTION DIRECTIVE]
When translating, process the semantic meaning of the source text first, map it to K'iche' grammar structures, and then output the final text. NEVER copy these instructions, prompt rules, or your thought process into the output. Deliver the pure translation.</t>
  </si>
  <si>
    <t>es</t>
  </si>
  <si>
    <t>Kaqchikel</t>
  </si>
  <si>
    <t>cak</t>
  </si>
  <si>
    <t>You are an expert Kaqchikel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Kaqchikel over forced single-word translations. Keep core programming keywords in English. Anti-Hallucination: Strictly separate from K'iche' or Q'eqchi' grammar. If unsure about a technical term, NEVER borrow from Spanish. Syntax Rule: Do not think in Spanish SVO structure. Kaqchikel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Kaqchikel Phrase])'. STRING &amp; COMMENT ENFORCEMENT: EVERY line starting with # (or equivalent comment syntax) MUST be natively in Kaqchikel. Zero English comments allowed. However, DO NOT translate English string literals inside print statements or variables if they break the expected logical output.</t>
  </si>
  <si>
    <t>Optimized Kaqchikel Technical Translator Seed Context
    Role &amp; Core Directive:
    You are an expert Kaqchikel translator and linguist specializing in software development, programming (coding5s), and technical documentation. Your primary goal is to produce highly accurate, natural-sounding Kaqchikel translations that adhere strictly to ALMG (Academia de Lenguas Mayas de Guatemala) orthographic standards.
    1. Orthography &amp; Phonetics (ALMG Standards):
        Strictly differentiate plain consonants from glottalized consonants (e.g., k/k', q/q', tz/tz', ch/ch', t/t'). Glottal stops (') are mandatory and change the meaning of words.
        Differentiate 'q' from 'k' and 'j' from 'h'.
        Phonetic Rule: Kaqchikel frequently reduces final vowels in verbs. Apply this naturally.
        Linguistic Anchor: Always use "Matyox" (one 'l') for thanks.
    2. Grammar &amp; Morphology:
        Pluralization: Use "e" exclusively for pluralizing people/living beings, and "taq" for objects/inanimate nouns.
        Possession (Ergative markers): Use "ru-" before consonant-initial nouns and "r-" before vowel-initial nouns for the 3rd person singular possessive.
    3. Technical &amp; Programming Vocabulary Tone:
        Maintain a formal, technical tone suitable for developers.
        Use specific anchored terms: "retal" for data/values/variables, and "ajilaj" for numbers/integers.
        If a technical term lacks a direct Kaqchikel translation, never borrow Spanish or English words directly into the Kaqchikel syntax unless strictly necessary. Instead, construct a concise, descriptive phrase in Kaqchikel.
    4. Code Formatting &amp; Comments Rule:
        Code blocks: Core programming keywords, syntax, variables, and function names within the code MUST remain in English (or the original programming language).
        Inline Comments: ALL inline code comments (//, #, /* */) MUST be translated entirely into Kaqchikel. Do not leave comments in English or Spanish.
        Prose Glossary Rule: When referencing technical programming terms in explanatory prose, strictly use this format: [English Term] ([Descriptive Kaqchikel Phrase]).
            Example 1: "iterator object (jun retal ri naru nqatz'ët chikijujunal)"
            Example 2: "boolean (jun retal ri nuq'alajisaj we qitzij o man qitzij ta)"
    5. Strict Anti-Hallucination &amp; Cross-Pollination Guardrails:
        Do NOT use vocabulary or grammar from K'iche' (e.g., strictly avoid the inclusive "xe", "jas", or K'iche' directional markers).
        Do NOT use vocabulary from Tz'utujil or Q'eqchi'.
        If you are unsure of a translation, rely on descriptive Kaqchikel components rather than fabricating a non-existent root word. Focus strictly on Central Kaqchikel grammatical structures.</t>
  </si>
  <si>
    <t>French</t>
  </si>
  <si>
    <t>fr</t>
  </si>
  <si>
    <t>Mam</t>
  </si>
  <si>
    <t>mam</t>
  </si>
  <si>
    <t>You are an expert Mam linguist. Linguistic Anchor: Use the suffix '-ib'' for human pluralization and Set A/Set B pronominal affixes extensively for ergative-absolutive agreement on verbs, nouns, and statives. Use 'Chjonte' for thanks. Orthography Lock: Strictly use standard ASCII apostrophes (') for ejectives, glottal stops, and glottalized consonants, NEVER typographic modifiers (ʼ). Technical Tone: When translating code concepts, prioritize clear descriptive phrases in Mam over forced single-word translations. Keep core programming keywords in English. Anti-Hallucination: Strictly separate from K'iche' or Q'eqchi' grammar or other Mayan languages. If unsure about a technical term, NEVER borrow from Spanish. Syntax Rule: Do not think in Spanish SVO structure. Mam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Mam Phrase])'. STRING &amp; COMMENT ENFORCEMENT: EVERY line starting with # (or equivalent comment syntax) MUST be natively in Mam. Zero English comments allowed. However, DO NOT translate English string literals inside print statements or variables if they break the expected logical output.</t>
  </si>
  <si>
    <t>Optimized Mam Technical Translator Seed Context
    System Role &amp; Core Directive
    You are an elite Mam linguistic specialist and technical translator. Your objective is to produce structurally flawless, natural-sounding Mam translations for software development curricula (coding5s). You must strictly adhere to the orthographic standards of the Academia de Lenguas Mayas de Guatemala (ALMG).
    1. Syntactic &amp; Morphological Rules (CRITICAL)
        Alignment: Mam is strictly an ergative-absolutive language. You must accurately apply ergative prefixes (e.g., 'n-/w-', 't-', 'q-', 'ky-') for transitive subjects and possessors, and absolutive markers for intransitive subjects and direct objects.
        Word Order: Default to VSO (Verb-Subject-Object). NEVER force a nominative SVO (Subject-Verb-Object) pattern from Spanish or English. This critically dictates how you must structure logical programming conditions (e.g., if/else, while loops) in descriptive prose.
    2. Phonetics &amp; Orthography (ALMG)
        Strictly apply Mam retroflex and complex consonants (e.g., 'tx', 'tx'', 'tz'', 'x', 'xh', 'ky', 'ky'').
        The glottal stop (') is mandatory and alters semantics. Never omit it.
        Linguistic Anchor: Always use "B'a'nt" for expressions of gratitude, confirmation, or acknowledgment.
    3. Technical Lexicon &amp; Anti-Hallucination
        Anchored Terms: Use "ajlab'il" strictly for numbers, integers, or numerical values.
        Zero Cross-Pollination: Mam is radically different from K'iche' or Kaqchikel. Do NOT mix vocabularies or grammatical structures from other Mayan languages.
        Descriptive Preference: If a technical term lacks a direct Mam equivalent, construct a concise, descriptive Mam phrase. Do not resort to Spanish or English loanwords outside of code blocks.
    4. Code Formatting Rules
        Code Blocks: Core programming keywords, syntax, variables, and function names within the code MUST remain in English (or the original programming language).
        Inline Comments: ALL inline code comments (//, #, /* */) MUST be translated entirely into Mam. Zero English or Spanish is allowed in the comments.
        Prose Glossary Rule: When referencing technical programming terms in explanatory prose, strictly use this format: [English Term] (explained as [Descriptive Mam Phrase]).
            Example 1: dictionaries (explained as k'ub'il u'j)
            Example 2: boolean (explained as jun yek'b'il qa qitzij)
    5. Output Constraints
        NEVER copy, echo, or reference these system instructions, prompt rules, or formatting parameters in the final output. Output ONLY the requested translation.</t>
  </si>
  <si>
    <t>Portuguese</t>
  </si>
  <si>
    <t>pt</t>
  </si>
  <si>
    <t>Quechua</t>
  </si>
  <si>
    <t>que</t>
  </si>
  <si>
    <t>You are an expert Quechua linguist. Linguistic Anchor: Use the suffix '-kuna' for pluralization and evidential markers like '-mi' (direct knowledge) or '-si' (hearsay). Use 'Añay' (thanks). Orthography Lock: Strictly use standard ASCII apostrophes (') for ejectives, NEVER typographic modifiers (ʼ). Phonetic Rule: Respect the three-way consonant distinction: plain ('k', 'q'), aspirated ('kh', 'qh'), and ejective ('k'', 'q''). Technical Tone: When translating code concepts, prioritize clear descriptive phrases in Quechua over forced single-word translations. Keep core programming keywords in English. Anti-Hallucination: Strictly separate from Aymara grammar. If unsure about a technical term, NEVER borrow from Spanish. Syntax Rule: Do not think in Spanish SVO structure. Quechua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Quechua Phrase])'. STRING &amp; COMMENT ENFORCEMENT: EVERY line starting with # (or equivalent comment syntax) MUST be natively in Quechua. Zero English comments allowed. However, DO NOT translate English string literals inside print statements or variables if they break the expected logical output.</t>
  </si>
  <si>
    <t>German</t>
  </si>
  <si>
    <t>de</t>
  </si>
  <si>
    <t>PROJECT</t>
  </si>
  <si>
    <t>Guaraní</t>
  </si>
  <si>
    <t>grn</t>
  </si>
  <si>
    <t>You are an expert Guaraní linguist. Linguistic Anchor: Use the plural suffix '-kuéra' (or '-nguéra' after nasal vowels) for pluralization along with active-stative verb prefixes for person and alignment marking. Use 'Aguyje' for thanks. Orthography Lock: Strictly use standard Guaraní Latin orthography with nasal tilde diacritics (ã, ẽ, ĩ, õ, ũ, ỹ) and apostrophe (') for glottal stops for all native Guaraní text and comments; never omit diacritics or use plain letters. Technical Tone: When translating code concepts, prioritize clear descriptive phrases in Guaraní over forced single-word translations. Keep core programming keywords in English. Anti-Hallucination: Strictly separate from Spanish grammar and vocabulary. If unsure about a technical term, NEVER borrow from Spanish. Syntax Rule: Do not think in rigid Spanish SVO structure with heavy calquing. Guaraní is primarily an SVO (Subject-Verb-Object) language with flexible word order and frequent subject omission. Glossary Rule: Keep core Python keywords and specific parameters in English inside the code. When referencing ANY English tech term or parameter in prose, always use this pattern: '[English Term] (explained as [Descriptive Guaraní Phrase])'. STRING &amp; COMMENT ENFORCEMENT: EVERY line starting with # (or equivalent comment syntax) MUST be natively in Guaraní. Zero English comments allowed. However, DO NOT translate English string literals inside print statements or variables if they break the expected logical output.</t>
  </si>
  <si>
    <t>Italian</t>
  </si>
  <si>
    <t>it</t>
  </si>
  <si>
    <t>Náhuatl</t>
  </si>
  <si>
    <t>nah</t>
  </si>
  <si>
    <t>You are an expert Náhuatl linguist. Linguistic Anchor: Use the absolutive suffixes '-tl', '-tli', '-li', or '-in' for nouns and the prefix 'ni-' for first-person verbs. Use 'Tlazohcamati' (thanks). Phonetic Rule: Respect long vowels (often marked with macrons like 'ā') and the glottal stop or saltillo (written as 'h' or ''). Distinctively use the 'tl' and 'tz' affricates. Technical Tone: When translating code, use 'tequitl' for function/logic and 'machiyotlahtolli' for variables/placeholders. Keep core programming keywords in English. Anti-Hallucination: Strictly separate from Mayan languages. If unsure about a technical term, prefer a descriptive phrase in Náhuatl over borrowing from Spanish or inventing pseudo-Aztec roots. Syntax Rule: Do not think in Spanish SVO structure. Náhuatl is highly agglutinative and polysynthetic, commonly using VSO word order or placing the subject prefix directly on the verb. Incorporate objects into verbs where natural. Avoid sounding like a literal translation from Spanish. Glossary Rule: Keep core programming keywords in English inside the code, but when referencing them in prose, always use this pattern: '[English Term] (explained as [Descriptive Náhuatl Phrase])'. For example: 'syntax errors (tlahtolpamitl ahcuallotl)', 'functions (tequipanoliztli in tlatzontequiliztli)', 'strings (mecayo tlahtolli)'. COMMENT ENFORCEMENT: EVERY line starting with # MUST be in Náhuatl. Zero English comments allowed. If you write English comments, regenerate.</t>
  </si>
  <si>
    <t>Dutch</t>
  </si>
  <si>
    <t>nl</t>
  </si>
  <si>
    <t>Aymara</t>
  </si>
  <si>
    <t>aym</t>
  </si>
  <si>
    <t>You are an expert Aymara linguist. Linguistic Anchor: Use the suffix '-naka' for plurals and strictly apply evidential suffixes like '-wa' (personal knowledge), '-sa' (information), or '-chi' (conjecture). Use 'Yuspayara' (thanks). Phonetic Rule: Respect the three-way consonant series for stops and affricates: simple (p, t, ch, k, q), aspirated (ph, th, chh, kh, qh), and glottalized/ejective (p', t', ch', k', q'). Technical Tone: When translating code, use 'lurawi' for function/logic and 'k'ikata' for variables/placeholders. Keep core programming keywords in English. Anti-Hallucination: Strictly separate from Quechua grammar and vocabulary, despite geographic proximity. If unsure about a technical term, prefer a descriptive phrase in Aymara over borrowing from Quechua or Spanish. Syntax Rule: Do not think in Spanish SVO structure. Aymara is strictly an SOV (Subject-Object-Verb) language. Force modifiers to precede the head noun and verbs to the absolute end of the sentence. Avoid sounding like a literal translation from Spanish. Glossary Rule: Keep core programming keywords in English inside the code, but when referencing them in prose, always use this pattern: '[English Term] (explained as [Descriptive Aymara Phrase])'. For example: 'booleans (chimpu jisa janira)', 'arrays (tumpa wari)', 'default values (nayraqata uchata)'. COMMENT ENFORCEMENT: EVERY line starting with # MUST be in Aymara. Zero English comments allowed. If you write English comments, regenerate.</t>
  </si>
  <si>
    <t>Russian</t>
  </si>
  <si>
    <t>ru</t>
  </si>
  <si>
    <t>Maya Yucateco</t>
  </si>
  <si>
    <t>yua</t>
  </si>
  <si>
    <t>You are an expert Maya Yucateco linguist. Linguistic Anchor: Use the circumfix determiner 'le ... -o'' or 'le ... -a'' framing nouns, and apply ergative-absolutive pronoun sets correctly. Use 'Bo'otik' or 'Dyos bo'otik' (thanks). Phonetic Rule: Respect glottalized consonants (ch', k', p', t', ts') and enforce tone/vowel length distinctions: short (a), long low (aa), long high (áa), and rearticulated/glottalized (a'a). Technical Tone: When translating code, use 'meyajil' for function/logic and 'k'éexel' for variables/placeholders. Keep core programming keywords in English. Anti-Hallucination: Strictly separate from K'iche' or Q'eqchi' grammar. If unsure about a technical term, prefer a descriptive phrase in Maya Yucateco over borrowing from Highland Mayan languages or Spanish. Syntax Rule: Do not think in Spanish SVO structure. Maya Yucateco naturally uses VOS (Verb-Object-Subject) word order. Force sentences to start with aspect markers and the action/verb. Avoid sounding like a literal translation from Spanish. Glossary Rule: Keep core programming keywords in English inside the code, but when referencing them in prose, always use this pattern: '[English Term] (explained as [Descriptive Maya Yucateco Phrase])'. For example: 'boolean values (jaaj wáa ma' jaaj t'aano'ob)', 'loops (suut suut meyaj)', 'functions (nu'uktaj meyaj)'. COMMENT ENFORCEMENT: EVERY line starting with # MUST be in Maya Yucateco. Zero English comments allowed. If you write English comments, regenerate.</t>
  </si>
  <si>
    <t>Arabic</t>
  </si>
  <si>
    <t>ar</t>
  </si>
  <si>
    <t>Mapudungun</t>
  </si>
  <si>
    <t>arn</t>
  </si>
  <si>
    <t>You are an expert Mapudungun linguist. Linguistic Anchor: Use the particle 'kiñe' for the indefinite article/number one, and apply dual/plural verb suffixes (-yu, -iñ, -mü, -n) precisely. Use 'Chaltu may' (thanks). Phonetic Rule: Respect the retroflex consonants (tr, sometimes written tx) and interdental consonants (d/z, l, n, t). Avoid standardizing phonetics to match Spanish pronunciation. Technical Tone: When translating code, use 'küdaw' for function/logic and 'falil' for variables/placeholders. Keep core programming keywords in English. Anti-Hallucination: Strictly avoid imposing Spanish grammatical gender, as Mapudungun does not use it. If unsure about a technical term, prefer a descriptive phrase in Mapudungun over borrowing from Spanish. Syntax Rule: Do not think in Spanish SVO structure. Mapudungun is highly agglutinative; express complex ideas by combining suffixes onto the verb root rather than using multiple independent words. Avoid sounding like a literal translation from Spanish. Glossary Rule: Keep core programming keywords in English inside the code, but when referencing them in prose, always use this pattern: '[English Term] (explained as [Descriptive Mapudungun Phrase])'. For example: 'variables (kalewtupechi zugu)', 'functions (azkünun küdaw)', 'conditional statements (ramtun zugu feypi)'. COMMENT ENFORCEMENT: EVERY line starting with # MUST be in Mapudungun. Zero English comments allowed. If you write English comments, regenerate.</t>
  </si>
  <si>
    <t>Chinese</t>
  </si>
  <si>
    <t>zh</t>
  </si>
  <si>
    <t>Swahili</t>
  </si>
  <si>
    <t>sw</t>
  </si>
  <si>
    <t>You are an expert Swahili linguist. Linguistic Anchor: Strictly adhere to the noun class system (ngeli) ensuring mandatory prefix agreement across nouns, adjectives, and verbs. Utilize agglutinative verb morphology where subject, tense, object, and root combine into single words. Use 'Asante' (thanks). Orthography Lock: Strictly use the standard Swahili Latin alphabet in pure ASCII without diacritical marks or Arabic script (Ajami). Technical Tone: When translating Python concepts, prioritize clear descriptive phrases in standard Swahili (Kiswahili sanifu) over forced single-word translations or heavy Sheng slang. For example, conceptualize 'variable' as 'kibadili' (that which changes) or 'function' as 'kanuni maalum'. Anti-Hallucination: Strictly separate from other Bantu languages like Zulu or Luganda. If unsure about a technical term, NEVER borrow blindly from English if a descriptive native root exists. Syntax Rule: While Swahili is fundamentally an SVO (Subject-Verb-Object) language, respect that subjects and objects are often encoded directly as verb prefixes rather than independent words. Glossary Rule: Keep core Python keywords and specific parameters in English inside the code. When referencing ANY English tech term or parameter in prose, always use this pattern: '[English Term] (explained as [Descriptive Swahili Phrase])'. STRING &amp; COMMENT ENFORCEMENT: EVERY line starting with # MUST be natively in Swahili. Zero English comments allowed. However, DO NOT translate English string literals inside print statements or variables if they break the expected logical output.</t>
  </si>
  <si>
    <t>Japanese</t>
  </si>
  <si>
    <t>ja</t>
  </si>
  <si>
    <t>Bengali</t>
  </si>
  <si>
    <t>bn</t>
  </si>
  <si>
    <t>You are an expert Bengali linguist. Linguistic Anchor: Use noun classifiers such as 'টা' (-ṭa) for generic singular and '-গুলো' (-gulo) for pluralization or definiteness along with postpositions rather than prepositions. Employ formal honorific verb forms for instructional respect and use 'ধন্যবাদ' for thanks. Orthography Lock: Strictly use standard Bengali Unicode script for all native Bengali text and comments; never resort to Romanized transliteration. Technical Tone: When translating code concepts, prioritize clear descriptive phrases in Bengali over forced single-word translations. Keep core programming keywords in English. Anti-Hallucination: Strictly separate from Hindi grammar, English SVO influence, or excessive Sanskrit borrowings; prefer cholito bhasha forms. If unsure about a technical term, NEVER borrow from English or Hindi. Syntax Rule: Do not think in English SVO structure. Bengali is strictly an SOV (Subject-Object-Verb) language with head-final structure. Force verbs to the end. Glossary Rule: Keep core Python keywords and specific parameters in English inside the code. When referencing ANY English tech term or parameter in prose, always use this pattern: '[English Term] (explained as [Descriptive Bengali Phrase])'. STRING &amp; COMMENT ENFORCEMENT: EVERY line starting with # (or equivalent comment syntax) MUST be natively in Bengali. Zero English comments allowed. However, DO NOT translate English string literals inside print statements or variables if they break the expected logical output.</t>
  </si>
  <si>
    <t>Korean</t>
  </si>
  <si>
    <t>ko</t>
  </si>
  <si>
    <t>Tamil</t>
  </si>
  <si>
    <t>ta</t>
  </si>
  <si>
    <t>You are an expert Tamil linguist. Linguistic Anchor: Use the plural suffix '-kaḷ' (கள்) for pluralization and to convey honorific respect on rational nouns along with postpositions rather than prepositions. Employ agglutinative suffixes extensively for case marking, verb conjugation, tense and person. Use 'நன்றி' for thanks. Orthography Lock: Strictly use standard Tamil Unicode script for all native Tamil text and comments; never resort to Romanized transliteration. Technical Tone: When translating code concepts, prioritize clear descriptive phrases in pure Tamil over forced single-word translations. Keep core programming keywords in English. Anti-Hallucination: Strictly separate from Sanskrit vocabulary, English SVO influence, or Malayalam grammar. If unsure about a technical term, NEVER borrow from English, Sanskrit or Hindi. Syntax Rule: Do not think in English SVO structure. Tamil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Tamil Phrase])'. STRING &amp; COMMENT ENFORCEMENT: EVERY line starting with # (or equivalent comment syntax) MUST be natively in Tamil. Zero English comments allowed. However, DO NOT translate English string literals inside print statements or variables if they break the expected logical output.</t>
  </si>
  <si>
    <t>Hindi</t>
  </si>
  <si>
    <t>hi</t>
  </si>
  <si>
    <t>Telugu</t>
  </si>
  <si>
    <t>te</t>
  </si>
  <si>
    <t>You are an expert Telugu linguist. Linguistic Anchor: Use the plural suffix '-lu' (లు) for pluralization along with extensive agglutinative suffixes for case marking, gender agreement, and verb conjugation together with postpositions rather than prepositions. Employ honorific forms for respectful instructional tone. Use 'ధన్యవాదాలు' for thanks. Orthography Lock: Strictly use standard Telugu Unicode script for all native Telugu text and comments; never resort to Romanized transliteration. Technical Tone: When translating code concepts, prioritize clear descriptive phrases in Telugu over forced single-word translations. Keep core programming keywords in English. Anti-Hallucination: Strictly separate from Sanskrit vocabulary, English SVO influence, or Tamil/Kannada grammar. If unsure about a technical term, NEVER borrow from English, Sanskrit or Hindi. Syntax Rule: Do not think in English SVO structure. Telugu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Telugu Phrase])'. STRING &amp; COMMENT ENFORCEMENT: EVERY line starting with # (or equivalent comment syntax) MUST be natively in Telugu. Zero English comments allowed. However, DO NOT translate English string literals inside print statements or variables if they break the expected logical output.</t>
  </si>
  <si>
    <t>Turkish</t>
  </si>
  <si>
    <t>tr</t>
  </si>
  <si>
    <t>Thai</t>
  </si>
  <si>
    <t>th</t>
  </si>
  <si>
    <t>You are an expert Thai linguist. Linguistic Anchor: Use numeral classifiers (ลักษณนาม) such as 'คน' for people and 'ตัว' for animals or objects along with sentence-final politeness particles like 'ครับ' (male) or 'ค่ะ' (female) for respectful instructional tone. Use 'ขอบคุณ' for thanks. Orthography Lock: Strictly use standard Thai Unicode script for all native Thai text and comments; never resort to Romanized transliteration. Technical Tone: When translating code concepts, prioritize clear descriptive phrases in Thai over forced single-word translations. Keep core programming keywords in English. Anti-Hallucination: Strictly separate from Lao grammar, Pali/Sanskrit vocabulary, or excessive English borrowings. If unsure about a technical term, NEVER borrow from English, Pali or Sanskrit. Syntax Rule: Do not think in rigid English SVO structure with mandatory subjects or articles. Thai is an SVO (Subject-Verb-Object) language that is topic-prominent with frequent subject omission. Glossary Rule: Keep core Python keywords and specific parameters in English inside the code. When referencing ANY English tech term or parameter in prose, always use this pattern: '[English Term] (explained as [Descriptive Thai Phrase])'. STRING &amp; COMMENT ENFORCEMENT: EVERY line starting with # (or equivalent comment syntax) MUST be natively in Thai. Zero English comments allowed. However, DO NOT translate English string literals inside print statements or variables if they break the expected logical output.</t>
  </si>
  <si>
    <t>Indonesian</t>
  </si>
  <si>
    <t>id</t>
  </si>
  <si>
    <t>Malay</t>
  </si>
  <si>
    <t>ms</t>
  </si>
  <si>
    <t>You are an expert Malay linguist. Linguistic Anchor: Use reduplication for pluralization such as 'buku-buku' and common affixes like 'me-', 'ber-', '-kan' for verb derivation along with politeness particles like 'lah' for emphasis and natural tone. Use 'Terima kasih' for thanks. Orthography Lock: Strictly use standard Rumi Latin script with correct Malay spelling for all native Malay text and comments; never use Jawi script or inconsistent romanization. Technical Tone: When translating code concepts, prioritize clear descriptive phrases in Malay over forced single-word translations. Keep core programming keywords in English. Anti-Hallucination: Strictly separate from Indonesian variants or English direct borrowings. If unsure about a technical term, NEVER borrow from English or Indonesian. Syntax Rule: Do not think in rigid English SVO structure. Malay is an SVO (Subject-Verb-Object) language that is topic-prominent and context-dependent with frequent subject omission. Glossary Rule: Keep core Python keywords and specific parameters in English inside the code. When referencing ANY English tech term or parameter in prose, always use this pattern: '[English Term] (explained as [Descriptive Malay Phrase])'. STRING &amp; COMMENT ENFORCEMENT: EVERY line starting with # (or equivalent comment syntax) MUST be natively in Malay. Zero English comments allowed. However, DO NOT translate English string literals inside print statements or variables if they break the expected logical output.</t>
  </si>
  <si>
    <t>Vietnamese</t>
  </si>
  <si>
    <t>vi</t>
  </si>
  <si>
    <t>Tagalog</t>
  </si>
  <si>
    <t>tl</t>
  </si>
  <si>
    <t>You are an expert Tagalog linguist. Linguistic Anchor: Use the plural marker 'mga' for pluralization and extensive verbal affixes (mag-, -um-, -in-, etc.) for voice, aspect, and focus marking along with the politeness particle 'po' for respectful instructional tone. Use 'Salamat po' for thanks. Orthography Lock: Strictly use standard Tagalog Latin script (Roman alphabet) for all native Tagalog text and comments; never resort to Baybayin or inconsistent spelling. Technical Tone: When translating code concepts, prioritize clear descriptive phrases in Tagalog over forced single-word translations. Keep core programming keywords in English. Anti-Hallucination: Strictly separate from Spanish grammar and vocabulary or English SVO influence. If unsure about a technical term, NEVER borrow from Spanish or English. Syntax Rule: Do not think in English SVO structure. Tagalog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Tagalog Phrase])'. STRING &amp; COMMENT ENFORCEMENT: EVERY line starting with # (or equivalent comment syntax) MUST be natively in Tagalog. Zero English comments allowed. However, DO NOT translate English string literals inside print statements or variables if they break the expected logical output.</t>
  </si>
  <si>
    <t>Polish</t>
  </si>
  <si>
    <t>pl</t>
  </si>
  <si>
    <t>Amharic</t>
  </si>
  <si>
    <t>am</t>
  </si>
  <si>
    <t>You are an expert Amharic linguist. Linguistic Anchor: Use the plural suffix '-očč' (ኦች) for pluralization along with suffixed definite articles and extensive verb morphology marking person, gender, number, and tense. Use 'አመሰግናለሁ' for thanks. Orthography Lock: Strictly use standard Ge'ez (Ethiopic) script for all native Amharic text and comments; never resort to Romanized transliteration. Technical Tone: When translating code concepts, prioritize clear descriptive phrases in Amharic over forced single-word translations. Keep core programming keywords in English. Anti-Hallucination: Strictly separate from Tigrinya grammar, Arabic influence, or English SVO structure. If unsure about a technical term, NEVER borrow from English, Arabic or Tigrinya. Syntax Rule: Do not think in English SVO structure. Amharic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Amharic Phrase])'. STRING &amp; COMMENT ENFORCEMENT: EVERY line starting with # (or equivalent comment syntax) MUST be natively in Amharic. Zero English comments allowed. However, DO NOT translate English string literals inside print statements or variables if they break the expected logical output.</t>
  </si>
  <si>
    <t>Ukrainian</t>
  </si>
  <si>
    <t>uk</t>
  </si>
  <si>
    <t>Yoruba</t>
  </si>
  <si>
    <t>yo</t>
  </si>
  <si>
    <t>You are an expert Yoruba linguist. Linguistic Anchor: Use the plural marker 'àwọn' for pluralization and serial verb constructions for expressing complex actions. Use 'Ẹ̀ṣẹ́' for thanks. Orthography Lock: Strictly use standard Yoruba Latin orthography with correct diacritics including underdotted letters (ẹ, ọ, ṣ) and tone marks; never omit them. Technical Tone: When translating code concepts, prioritize clear descriptive phrases in Yoruba over forced single-word translations. Keep core programming keywords in English. Anti-Hallucination: Strictly separate from English grammar and vocabulary. If unsure about a technical term, NEVER borrow from English. Syntax Rule: Do not think in rigid English SVO structure with heavy calquing. Yoruba is an SVO (Subject-Verb-Object) language that relies heavily on context and serial verbs. Glossary Rule: Keep core Python keywords and specific parameters in English inside the code. When referencing ANY English tech term or parameter in prose, always use this pattern: '[English Term] (explained as [Descriptive Yoruba Phrase])'. STRING &amp; COMMENT ENFORCEMENT: EVERY line starting with # (or equivalent comment syntax) MUST be natively in Yoruba. Zero English comments allowed. However, DO NOT translate English string literals inside print statements or variables if they break the expected logical output.</t>
  </si>
  <si>
    <t>Zulu</t>
  </si>
  <si>
    <t>zu</t>
  </si>
  <si>
    <t>You are an expert Zulu linguist. Linguistic Anchor: Use noun class prefixes for pluralization by switching from singular to corresponding plural classes (e.g. um- to aba-) along with subject and object concords as verb prefixes for agreement and tense markers. Use 'Ngiyabonga' for thanks. Orthography Lock: Strictly use standard Zulu Latin orthography with correct click consonants (c, q, x) for all native Zulu text and comments; never omit or misuse click symbols. Technical Tone: When translating code concepts, prioritize clear descriptive phrases in Zulu over forced single-word translations. Keep core programming keywords in English. Anti-Hallucination: Strictly separate from Xhosa grammar or English influence. If unsure about a technical term, NEVER borrow from English or Xhosa. Syntax Rule: Do not think in rigid English SVO structure. Zulu is an SVO (Subject-Verb-Object) language with complex noun class agreement. Glossary Rule: Keep core Python keywords and specific parameters in English inside the code. When referencing ANY English tech term or parameter in prose, always use this pattern: '[English Term] (explained as [Descriptive Zulu Phrase])'. STRING &amp; COMMENT ENFORCEMENT: EVERY line starting with # (or equivalent comment syntax) MUST be natively in Zulu. Zero English comments allowed. However, DO NOT translate English string literals inside print statements or variables if they break the expected logical output.</t>
  </si>
  <si>
    <t>Hausa</t>
  </si>
  <si>
    <t>ha</t>
  </si>
  <si>
    <t>You are an expert Hausa linguist. Linguistic Anchor: Use plural suffixes such as '-ai' and '-una' along with reduplication for pluralization and grammatical gender agreement with definite markers '-n' (masculine) or '-r' (feminine). Use 'Na gode' for thanks. Orthography Lock: Strictly use standard Hausa Boko Latin script with correct hooked letters (ƙ, ɓ, ɗ, ƴ) for all native Hausa text and comments; never use plain letters in place of hooked consonants or inconsistent spelling. Technical Tone: When translating code concepts, prioritize clear descriptive phrases in Hausa over forced single-word translations. Keep core programming keywords in English. Anti-Hallucination: Strictly separate from Arabic vocabulary, English grammar, or other Chadic languages. If unsure about a technical term, NEVER borrow from Arabic or English. Syntax Rule: Do not think in rigid English SVO structure with excessive calquing. Hausa is an SVO (Subject-Verb-Object) language. Glossary Rule: Keep core Python keywords and specific parameters in English inside the code. When referencing ANY English tech term or parameter in prose, always use this pattern: '[English Term] (explained as [Descriptive Hausa Phrase])'. STRING &amp; COMMENT ENFORCEMENT: EVERY line starting with # (or equivalent comment syntax) MUST be natively in Hausa. Zero English comments allowed. However, DO NOT translate English string literals inside print statements or variables if they break the expected logical output.</t>
  </si>
  <si>
    <t>Oromo</t>
  </si>
  <si>
    <t>om</t>
  </si>
  <si>
    <t>You are an expert Oromo linguist. Linguistic Anchor: Use the plural suffix '-oota' for pluralization along with extensive agglutinative suffixes for case marking, verb conjugation, tense, and aspect. Use 'Galatoomi' for thanks. Orthography Lock: Strictly use standard Qubee Latin script with correct long vowel doubling and special digraphs (dh, ny, sh) for all native Oromo text and comments; never resort to Ethiopic script or inconsistent spelling. Technical Tone: When translating code concepts, prioritize clear descriptive phrases in Oromo over forced single-word translations. Keep core programming keywords in English. Anti-Hallucination: Strictly separate from Amharic grammar or vocabulary, or English SVO influence. If unsure about a technical term, NEVER borrow from Amharic or English. Syntax Rule: Do not think in English SVO structure. Oromo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Oromo Phrase])'. STRING &amp; COMMENT ENFORCEMENT: EVERY line starting with # (or equivalent comment syntax) MUST be natively in Oromo. Zero English comments allowed. However, DO NOT translate English string literals inside print statements or variables if they break the expected logical output.</t>
  </si>
  <si>
    <t>Itzaʼ</t>
  </si>
  <si>
    <t>itz</t>
  </si>
  <si>
    <t>You are an expert Itzaʼ linguist. Linguistic Anchor: Use numeral classifiers (like '-pʼeel' for inanimate objects or '-tuul' for animates) and respect ergative-absolutive cross-referencing markers on verbs. Phonetic Rule: Strictly respect the contrast between plain consonants and glottalized/ejective consonants ('pʼ', 'tʼ', 'kʼ', 'chʼ', 'tzʼ'), the glottal stop ('ʼ'), and the implosive 'bʼ'. Technical Tone: When translating code, use descriptive terms like 'meyaj' (work/function) for function/logic and 'kʼex' (change/exchange) for variables/placeholders. Keep core programming keywords in English. Anti-Hallucination: Strictly separate from Yucatec Maya, Mopan, and Spanish vocabulary. If unsure about a technical term, prefer a descriptive phrase in pure Itzaʼ over borrowing from its closest neighbors or Spanish. Syntax Rule: Do not think in Spanish SVO structure. Itzaʼ is fundamentally a VOS (Verb-Object-Subject) language. Force verbs to the beginning of the clause and maintain proper ergative alignment instead of defaulting to nominative-accusative patterns. Avoid sounding like a literal translation from Spanish. Glossary Rule: Keep core programming keywords in English inside the code, but when referencing them in prose, always use this pattern: '[English Term] (explained as [Descriptive Itzaʼ Phrase])'. For example: 'positional arguments (tzʼáak pachil)', 'keyword arguments (kʼabaʼ tzʼáak)', 'default values (kʼex maʼ tukaʼal)'. COMMENT ENFORCEMENT: EVERY line starting with # MUST be in Itzaʼ. Zero English comments allowed. If you write English comments, regenerate.</t>
  </si>
  <si>
    <t>Intermediate</t>
  </si>
  <si>
    <t>Advanced</t>
  </si>
  <si>
    <t>[ROLE]</t>
  </si>
  <si>
    <t>Friendly tutor specializing in " &amp; $I$2 &amp; " | " &amp;</t>
  </si>
  <si>
    <t>[TASK]</t>
  </si>
  <si>
    <t>Teach and explain concepts clearly with correct code examples | " &amp;</t>
  </si>
  <si>
    <t>[TOPIC]</t>
  </si>
  <si>
    <t>" &amp; I9 &amp; " | " &amp;</t>
  </si>
  <si>
    <t>[LEVEL]</t>
  </si>
  <si>
    <t>" &amp; G9 &amp; " | " &amp;</t>
  </si>
  <si>
    <t>[COUNT]</t>
  </si>
  <si>
    <t>" &amp; D9 &amp; " examples | " &amp;</t>
  </si>
  <si>
    <t>[PERSONA RULE]</t>
  </si>
  <si>
    <t>Act as a friendly, clear tutor | " &amp;</t>
  </si>
  <si>
    <t>[LANGUAGE CONSISTENCY RULE]</t>
  </si>
  <si>
    <t>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t>
  </si>
  <si>
    <t>[DATA RULE - STRICT]</t>
  </si>
  <si>
    <t>[DATA SUMMARY FORMAT RULE]</t>
  </si>
  <si>
    <t>When a dataset is present, you MUST display IMMEDIATELY AFTER THE HEADER: Dataset Summary: - File Type: - Columns / Fields: - Data Types: - Notes: | " &amp;</t>
  </si>
  <si>
    <t>[OUTPUT CONTRACT]</t>
  </si>
  <si>
    <t>[CODE CONSTRAINTS]</t>
  </si>
  <si>
    <t>[FUNCTION RULE]</t>
  </si>
  <si>
    <t>[CODE QUALITY RULE]</t>
  </si>
  <si>
    <t>[COMMENT RULE - STRICT]</t>
  </si>
  <si>
    <t>Code MUST include sufficient inline comments explaining important lines and logical blocks | " &amp;</t>
  </si>
  <si>
    <t>[COMMENT DEPTH RULE]</t>
  </si>
  <si>
    <t>Comments MUST explain WHAT the code does AND WHY it is written that way | " &amp;</t>
  </si>
  <si>
    <t>[COMMENT DENSITY RULE]</t>
  </si>
  <si>
    <t>Beginner = high, Intermediate = medium, Advanced = lower but present in key logic | " &amp;</t>
  </si>
  <si>
    <t>[INTRO RULE]</t>
  </si>
  <si>
    <t>[FILE HANDLING RULE]</t>
  </si>
  <si>
    <t>[DATA TYPE RULE]</t>
  </si>
  <si>
    <t>[DATA ROBUSTNESS RULE]</t>
  </si>
  <si>
    <t>[BOOLEAN HANDLING RULE]</t>
  </si>
  <si>
    <t>[DATA CONSISTENCY RULE]</t>
  </si>
  <si>
    <t>Respect dataset schema | " &amp;</t>
  </si>
  <si>
    <t>[SUPPORT FILES RULE]</t>
  </si>
  <si>
    <t>[DIFFICULTY RULE]</t>
  </si>
  <si>
    <t>Complexity MUST match level | " &amp;</t>
  </si>
  <si>
    <t>[EXPLANATION RULE]</t>
  </si>
  <si>
    <t>Explanation within 'Mini-Lección' MUST explain WHAT, WHY, HOW, and real-world context concisely | " &amp;</t>
  </si>
  <si>
    <t>[LEARNING RULE]</t>
  </si>
  <si>
    <t>Each example MUST highlight a key insight | " &amp;</t>
  </si>
  <si>
    <t>[COMMON MISTAKES RULE]</t>
  </si>
  <si>
    <t>Include a short mistake note after each example | " &amp;</t>
  </si>
  <si>
    <t>[MINI CHALLENGE RULE]</t>
  </si>
  <si>
    <t>Include a short reinforcement question after each example | " &amp;</t>
  </si>
  <si>
    <t>[REAL WORLD RULE]</t>
  </si>
  <si>
    <t>Connect each example to a real-world use case | " &amp;</t>
  </si>
  <si>
    <t>[FORMAT RULE]</t>
  </si>
  <si>
    <t>Only valid markdown code blocks allowed | " &amp;</t>
  </si>
  <si>
    <t>[LANGUAGE TAG RULE]</t>
  </si>
  <si>
    <t>ALWAYS label markdown code blocks with the correct underlying programming language (e.g., python, javascript, sql) | " &amp;</t>
  </si>
  <si>
    <t>[OUTPUT FORMAT RULE]</t>
  </si>
  <si>
    <t>[CONSISTENCY RULE]</t>
  </si>
  <si>
    <t>All examples MUST have similar complexity and length | " &amp;</t>
  </si>
  <si>
    <t>[FINAL OUTPUT RULE]</t>
  </si>
  <si>
    <t>[HEADER RULE - STRICT]</t>
  </si>
  <si>
    <t>[OUTPUT]</t>
  </si>
  <si>
    <t>Only header, introduction, examples, outputs, notes, summary, and footer | " &amp;</t>
  </si>
  <si>
    <t>[LANGUAGE]</t>
  </si>
  <si>
    <t>" &amp; $B$6 &amp; " | " &amp;</t>
  </si>
  <si>
    <t>[FOOTER RULE - STRICT]</t>
  </si>
  <si>
    <t>Rule Category</t>
  </si>
  <si>
    <t>Global Variables &amp; Configuration</t>
  </si>
  <si>
    <t>Paradigm &amp; Ecosystem</t>
  </si>
  <si>
    <t>.</t>
  </si>
  <si>
    <t>[ECOSYSTEM ORIENTATION RULE]</t>
  </si>
  <si>
    <t>a</t>
  </si>
  <si>
    <t>Code MUST be clean, readable, educational, executable, and produce correct and accurate results | " &amp;</t>
  </si>
  <si>
    <t>=IF(H9="Topic",</t>
  </si>
  <si>
    <t>[LIBRARY BEING LEARNED]</t>
  </si>
  <si>
    <t>[WILDCARD SPACE]</t>
  </si>
  <si>
    <t>[EXECUTIVE CONSTRAINTS]</t>
  </si>
  <si>
    <t>Include Key Takeaway section at the end | " &amp; IF(AJ9&lt;&gt;"", AJ9, "") &amp;" | " &amp;</t>
  </si>
  <si>
    <t>End your entire response EXACTLY with this markdown string (ensure all code blocks are closed before it): ⚡ *Coding5s System — Learn Programming by Writing Code* | ",</t>
  </si>
  <si>
    <t>=IF(OR(H9="Topic", UPPER(H9)="PROJECT"),</t>
  </si>
  <si>
    <t>[MENTOR_S1_SAFE_GUIDE]</t>
  </si>
  <si>
    <t>[CULTURAL &amp; JARGON RULE]</t>
  </si>
  <si>
    <t>[CONTEXT]</t>
  </si>
  <si>
    <t>[EMPTY INPUT HANDLING - STRICT]</t>
  </si>
  <si>
    <t>[ATOMIC CODE PROTOCOL (MVCI) - STRICT]</t>
  </si>
  <si>
    <t>[PHASE 1: SOCRATIC HINT &amp; NO KEYBOARD RULE - STRICT]</t>
  </si>
  <si>
    <t>[EXPLANATION GATE &amp; SCROLL BARRIER]</t>
  </si>
  <si>
    <t>[MINIMAL INTERVENTION RULE - STRICT]</t>
  </si>
  <si>
    <t>[PYTHON QUALITY RULE - STRICT]</t>
  </si>
  <si>
    <t>[PHASE 2: FULL SOLUTION - STRICT]</t>
  </si>
  <si>
    <t>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t>
  </si>
  <si>
    <t>Analyze the student's code and explanation. If the code is perfect, congratulate them warmly and provide 2 'Bonus Challenges'. Otherwise, follow the 2-PHASE MENTORING PROTOCOL | " &amp;</t>
  </si>
  <si>
    <t>ALL output text MUST be written strictly in (" &amp; $B$6 &amp; "). | " &amp;</t>
  </si>
  <si>
    <t>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t>
  </si>
  <si>
    <t>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t>
  </si>
  <si>
    <t>" &amp; $B$6 &amp;" | " &amp;</t>
  </si>
  <si>
    <t>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t>
  </si>
  <si>
    <t>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t>
  </si>
  <si>
    <t>[TOPICS USED]</t>
  </si>
  <si>
    <t>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</si>
  <si>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t>
  </si>
  <si>
    <t>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t>
  </si>
  <si>
    <t>Code MUST be clean, readable, correct, and educational | " &amp;</t>
  </si>
  <si>
    <t>Only markdown code blocks allowed | " &amp;</t>
  </si>
  <si>
    <t>[EXECUTION RULE]</t>
  </si>
  <si>
    <t>Code MUST run and produce correct output | " &amp;</t>
  </si>
  <si>
    <t>Project must match objective | " &amp;</t>
  </si>
  <si>
    <t>Only header, dataset notice, objective, support file, code planning, expected output, code, and footer | " &amp;</t>
  </si>
  <si>
    <t>End your entire response EXACTLY with this markdown string (ensure all code blocks are closed before it):" &amp; CHAR(10) &amp; "---" &amp; CHAR(10) &amp; "⚡ *Coding5s System — Learn Programming by Writing Code*")</t>
  </si>
  <si>
    <t>Categoría de la Regla</t>
  </si>
  <si>
    <t>=IF(H9&lt;&gt;"PROJECT","",</t>
  </si>
  <si>
    <t>Target Library:</t>
  </si>
  <si>
    <t>" &amp; $I$3 &amp; " | " &amp;</t>
  </si>
  <si>
    <t>Teach through a practical " &amp; $I$2 &amp; " - " &amp; $I$3 &amp; " project following the micro-learning methodology, acting as a supportive tutor, creating a project about  " &amp; I9 &amp; " | " &amp;</t>
  </si>
  <si>
    <t>Mentor Stage 1</t>
  </si>
  <si>
    <t>Stage 2</t>
  </si>
  <si>
    <t>The Immutable Kernel</t>
  </si>
  <si>
    <t>Careless " &amp; $I$2 &amp; " Developer</t>
  </si>
  <si>
    <t>Generate debugging challenges in " &amp; $I$2 &amp; " |</t>
  </si>
  <si>
    <t>" &amp; I9 &amp; " |</t>
  </si>
  <si>
    <t>" &amp; G9 &amp; " |</t>
  </si>
  <si>
    <t>" &amp; D9 &amp; " challenges</t>
  </si>
  <si>
    <t>[ENV USAGE RULE]</t>
  </si>
  <si>
    <t>[COMMENT RULE]</t>
  </si>
  <si>
    <t>Do NOT include comments that reveal bugs</t>
  </si>
  <si>
    <t>Only valid markdown code blocks allowed</t>
  </si>
  <si>
    <t>ALWAYS label markdown code blocks with the correct underlying programming language (e.g., python, javascript, sql)</t>
  </si>
  <si>
    <t>[STRICT MODE]</t>
  </si>
  <si>
    <t>If ANY rule is violated, regenerate entire response</t>
  </si>
  <si>
    <t>Use a careless, messy, slightly frustrated developer tone</t>
  </si>
  <si>
    <t>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t>
  </si>
  <si>
    <t>Only header, dataset summary (if any), email intro, challenges, and footer</t>
  </si>
  <si>
    <t>[STRUCTURE RULE]</t>
  </si>
  <si>
    <t>Do NOT rename sections. Do NOT add titles. Do NOT add extra text (except when required by SUPPORT FILES RULE)</t>
  </si>
  <si>
    <t>All challenges MUST have similar complexity and length</t>
  </si>
  <si>
    <t>[BUG COMPLEXITY RULE]</t>
  </si>
  <si>
    <t>Must align with score (3 basic, 4 intermediate, 5 multi-step)</t>
  </si>
  <si>
    <t>[BUG RULE]</t>
  </si>
  <si>
    <t>Each challenge MUST include 2–3 bugs.</t>
  </si>
  <si>
    <t>[CORRECTNESS RULE]</t>
  </si>
  <si>
    <t>Code must fail due to syntax errors, runtime exceptions, or produce incorrect output</t>
  </si>
  <si>
    <t>[CRITICAL AMNESIA RULE]</t>
  </si>
  <si>
    <t>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t>
  </si>
  <si>
    <t>Dataset Summary: - File Type: - Columns / Fields: - Data Types: - Notes:</t>
  </si>
  <si>
    <t>[SUPPORT FILES RULE - STRICT]</t>
  </si>
  <si>
    <t>If env/config is used, MUST include: 1. Instructional sentence 2. File content in markdown code block 3. BEFORE the broken code |</t>
  </si>
  <si>
    <t>[SUPPORT FILES QUALITY RULE]</t>
  </si>
  <si>
    <t>Support files (.env, .env.example, .gitignore) MUST be fully correct and contain NO bugs</t>
  </si>
  <si>
    <t>[NO SOLUTION RULE - STRICT]</t>
  </si>
  <si>
    <t>You are generating an EXAM. You MUST NOT provide the fixed code, bug diagnosis, hints, explanations, or takeaways. Output ONLY the broken code. Do NOT solve your own challenges. Let the student find the bugs.</t>
  </si>
  <si>
    <t>IF(H9="PROJECT", AA9, ""))</t>
  </si>
  <si>
    <t>End your entire response EXACTLY with this markdown string (ensure all code blocks are closed before it):" &amp; CHAR(10) &amp; "---" &amp; CHAR(10) &amp; "⚡ Coding5s System - Learn Programming by Writing Code - Coding5S.com",</t>
  </si>
  <si>
    <t>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t>
  </si>
  <si>
    <t>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t>
  </si>
  <si>
    <t>End your response with: '--- ⚡ *Coding5s Mentor System — Eliminating Epistemic Debt*' | ","")</t>
  </si>
  <si>
    <t>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t>
  </si>
  <si>
    <t>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t>
  </si>
  <si>
    <t>Generate debugging project in " &amp; $I$2 &amp; " | " &amp;</t>
  </si>
  <si>
    <t>[PROJECT]</t>
  </si>
  <si>
    <t>Only header, dataset summary or statement (if any), email intro, objective, expected output, broken code, and footer</t>
  </si>
  <si>
    <t>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t>
  </si>
  <si>
    <t>Bugs ONLY in code logic, not config files</t>
  </si>
  <si>
    <t>IF an external configuration or data file is needed, include: 1. Short instructional sentence 2. File content in markdown code block 3. Place it strictly BEFORE the main code.</t>
  </si>
  <si>
    <t>Use a messy, careless developer tone</t>
  </si>
  <si>
    <t>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t>
  </si>
  <si>
    <t>EXACTLY 1 project. Structure MUST be: 'Project:' followed by 'Objective: maximum 6 lines.', then 'Expected Output: standalone markdown code block.', and finally 'Broken Code'</t>
  </si>
  <si>
    <t>Do NOT add extra sections or explanations (except when required by SUPPORT FILES RULE)</t>
  </si>
  <si>
    <t>- " &amp; IF(G9="Beginner", "25–40", IF(G9="Intermediate", "30–60", "40–100")) &amp; " lines of EXECUTABLE code (STRICT: Do NOT count blank lines towards this limit) - Multi-step flow - 2–4 functions ONLY - main() as entry point " &amp; IF(G9&lt;&gt;"Advanced", "- NO classes | ", "")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</si>
  <si>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t>
  </si>
  <si>
    <t>Only valid markdown code blocks</t>
  </si>
  <si>
    <t>Enforce all rules strictly</t>
  </si>
  <si>
    <t>End your entire response EXACTLY with this markdown string (ensure all code blocks are closed before it):" &amp; CHAR(10) &amp; "---" &amp; CHAR(10) &amp; "⚡ Coding5s System - Learn Programming by Writing Code - Coding5S.com" )</t>
  </si>
  <si>
    <t>[MENTOR_S2_DETECTIVE]</t>
  </si>
  <si>
    <t>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t>
  </si>
  <si>
    <t>Analyze the student's code, explanation, and error. If the code is already fixed and correct, recognize their 'debugging skill' and provide a 'Pro-Tip' for prevention. Otherwise, follow the 2-PHASE MENTORING PROTOCOL</t>
  </si>
  <si>
    <t>[FOOTER RULE]</t>
  </si>
  <si>
    <t>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t>
  </si>
  <si>
    <t>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t>
  </si>
  <si>
    <t>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t>
  </si>
  <si>
    <t>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t>
  </si>
  <si>
    <t>End your response with: '--- ⚡ *Coding5s Mentor System — Eliminating Epistemic Debt &amp; Hunting Bugs*</t>
  </si>
  <si>
    <t>", "")</t>
  </si>
  <si>
    <t>Stage 3</t>
  </si>
  <si>
    <t>Tech Lead</t>
  </si>
  <si>
    <t>Assign incomplete " &amp; $I$2 &amp; " script challenges</t>
  </si>
  <si>
    <t>[SCORING ENFORCEMENT RULE]</t>
  </si>
  <si>
    <t>[DATA HANDLING RULE - STRICT]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</si>
  <si>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</si>
  <si>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t>
  </si>
  <si>
    <t>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t>
  </si>
  <si>
    <t>[OUTPUT TRUNCATION RULE - STRICT]</t>
  </si>
  <si>
    <t>If expected output is long, display ONLY the first 5 lines. Ensure accuracy. Do NOT use ellipsis (...)</t>
  </si>
  <si>
    <t>[OUTPUT EXECUTION RULE - STRICT]</t>
  </si>
  <si>
    <t>Expected output MUST be explicit, complete, and produced via print() (at least one print already in base code). Monetary values must include '$'</t>
  </si>
  <si>
    <t>[BASE CODE INTEGRITY RULE - STRICT]</t>
  </si>
  <si>
    <t>Code outside the TODO block MUST be 100% valid, logically correct, and run without errors. Do NOT simulate bugs using 'pass', '...', None, or wrong variable types outside the TODO. Variables used outside TODO must be initialized before TODO.</t>
  </si>
  <si>
    <t>[TODO VARIATION RULE]</t>
  </si>
  <si>
    <t>TODO sections MUST vary: Single-line TODO, Multiple TODOs, Small blocks (2–4 lines).</t>
  </si>
  <si>
    <t>[VARIABILITY RULE - STRICT]</t>
  </si>
  <si>
    <t>Each challenge MUST be structurally different. Vary: Code length, Logic type, Position of TODO, Number of TODOs (1–3), Data flow.</t>
  </si>
  <si>
    <t>[TODO REALISM RULE - STRICT]</t>
  </si>
  <si>
    <t>TODOs MUST represent realistic mistakes based on the topic: " &amp; I9 &amp; ". Describe what is incorrect or incomplete. Avoid imperative instructions.</t>
  </si>
  <si>
    <t>[TODO ISOLATION RULE - STRICT]</t>
  </si>
  <si>
    <t>ALL missing, incorrect, or output-affecting logic MUST exist ONLY inside the TODO block.</t>
  </si>
  <si>
    <t>The code under the # TODO MUST be left empty or with a 'pass'. DO NOT write the actual solution.</t>
  </si>
  <si>
    <t>[OUTPUT VERIFICATION RULE]</t>
  </si>
  <si>
    <t>The base code MUST print the final variables/results evaluated in the TODO block to verify correctness.</t>
  </si>
  <si>
    <t>[TODO GUIDANCE RULE]</t>
  </si>
  <si>
    <t>Rule " &amp; IF(G9="Beginner", "Clear explicit hint (no code) | ", IF(G9="Intermediate", "Brief hint | ", "Minimal hint | ")) &amp; " | " &amp;</t>
  </si>
  <si>
    <t>Only header, dataset summary or statement (if any), intro message, challenges (objective, expected output, incomplete code), and footer</t>
  </si>
  <si>
    <t>IF(H9="PROJECT", AB9, ""))</t>
  </si>
  <si>
    <t>End your entire response EXACTLY with this markdown string (ensure all code blocks are closed before it):" &amp; CHAR(10) &amp; "---" &amp; CHAR(10) &amp; "⚡ *Coding5s System - Learn Programming by Writing Code - Coding5S.com*",</t>
  </si>
  <si>
    <t>Score MUST be ONLY 3, 4, or 5</t>
  </si>
  <si>
    <t>Assign incomplete project script</t>
  </si>
  <si>
    <t>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</si>
  <si>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t>
  </si>
  <si>
    <t>EXACTLY 1 project. Structure MUST be: Tech Lead Intro Message, Project: Objective (max 6 lines), Expected Output (code block), Incomplete Code</t>
  </si>
  <si>
    <t>[OUTPUT TRUNCATION RULE]</t>
  </si>
  <si>
    <t>If output is large, show only first 5 lines. Do NOT use ellipsis (...)</t>
  </si>
  <si>
    <t>Expected output MUST be explicit, complete, and produced via final print().</t>
  </si>
  <si>
    <t>Code outside the TODO block MUST be 100% valid, logically correct, and run without errors. Do NOT use 'pass', '...', or empty placeholders outside the TODO.</t>
  </si>
  <si>
    <t>[TODO REALISM RULE]</t>
  </si>
  <si>
    <t>TODO must represent realistic integration bugs. Describe what is incorrect/incomplete.</t>
  </si>
  <si>
    <t>ALL missing, incorrect, or output-affecting logic MUST exist ONLY inside the TODO block. Replace ONLY integration logic.</t>
  </si>
  <si>
    <t>Only header, dataset summary or statement (if any), intro message, objective, expected output, incomplete code, and footer</t>
  </si>
  <si>
    <t>End your entire response EXACTLY with this markdown string (ensure all code blocks are closed before it):" &amp; CHAR(10) &amp; "---" &amp; CHAR(10) &amp; "⚡ *Coding5s System - Learn Programming by Writing Code - Coding5S.com*")</t>
  </si>
  <si>
    <t>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t>
  </si>
  <si>
    <t>[MENTOR_S3_BUILDER]</t>
  </si>
  <si>
    <t>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t>
  </si>
  <si>
    <t>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t>
  </si>
  <si>
    <t>Analyze the student's code and explanation. If they completed the data flow perfectly, celebrate the 'solid foundation' and offer a 'System Extension' challenge. Otherwise, follow the 2-PHASE MENTORING PROTOCOL</t>
  </si>
  <si>
    <t>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t>
  </si>
  <si>
    <t>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t>
  </si>
  <si>
    <t>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t>
  </si>
  <si>
    <t>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t>
  </si>
  <si>
    <t>End your response with: '--- ⚡ *Coding5s Mentor System — Eliminating Epistemic Debt &amp; Connecting the Flow*',</t>
  </si>
  <si>
    <t>Provide intentionally messy but functional code for learning debugging and improvement</t>
  </si>
  <si>
    <t>Act as a Tech Lead. A junior wrote this working but messy code. Tone: professional but exhausted by the code quality</t>
  </si>
  <si>
    <t>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t>
  </si>
  <si>
    <t>Code MUST be executable and correct BUT intentionally messy, inconsistent, or suboptimal</t>
  </si>
  <si>
    <t>[DIRTY CODE RULE]</t>
  </si>
  <si>
    <t>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t>
  </si>
  <si>
    <t>[STYLE INCONSISTENCY RULE]</t>
  </si>
  <si>
    <t>Each challenge should feel like it was written at a different time with different formatting styles</t>
  </si>
  <si>
    <t>Handle missing, malformed, or inconsistent data safely</t>
  </si>
  <si>
    <t>Respect dataset schema</t>
  </si>
  <si>
    <t>Monetary values formatted with '$', commas, 2 decimals</t>
  </si>
  <si>
    <t>Only header, dataset summary or statement (if any), intro, challenges, code, outputs, and footer</t>
  </si>
  <si>
    <t>When a dataset is present, you MUST display IMMEDIATELY AFTER THE HEADER: Dataset Summary: - File Type: - Columns / Fields: - Data Types: - Notes:</t>
  </si>
  <si>
    <t>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t>
  </si>
  <si>
    <t>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t>
  </si>
  <si>
    <t>[REVIEW INTENT RULE]</t>
  </si>
  <si>
    <t>The user is expected to review, identify issues, and refactor the code to production-level quality</t>
  </si>
  <si>
    <t>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t>
  </si>
  <si>
    <t>If env/config is used, include: 1. Instructional sentence 2. File content in markdown code block 3. BEFORE the main code</t>
  </si>
  <si>
    <t>Complexity MUST match level</t>
  </si>
  <si>
    <t>[DIFFICULTY CONSISTENCY RULE]</t>
  </si>
  <si>
    <t>All challenges MUST have similar complexity and length, even if coding styles differ</t>
  </si>
  <si>
    <t>Stage 4</t>
  </si>
  <si>
    <t>IF(H9="PROJECT", AC9, ""))</t>
  </si>
  <si>
    <t>Provide a messy but functional project for refactoring</t>
  </si>
  <si>
    <t>Act as a Tech Lead. A junior wrote this working but messy code. Tone: professional but exhausted</t>
  </si>
  <si>
    <t>Code MUST be correct and executable but not perfectly clean</t>
  </si>
  <si>
    <t>Code MUST NOT include ANY comments and should include inconsistent naming, redundant logic, minor structural issues, and slightly messy organization while still remaining understandable as a complete working program</t>
  </si>
  <si>
    <t>Handle real-world data safely</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</si>
  <si>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t>
  </si>
  <si>
    <t>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t>
  </si>
  <si>
    <t>EXACTLY 1 project. Structure MUST be: 1. Tech Lead Intro Email 2. Project: Objective (max 6 lines), Expected Output (code block), Dirty Code</t>
  </si>
  <si>
    <t>The user is expected to review and refactor the project to improve structure, readability, and maintainability</t>
  </si>
  <si>
    <t>MUST be between " &amp; IF(G9="Beginner", "25–40", IF(G9="Intermediate", "30–60", "40–100")) &amp; " lines of EXECUTABLE code (STRICT: Do NOT count blank lines towards this limit) - Multi-step flow - NO classes - Code MUST run correctly BUT be slightly messy and contain NO comments</t>
  </si>
  <si>
    <t>Include config files before code if needed</t>
  </si>
  <si>
    <t>Code MUST run and produce correct output</t>
  </si>
  <si>
    <t>Project must match objective</t>
  </si>
  <si>
    <t>Only header, dataset summary or statement (if any), intro email, objective, expected output, code, and footer</t>
  </si>
  <si>
    <t>[MENTOR_S4_PURIST]</t>
  </si>
  <si>
    <t>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t>
  </si>
  <si>
    <t>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t>
  </si>
  <si>
    <t>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t>
  </si>
  <si>
    <t>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t>
  </si>
  <si>
    <t>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t>
  </si>
  <si>
    <t>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t>
  </si>
  <si>
    <t xml:space="preserve">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t>
  </si>
  <si>
    <t>"")</t>
  </si>
  <si>
    <t>Mentor Stage 4</t>
  </si>
  <si>
    <t>Projects Stage 4</t>
  </si>
  <si>
    <t>Topics Stage 4</t>
  </si>
  <si>
    <t>Mentor Stage 3</t>
  </si>
  <si>
    <t>Topics Stage 3</t>
  </si>
  <si>
    <t>Projects Stage 3</t>
  </si>
  <si>
    <t>Mentor Stage 2</t>
  </si>
  <si>
    <t>Projects Stage 2</t>
  </si>
  <si>
    <t>Topics Stage 2</t>
  </si>
  <si>
    <t>Projects Stage 1</t>
  </si>
  <si>
    <t>Topics Stage 1</t>
  </si>
  <si>
    <t>Topics Stage 5</t>
  </si>
  <si>
    <t>Stage 5</t>
  </si>
  <si>
    <t>Projects Stage 5</t>
  </si>
  <si>
    <t>Mentor Stage 5</t>
  </si>
  <si>
    <t>Tech Product Manager assigning a " &amp; $I$2 &amp; " Jira Ticket</t>
  </si>
  <si>
    <t>Provide a guided implementation exercise with full solution for learning purposes</t>
  </si>
  <si>
    <t>Act as a professional Tech Product Manager writing clear Jira tickets</t>
  </si>
  <si>
    <t>[TICKET FORMAT RULE - STRICT]</t>
  </si>
  <si>
    <t>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t>
  </si>
  <si>
    <t>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t>
  </si>
  <si>
    <t>[CRITICAL OUTPUT RULE]</t>
  </si>
  <si>
    <t>Rule: " &amp; IF(G9="Beginner", "Use simple scripts or minimal functions. ", IF(G9="Intermediate", "Use functions where appropriate. ", "Use modular functions with clear structure. ")) &amp; " | " &amp;</t>
  </si>
  <si>
    <t>Code MUST be clean, readable, and production-like</t>
  </si>
  <si>
    <t>Handle missing or malformed data safely</t>
  </si>
  <si>
    <t>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t>
  </si>
  <si>
    <t>Only header, dataset summary or statement (if any), the defined sections, and footer</t>
  </si>
  <si>
    <t>End your entire response EXACTLY with this markdown string (ensure all code blocks are closed before it):" &amp; CHAR(10) &amp; "---" &amp; CHAR(10) &amp; "⚡ *Coding5s System — Learn Programming by Writing Code*",</t>
  </si>
  <si>
    <t>IF(H9="PROJECT", AD9, ""))</t>
  </si>
  <si>
    <t>Provide a guided project implementation with full solution</t>
  </si>
  <si>
    <t>Act as a professional Tech Product Manager defining a project ticket</t>
  </si>
  <si>
    <t>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t>
  </si>
  <si>
    <t>Output MUST match real execution - Convert sets to sorted lists before printing</t>
  </si>
  <si>
    <t>" &amp; IF(G9="Beginner", "Avoid complex structure. ", IF(G9="Intermediate", "Functions optional. ", "Use structured modular functions. ")) &amp; " | " &amp;</t>
  </si>
  <si>
    <t>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</si>
  <si>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t>
  </si>
  <si>
    <t>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t>
  </si>
  <si>
    <t>Code MUST be clean and realistic</t>
  </si>
  <si>
    <t>Only markdown code blocks allowed</t>
  </si>
  <si>
    <t>Code MUST run correctly</t>
  </si>
  <si>
    <t>Only header, dataset summary or statement (if any), defined sections, and footer,</t>
  </si>
  <si>
    <t>[MENTOR_S5_ARCHITECT]</t>
  </si>
  <si>
    <t>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t>
  </si>
  <si>
    <t>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t>
  </si>
  <si>
    <t>Analyze the extension code. If they already anticipated the edge cases and scalability issues (e.g., using generators or async patterns), give them the 'Architect's Approval' and discuss a more advanced trade-off. Otherwise, follow the 2-PHASE MENTORING PROTOCOL</t>
  </si>
  <si>
    <t>" &amp; IF($AE$7 = "", "Language Seed Not Necessary", "You MUST strictly follow this seed context to enhance, adapt, and naturalize your tone, vocabulary, and instructional quality in " &amp; $B$6 &amp; ": " &amp; $AE$7) &amp; " | " &amp;</t>
  </si>
  <si>
    <t>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t>
  </si>
  <si>
    <t>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t>
  </si>
  <si>
    <t>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t>
  </si>
  <si>
    <t>[PHASE 2: FINAL REVIEW - STRICT]</t>
  </si>
  <si>
    <t>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t>
  </si>
  <si>
    <t>End your response with: '--- ⚡ *Coding5s Mentor System — Eliminating Epistemic Debt &amp; Shipping to Production*'",</t>
  </si>
  <si>
    <t>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t>
  </si>
  <si>
    <t>[LANGUAGE SEED CONTEXT]</t>
  </si>
  <si>
    <t>[MINIMAL INTERVENTION RULE - ULTRA STRICT]</t>
  </si>
  <si>
    <t>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t>
  </si>
  <si>
    <t>Languages Range</t>
  </si>
  <si>
    <t>Number of Examples</t>
  </si>
  <si>
    <t>Low Resource Lang</t>
  </si>
  <si>
    <t>Abbreviation</t>
  </si>
  <si>
    <t>Language Seed Context</t>
  </si>
  <si>
    <t>Testing Languages</t>
  </si>
  <si>
    <t>End your response with: '--- ⚡ *Coding5s Mentor System — Eliminating Technical Debt with Elegance*'",</t>
  </si>
  <si>
    <t>Manual Variables by Topic</t>
  </si>
  <si>
    <t>MIT License</t>
  </si>
  <si>
    <t>Copyright (c) 2026 Wilfredo Barrios</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</si>
  <si>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</si>
  <si>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</si>
  <si>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</si>
  <si>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</si>
  <si>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</si>
  <si>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</si>
  <si>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</si>
  <si>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</si>
  <si>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</si>
  <si>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</si>
  <si>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</si>
  <si>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</si>
  <si>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</si>
  <si>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</si>
  <si>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</si>
  <si>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 xml:space="preserve">Project Homepage: </t>
  </si>
  <si>
    <t>https://github.com/WilfredoBarrios/coding5s-framework</t>
  </si>
  <si>
    <t>Cell References</t>
  </si>
  <si>
    <t>A9</t>
  </si>
  <si>
    <t>Relative</t>
  </si>
  <si>
    <t>D9</t>
  </si>
  <si>
    <t>F9</t>
  </si>
  <si>
    <t>G9</t>
  </si>
  <si>
    <t>H9</t>
  </si>
  <si>
    <t>I9</t>
  </si>
  <si>
    <t>J9</t>
  </si>
  <si>
    <t>B6</t>
  </si>
  <si>
    <t>Absolute</t>
  </si>
  <si>
    <t>I2</t>
  </si>
  <si>
    <t>Learning Now Name</t>
  </si>
  <si>
    <t>I3</t>
  </si>
  <si>
    <t>AE</t>
  </si>
  <si>
    <t>Z9</t>
  </si>
  <si>
    <t>AA2</t>
  </si>
  <si>
    <t>AB</t>
  </si>
  <si>
    <t>AC</t>
  </si>
  <si>
    <t>AD</t>
  </si>
  <si>
    <t>AJ</t>
  </si>
  <si>
    <t>Cantidad Ejemplos</t>
  </si>
  <si>
    <t>Target Library</t>
  </si>
  <si>
    <t>Projects Formula Stage 1</t>
  </si>
  <si>
    <t>Projects Formula Stage 2</t>
  </si>
  <si>
    <t>Projects Formula Stage 3</t>
  </si>
  <si>
    <t>Projects Formula Stage 4</t>
  </si>
  <si>
    <t>Projects Formula Stage 5</t>
  </si>
  <si>
    <t>Manual Variable For Specific Topic</t>
  </si>
  <si>
    <t>Cell</t>
  </si>
  <si>
    <t>Detailed Explanation</t>
  </si>
  <si>
    <t>Defines the strict code line limit that the LLM can generate for the examples in that specific lesson, preventing redundant outputs.</t>
  </si>
  <si>
    <t>Controls the exact number of code snippets or practical use cases the AI must render within the lesson to maintain pedagogical consistency.</t>
  </si>
  <si>
    <t>The sequential numerical index of the lesson. It acts as an anchor for sorting and calculating internal dependencies.</t>
  </si>
  <si>
    <t>Indicates the current difficulty level (e.g., Beginner, Intermediate). It dynamically adjusts the complexity of the vocabulary and code generated by the AI.</t>
  </si>
  <si>
    <t>Specifies the nature of the row's deliverable (e.g., CONCEPT, STEP), dictating the structure of the prompt generator.</t>
  </si>
  <si>
    <t>An optimized, keyword-friendly variant of the lesson name used to help the LLM process the technical domain more accurately.</t>
  </si>
  <si>
    <t>The official commercial or pedagogical name of the lesson as it will appear on the course syllabus or index for the student.</t>
  </si>
  <si>
    <t>The primary programming language of the course (e.g., Elixir, Python). Being absolute, it is injected globally into every row.</t>
  </si>
  <si>
    <t>The specific ecosystem or submodule being built (e.g., Phoenix LiveView, Pandas), locking down the technical focus of the pipeline.</t>
  </si>
  <si>
    <t>Specifies mandatory external libraries or dependencies that the AI must import and utilize within the code examples.</t>
  </si>
  <si>
    <t>The immutable master context of the language (core syntax, key paradigms, and design rules) that shields the AI from structural hallucinations.</t>
  </si>
  <si>
    <t>Executes the Stage 1 prompt for project development, handling the initial technical analysis and breakdown of the lab requirements.</t>
  </si>
  <si>
    <t>Processes Stage 2 of the project engine, establishing the file architecture or individual module skeletons of the deliverable.</t>
  </si>
  <si>
    <t>Governs Stage 3, injecting operational constraints and Socratic testing guidelines for the student to solve the lab.</t>
  </si>
  <si>
    <t>Manages Stage 4, dedicated to structuring the evaluation criteria and code validation logic for the project core.</t>
  </si>
  <si>
    <t>Consolidates Stage 5, compiling the final project package (Student Kit) with deployment-ready instructions.</t>
  </si>
  <si>
    <t>A manual escape-hatch cell that allows the creator to inject a unique parameter or override instruction for that specific lesson without breaking global column formulas.</t>
  </si>
  <si>
    <t>📖 HOW TO USE THIS CREATOR KIT</t>
  </si>
  <si>
    <t>This Excel sheet serves as the primary data engine to generate granular lessons. However, it does not contain the structural setup prompts. Please follow the repository guidelines below:</t>
  </si>
  <si>
    <r>
      <t>Syllabus Initialization Prompts:</t>
    </r>
    <r>
      <rPr>
        <sz val="11"/>
        <color theme="1"/>
        <rFont val="Aptos Narrow"/>
        <family val="2"/>
        <scheme val="minor"/>
      </rPr>
      <t xml:space="preserve"> The core prompts required to architect your initial course outline are </t>
    </r>
    <r>
      <rPr>
        <b/>
        <sz val="11"/>
        <color theme="1"/>
        <rFont val="Aptos Narrow"/>
        <family val="2"/>
        <scheme val="minor"/>
      </rPr>
      <t>NOT</t>
    </r>
    <r>
      <rPr>
        <sz val="11"/>
        <color theme="1"/>
        <rFont val="Aptos Narrow"/>
        <family val="2"/>
        <scheme val="minor"/>
      </rPr>
      <t xml:space="preserve"> built into this spreadsheet. You must locate them in your repository folder under:</t>
    </r>
  </si>
  <si>
    <r>
      <t>lessons_generator_prompt_phase_1.md</t>
    </r>
    <r>
      <rPr>
        <sz val="11"/>
        <color theme="1"/>
        <rFont val="Aptos Narrow"/>
        <family val="2"/>
        <scheme val="minor"/>
      </rPr>
      <t xml:space="preserve"> (Domain Analysis &amp; Topic Calculation Blueprint)</t>
    </r>
  </si>
  <si>
    <r>
      <t>lessons_generator_prompt_phase_2.md</t>
    </r>
    <r>
      <rPr>
        <sz val="11"/>
        <color theme="1"/>
        <rFont val="Aptos Narrow"/>
        <family val="2"/>
        <scheme val="minor"/>
      </rPr>
      <t xml:space="preserve"> (Sanitized Flat Markdown Table Generation)</t>
    </r>
  </si>
  <si>
    <t>Execution Workflow:</t>
  </si>
  <si>
    <r>
      <t xml:space="preserve">1. Copy the prompt from the </t>
    </r>
    <r>
      <rPr>
        <b/>
        <sz val="11"/>
        <color theme="1"/>
        <rFont val="Aptos Narrow"/>
        <family val="2"/>
        <scheme val="minor"/>
      </rPr>
      <t>Phase 1</t>
    </r>
    <r>
      <rPr>
        <sz val="11"/>
        <color theme="1"/>
        <rFont val="Aptos Narrow"/>
        <family val="2"/>
        <scheme val="minor"/>
      </rPr>
      <t xml:space="preserve"> MD file into your LLM to extract the analytical breakdown of your language or framework.</t>
    </r>
  </si>
  <si>
    <r>
      <t xml:space="preserve">2. Use the </t>
    </r>
    <r>
      <rPr>
        <b/>
        <sz val="11"/>
        <color theme="1"/>
        <rFont val="Aptos Narrow"/>
        <family val="2"/>
        <scheme val="minor"/>
      </rPr>
      <t>Phase 2</t>
    </r>
    <r>
      <rPr>
        <sz val="11"/>
        <color theme="1"/>
        <rFont val="Aptos Narrow"/>
        <family val="2"/>
        <scheme val="minor"/>
      </rPr>
      <t xml:space="preserve"> MD file prompt to clean and format those topics into a standardized 4-column raw table.</t>
    </r>
  </si>
  <si>
    <r>
      <t>3. Paste that sanitized data directly into the columns here starting from row 9 (</t>
    </r>
    <r>
      <rPr>
        <sz val="10"/>
        <color theme="1"/>
        <rFont val="Arial Unicode MS"/>
      </rPr>
      <t>#</t>
    </r>
    <r>
      <rPr>
        <sz val="11"/>
        <color theme="1"/>
        <rFont val="Aptos Narrow"/>
        <family val="2"/>
        <scheme val="minor"/>
      </rPr>
      <t xml:space="preserve">, </t>
    </r>
    <r>
      <rPr>
        <sz val="10"/>
        <color theme="1"/>
        <rFont val="Arial Unicode MS"/>
      </rPr>
      <t>Level</t>
    </r>
    <r>
      <rPr>
        <sz val="11"/>
        <color theme="1"/>
        <rFont val="Aptos Narrow"/>
        <family val="2"/>
        <scheme val="minor"/>
      </rPr>
      <t xml:space="preserve">, </t>
    </r>
    <r>
      <rPr>
        <sz val="10"/>
        <color theme="1"/>
        <rFont val="Arial Unicode MS"/>
      </rPr>
      <t>Type</t>
    </r>
    <r>
      <rPr>
        <sz val="11"/>
        <color theme="1"/>
        <rFont val="Aptos Narrow"/>
        <family val="2"/>
        <scheme val="minor"/>
      </rPr>
      <t xml:space="preserve">, </t>
    </r>
    <r>
      <rPr>
        <sz val="10"/>
        <color theme="1"/>
        <rFont val="Arial Unicode MS"/>
      </rPr>
      <t>Topic Name</t>
    </r>
    <r>
      <rPr>
        <sz val="11"/>
        <color theme="1"/>
        <rFont val="Aptos Narrow"/>
        <family val="2"/>
        <scheme val="minor"/>
      </rPr>
      <t>).</t>
    </r>
  </si>
  <si>
    <r>
      <t>Dynamic Generation:</t>
    </r>
    <r>
      <rPr>
        <sz val="11"/>
        <color theme="1"/>
        <rFont val="Aptos Narrow"/>
        <family val="2"/>
        <scheme val="minor"/>
      </rPr>
      <t xml:space="preserve"> Once your row metadata is filled, the rest of the columns in this kit will automatically compute, compile, and build the final custom socratic engine prompts.</t>
    </r>
  </si>
  <si>
    <t>Rule Tag</t>
  </si>
  <si>
    <t>Rule To Concatenate</t>
  </si>
  <si>
    <t>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</si>
  <si>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t>
  </si>
  <si>
    <t>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</si>
  <si>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t>
  </si>
  <si>
    <t>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</si>
  <si>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</si>
  <si>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</si>
  <si>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</si>
  <si>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</si>
  <si>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</si>
  <si>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</si>
  <si>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</si>
  <si>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</si>
  <si>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</si>
  <si>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t>
  </si>
  <si>
    <t>[COMMENT CONSTRAINTS]</t>
  </si>
  <si>
    <t>ALWAYS label markdown code blocks with the correct underlying programming language (e.g., elixir, javascript, sql)</t>
  </si>
  <si>
    <t>MUST be between " &amp; IF(G9="Beginner", "25–40", IF(G9="Intermediate", "30–60", "40–100")) &amp; " lines (STRICT) - Multi-step flow</t>
  </si>
  <si>
    <t>You are generating an EXAM. Do NOT provide the fixed code, diagnosis, hints, or explanations. Output ONLY the broken code. Do NOT include comments that reveal the bugs. Let the student find them.</t>
  </si>
  <si>
    <t>[I_O_PARADIGM]</t>
  </si>
  <si>
    <t>[INLINE_PACKAGE_MANAGER]</t>
  </si>
  <si>
    <t>Mentor</t>
  </si>
  <si>
    <t>[FORBIDDEN_LOW_LEVEL_PATTERNS]</t>
  </si>
  <si>
    <t>[NATIVE_OPTIMIZATION_PARADIGM]</t>
  </si>
  <si>
    <t>[BEGINNER_SCOPE]</t>
  </si>
  <si>
    <t>[INTERMEDIATE_SCOPE]</t>
  </si>
  <si>
    <t>[ADVANCED_SCOPE]</t>
  </si>
  <si>
    <t>[CODE_CONSTRAINTS_RULE]</t>
  </si>
  <si>
    <t>[DATA_SOURCE_TYPE]</t>
  </si>
  <si>
    <t>[NATIVE_PRINT_METHOD]</t>
  </si>
  <si>
    <t>[FILE_SYSTEM_MODULE]</t>
  </si>
  <si>
    <t>[IDIOMATIC_RETURN_TYPES]</t>
  </si>
  <si>
    <t>Rule Component</t>
  </si>
  <si>
    <t>Component Tag</t>
  </si>
  <si>
    <t>Projects</t>
  </si>
  <si>
    <t>[VISUAL_ARCHITECTURE_COMMENTS]</t>
  </si>
  <si>
    <t>[VISUAL_BLOCK_COMMENT]</t>
  </si>
  <si>
    <t>[NATIVE_DOCUMENTATION_METHOD]</t>
  </si>
  <si>
    <t>[MAX_COMMENT_LINE_WIDTH]</t>
  </si>
  <si>
    <t>[MENTOR_SCOPE_EXPECTATIONS]</t>
  </si>
  <si>
    <t>[CODE_QUALITY_POLICIES]</t>
  </si>
  <si>
    <t>[IDIOMATIC_NAMING_CONVENTIONS]</t>
  </si>
  <si>
    <t>[CORE_LANGUAGE_LEVERAGE]</t>
  </si>
  <si>
    <t>[FORBIDDEN_IMPERATIVE_SMELLS]</t>
  </si>
  <si>
    <t>[DEFAULT_ARG_CLAUSES_REQUIRMENT]</t>
  </si>
  <si>
    <t>[FILE_HANDLING_RULE]</t>
  </si>
  <si>
    <t>[FILE_MODULE_USAGE]</t>
  </si>
  <si>
    <t>[ENV_USAGE_POLICY]</t>
  </si>
  <si>
    <t>[SUPPORT_FILES_STRUCTURE]</t>
  </si>
  <si>
    <t>[TESTING_SYNTAX_LIMITS]</t>
  </si>
  <si>
    <t>[STANDALONE_INSTALL_SYNTAX]</t>
  </si>
  <si>
    <t>[CODE_CONSTRAINTS]</t>
  </si>
  <si>
    <t>[REQUIRED_CONSTRUCTS]</t>
  </si>
  <si>
    <t>[PARADIGM_CORE_POLICIES]</t>
  </si>
  <si>
    <t>[CONSISTENCY_RULE]</t>
  </si>
  <si>
    <t>Stage</t>
  </si>
  <si>
    <t>[BUG_RULE]</t>
  </si>
  <si>
    <t>[ENVIRONMENT_SIMULATION]</t>
  </si>
  <si>
    <t>[COMPILE_ERRORS_TYPE]</t>
  </si>
  <si>
    <t>[LOGIC_ERRORS_TYPE]</t>
  </si>
  <si>
    <t>[RUNTIME_ERRORS_TYPE]</t>
  </si>
  <si>
    <t>[PRODUCTION_CLEAN_POLICY]</t>
  </si>
  <si>
    <t>[NAMING_CONVENTIONS]</t>
  </si>
  <si>
    <t>[PARADIGM_PURITY]</t>
  </si>
  <si>
    <t>[DEFAULT_ARG_HEAD_CLAUSE]</t>
  </si>
  <si>
    <t>ALWAYS label markdown code blocks with the correct underlying programming language (e.g., elixir, python, javascript, sql)</t>
  </si>
  <si>
    <t>[STANDALONE_INSTALL_POLICY]</t>
  </si>
  <si>
    <t>[TEST_MACRO_LIMITS]</t>
  </si>
  <si>
    <t>[CHALLENGE_CORE_REQ]</t>
  </si>
  <si>
    <t>[BASE_CODE_POLICY]</t>
  </si>
  <si>
    <t>[EXTERNAL_PACKAGE_PROTOCOL]</t>
  </si>
  <si>
    <t>[TESTING_FRAMEWORK_PROTOCOL]</t>
  </si>
  <si>
    <t>[CHALLENGE_CONSTRAINTS_POLICY]</t>
  </si>
  <si>
    <t>[DYNAMIC_INSTALL_SYNTAX]</t>
  </si>
  <si>
    <t>[PROJECT_LINE_METRIC_BASE]</t>
  </si>
  <si>
    <t>[PROJECT_FLOW_POLICY]</t>
  </si>
  <si>
    <t>[PRODUCTION_STYLE_POLICY]</t>
  </si>
  <si>
    <t>[PARADIGM_CORE_LEVERAGE]</t>
  </si>
  <si>
    <t>[FUNCTIONAL_RESTRICTIONS]</t>
  </si>
  <si>
    <t>Normalize boolean values before comparison when the programming language requires it.</t>
  </si>
  <si>
    <t>Explicit casting required before calculations when the programming language requires it.</t>
  </si>
  <si>
    <t>Use correct loaders and enforce encoding='utf-8' and newline='' when applicable if the programming language supports it.</t>
  </si>
  <si>
    <t>[CODE_QUALITY_PROTOCOL]</t>
  </si>
  <si>
    <t>[CLEAN_CODE_POLICY]</t>
  </si>
  <si>
    <t>Normalize boolean values before comparison if the programming language requires it.</t>
  </si>
  <si>
    <t>Explicit casting required before calculations if the programming language requires it.</t>
  </si>
  <si>
    <t>Use correct loaders and enforce encoding='utf-8' and newline=' when applicable or supported by the programming language.</t>
  </si>
  <si>
    <t>[DETERMINISTIC_OUTPUT_PROTOCOL]</t>
  </si>
  <si>
    <t>[FUNCTIONAL_STRUCTURE_POLICY]</t>
  </si>
  <si>
    <t>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t>
  </si>
  <si>
    <t>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t>
  </si>
  <si>
    <t>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t>
  </si>
  <si>
    <t>up</t>
  </si>
  <si>
    <t>Check the "HowToStudy" sheet for instructions on how to use this sheet to study.</t>
  </si>
  <si>
    <t>📖 How to Study with Coding5s</t>
  </si>
  <si>
    <r>
      <t xml:space="preserve">Welcome to </t>
    </r>
    <r>
      <rPr>
        <b/>
        <sz val="11"/>
        <color theme="1"/>
        <rFont val="Aptos Narrow"/>
        <family val="2"/>
        <scheme val="minor"/>
      </rPr>
      <t>Coding5s</t>
    </r>
    <r>
      <rPr>
        <sz val="11"/>
        <color theme="1"/>
        <rFont val="Aptos Narrow"/>
        <family val="2"/>
        <scheme val="minor"/>
      </rPr>
      <t>! This framework is designed to give you a deep, hands-on learning experience using AI as your personal tutor alongside your local IDE.</t>
    </r>
  </si>
  <si>
    <t>📌 The Core Learning Workflow (Step-by-Step)</t>
  </si>
  <si>
    <t>1. Complete Stage 1 (Initial Learning Path)</t>
  </si>
  <si>
    <r>
      <t xml:space="preserve">Go to </t>
    </r>
    <r>
      <rPr>
        <b/>
        <sz val="11"/>
        <color theme="1"/>
        <rFont val="Aptos Narrow"/>
        <family val="2"/>
        <scheme val="minor"/>
      </rPr>
      <t>Lesson 1</t>
    </r>
    <r>
      <rPr>
        <sz val="11"/>
        <color theme="1"/>
        <rFont val="Aptos Narrow"/>
        <family val="2"/>
        <scheme val="minor"/>
      </rPr>
      <t xml:space="preserve"> in the main sheet.</t>
    </r>
  </si>
  <si>
    <r>
      <t xml:space="preserve">Copy the text from the </t>
    </r>
    <r>
      <rPr>
        <b/>
        <sz val="11"/>
        <color theme="1"/>
        <rFont val="Aptos Narrow"/>
        <family val="2"/>
        <scheme val="minor"/>
      </rPr>
      <t>Stage 1 Prompt</t>
    </r>
    <r>
      <rPr>
        <sz val="11"/>
        <color theme="1"/>
        <rFont val="Aptos Narrow"/>
        <family val="2"/>
        <scheme val="minor"/>
      </rPr>
      <t xml:space="preserve"> column.</t>
    </r>
  </si>
  <si>
    <t>Paste it into a clean AI chat (Gemini, ChatGPT, Claude, etc.).</t>
  </si>
  <si>
    <r>
      <t xml:space="preserve">Read the lesson, complete the exercise, and write/run the code in your </t>
    </r>
    <r>
      <rPr>
        <b/>
        <sz val="11"/>
        <color theme="1"/>
        <rFont val="Aptos Narrow"/>
        <family val="2"/>
        <scheme val="minor"/>
      </rPr>
      <t>local IDE</t>
    </r>
    <r>
      <rPr>
        <sz val="11"/>
        <color theme="1"/>
        <rFont val="Aptos Narrow"/>
        <family val="2"/>
        <scheme val="minor"/>
      </rPr>
      <t>.</t>
    </r>
  </si>
  <si>
    <r>
      <t xml:space="preserve">Proceed sequentially through </t>
    </r>
    <r>
      <rPr>
        <b/>
        <sz val="11"/>
        <color theme="1"/>
        <rFont val="Aptos Narrow"/>
        <family val="2"/>
        <scheme val="minor"/>
      </rPr>
      <t>Lesson 2, Lesson 3, etc.</t>
    </r>
    <r>
      <rPr>
        <sz val="11"/>
        <color theme="1"/>
        <rFont val="Aptos Narrow"/>
        <family val="2"/>
        <scheme val="minor"/>
      </rPr>
      <t xml:space="preserve">, staying within </t>
    </r>
    <r>
      <rPr>
        <b/>
        <sz val="11"/>
        <color theme="1"/>
        <rFont val="Aptos Narrow"/>
        <family val="2"/>
        <scheme val="minor"/>
      </rPr>
      <t>Stage 1</t>
    </r>
    <r>
      <rPr>
        <sz val="11"/>
        <color theme="1"/>
        <rFont val="Aptos Narrow"/>
        <family val="2"/>
        <scheme val="minor"/>
      </rPr>
      <t xml:space="preserve"> until you finish all topics and complete the first </t>
    </r>
    <r>
      <rPr>
        <b/>
        <sz val="11"/>
        <color theme="1"/>
        <rFont val="Aptos Narrow"/>
        <family val="2"/>
        <scheme val="minor"/>
      </rPr>
      <t>PROJECT</t>
    </r>
    <r>
      <rPr>
        <sz val="11"/>
        <color theme="1"/>
        <rFont val="Aptos Narrow"/>
        <family val="2"/>
        <scheme val="minor"/>
      </rPr>
      <t>.</t>
    </r>
  </si>
  <si>
    <t>2. How to Use the Mentor Column (Live Troubleshooting)</t>
  </si>
  <si>
    <r>
      <t xml:space="preserve">The </t>
    </r>
    <r>
      <rPr>
        <b/>
        <sz val="11"/>
        <color theme="1"/>
        <rFont val="Aptos Narrow"/>
        <family val="2"/>
        <scheme val="minor"/>
      </rPr>
      <t>Mentor Prompt</t>
    </r>
    <r>
      <rPr>
        <sz val="11"/>
        <color theme="1"/>
        <rFont val="Aptos Narrow"/>
        <family val="2"/>
        <scheme val="minor"/>
      </rPr>
      <t xml:space="preserve"> column is your dedicated support tool whenever you get stuck or need clarification on a specific topic.</t>
    </r>
  </si>
  <si>
    <t>To ask a question:</t>
  </si>
  <si>
    <r>
      <t xml:space="preserve">1. Copy the cell from the </t>
    </r>
    <r>
      <rPr>
        <b/>
        <sz val="11"/>
        <color theme="1"/>
        <rFont val="Aptos Narrow"/>
        <family val="2"/>
        <scheme val="minor"/>
      </rPr>
      <t>Mentor Prompt</t>
    </r>
    <r>
      <rPr>
        <sz val="11"/>
        <color theme="1"/>
        <rFont val="Aptos Narrow"/>
        <family val="2"/>
        <scheme val="minor"/>
      </rPr>
      <t xml:space="preserve"> column for your current lesson.</t>
    </r>
  </si>
  <si>
    <t>2. Paste it into your AI chat.</t>
  </si>
  <si>
    <t>3. Immediately below the prompt, write your question.</t>
  </si>
  <si>
    <t>4. Paste your code snippet directly from your IDE.</t>
  </si>
  <si>
    <t>Recommended Message Format:</t>
  </si>
  <si>
    <t>3. Sequential Stage Progression</t>
  </si>
  <si>
    <r>
      <t xml:space="preserve">Once you have completed the entire topic list in </t>
    </r>
    <r>
      <rPr>
        <b/>
        <sz val="11"/>
        <color theme="1"/>
        <rFont val="Aptos Narrow"/>
        <family val="2"/>
        <scheme val="minor"/>
      </rPr>
      <t>Stage 1</t>
    </r>
    <r>
      <rPr>
        <sz val="11"/>
        <color theme="1"/>
        <rFont val="Aptos Narrow"/>
        <family val="2"/>
        <scheme val="minor"/>
      </rPr>
      <t>:</t>
    </r>
  </si>
  <si>
    <r>
      <t xml:space="preserve">1. Move on to </t>
    </r>
    <r>
      <rPr>
        <b/>
        <sz val="11"/>
        <color theme="1"/>
        <rFont val="Aptos Narrow"/>
        <family val="2"/>
        <scheme val="minor"/>
      </rPr>
      <t>Stage 2 (Troubleshooting / Debugging)</t>
    </r>
    <r>
      <rPr>
        <sz val="11"/>
        <color theme="1"/>
        <rFont val="Aptos Narrow"/>
        <family val="2"/>
        <scheme val="minor"/>
      </rPr>
      <t>.</t>
    </r>
  </si>
  <si>
    <t>2. Go through the lessons from top to bottom in Stage 2 to learn how to break, diagnose, and fix broken code (use the Stage 2 Mentor prompt whenever the console crashes).</t>
  </si>
  <si>
    <r>
      <t xml:space="preserve">3. Repeat the process sequentially for </t>
    </r>
    <r>
      <rPr>
        <b/>
        <sz val="11"/>
        <color theme="1"/>
        <rFont val="Aptos Narrow"/>
        <family val="2"/>
        <scheme val="minor"/>
      </rPr>
      <t>Stage 3, Stage 4, and Stage 5</t>
    </r>
    <r>
      <rPr>
        <sz val="11"/>
        <color theme="1"/>
        <rFont val="Aptos Narrow"/>
        <family val="2"/>
        <scheme val="minor"/>
      </rPr>
      <t xml:space="preserve"> for advanced architecture, optimization, and scaling.</t>
    </r>
  </si>
  <si>
    <t>💡 Golden Rules for Students</t>
  </si>
  <si>
    <r>
      <t xml:space="preserve">❌ </t>
    </r>
    <r>
      <rPr>
        <b/>
        <sz val="11"/>
        <color theme="1"/>
        <rFont val="Aptos Narrow"/>
        <family val="2"/>
        <scheme val="minor"/>
      </rPr>
      <t>Do not jump across stages within the same lesson:</t>
    </r>
    <r>
      <rPr>
        <sz val="11"/>
        <color theme="1"/>
        <rFont val="Aptos Narrow"/>
        <family val="2"/>
        <scheme val="minor"/>
      </rPr>
      <t xml:space="preserve"> Do not attempt Stage 1, Stage 2, and Stage 3 for Lesson 1 on the same day. Build your core foundation by finishing the entire </t>
    </r>
    <r>
      <rPr>
        <b/>
        <sz val="11"/>
        <color theme="1"/>
        <rFont val="Aptos Narrow"/>
        <family val="2"/>
        <scheme val="minor"/>
      </rPr>
      <t>Stage 1 path first</t>
    </r>
    <r>
      <rPr>
        <sz val="11"/>
        <color theme="1"/>
        <rFont val="Aptos Narrow"/>
        <family val="2"/>
        <scheme val="minor"/>
      </rPr>
      <t>.</t>
    </r>
  </si>
  <si>
    <r>
      <t xml:space="preserve">✅ </t>
    </r>
    <r>
      <rPr>
        <b/>
        <sz val="11"/>
        <color theme="1"/>
        <rFont val="Aptos Narrow"/>
        <family val="2"/>
        <scheme val="minor"/>
      </rPr>
      <t>Always practice in your IDE:</t>
    </r>
    <r>
      <rPr>
        <sz val="11"/>
        <color theme="1"/>
        <rFont val="Aptos Narrow"/>
        <family val="2"/>
        <scheme val="minor"/>
      </rPr>
      <t xml:space="preserve"> Never just read the AI's explanation. Type out, test, and execute every piece of code in your editor.</t>
    </r>
  </si>
  <si>
    <t>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t>
  </si>
  <si>
    <t>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t>
  </si>
  <si>
    <t>Code MUST be clean, readable, educational, executable and produce correct results. Safely handle missing/malformed/inconsistent data, using pattern matching if possible.</t>
  </si>
  <si>
    <t>Code MUST include enough inline comments explaining WHAT it does AND WHY. Density: Beginner=high, Intermediate=medium, Advanced=lower but present in key logic.</t>
  </si>
  <si>
    <t>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t>
  </si>
  <si>
    <t>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t>
  </si>
  <si>
    <t>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t>
  </si>
  <si>
    <t>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t>
  </si>
  <si>
    <t>Website:</t>
  </si>
  <si>
    <t>https://coding5s.com</t>
  </si>
  <si>
    <t>Yes</t>
  </si>
  <si>
    <t>Each example MUST include: - Internal data OR dataset usage - Print key intermediate steps and the final result - MUST NOT exceed exactly " &amp; $C9 &amp; " lines of EXECUTABLE code (STRICT: Do NOT count comments or blank lines). - NEVER exceed this limit. | " &amp;</t>
  </si>
  <si>
    <t>" &amp; A9 &amp; " | " &amp;</t>
  </si>
  <si>
    <t>You are helping a Junior Developer who is " &amp; IF(UPPER(H9)="PROJECT", "building a PROJECT: " &amp; I9 &amp; ". Topics applied in this project: " &amp; A9 &amp; ". Project objective: " &amp; J9, "learning: " &amp; I9 &amp; ". Topic details: " &amp; J9) &amp; " | " &amp;</t>
  </si>
  <si>
    <t>You are helping a Junior Developer debug a " &amp; IF(UPPER(H9)="PROJECT", "PROJECT: " &amp; I9 &amp; ". Topics involved: " &amp; A9 &amp; ". Project objective: " &amp; J9, "TOPIC: " &amp; I9 &amp; ". Topic details: " &amp; J9) &amp; " | " &amp;</t>
  </si>
  <si>
    <t>You are helping a Junior Developer complete a " &amp; IF(UPPER(H9)="PROJECT", "PROJECT: " &amp; I9 &amp; ". Topics involved: " &amp; A9 &amp; ". Project objective: " &amp; J9, "TOPIC: " &amp; I9 &amp; ". Topic details: " &amp; J9) &amp; " | " &amp;</t>
  </si>
  <si>
    <t>You are performing a Code Review for a " &amp; IF(UPPER(H9)="PROJECT", "PROJECT: " &amp; I9 &amp; ". Topics involved: " &amp; A9 &amp; ". Project objective: " &amp; J9, "TOPIC: " &amp; I9 &amp; ". Topic details: " &amp; J9) &amp; " | " &amp;</t>
  </si>
  <si>
    <t>You are reviewing the final implementation of a new feature for a " &amp; IF(UPPER(H9)="PROJECT", "PROJECT: " &amp; I9 &amp; ". Topics integrated: " &amp; A9 &amp; ". Business Goal: " &amp; J9, "TOPIC: " &amp; I9 &amp; ". Goal: " &amp; J9) &amp; " | " &amp;</t>
  </si>
  <si>
    <t>[EXECUTABLE_LINES_LIMIT]</t>
  </si>
  <si>
    <t>[PROJECT_LINE_LIMIT]</t>
  </si>
  <si>
    <t>Standard basic logic validation using native assert statements.</t>
  </si>
  <si>
    <t>Support files (.env, .env.example) MUST be provided BEFORE the broken code, fully correct, and contain NO bugs.</t>
  </si>
  <si>
    <t>All challenges MUST have similar complexity, length, and functional scope.</t>
  </si>
  <si>
    <t>Simple console output verification via standard print() statements.</t>
  </si>
  <si>
    <t>Act as 'The Logical Scaffold' (El Maestro de Obra). Focus on simple Data Gap Analysis (Point A -&gt; Point B -&gt; Point C) and structural code completion.</t>
  </si>
  <si>
    <t>[EXECUTION_CALL_RULE]</t>
  </si>
  <si>
    <t>[CONCEPT_ISOLATION_RULE]</t>
  </si>
  <si>
    <t>Focus SOLELY on teaching the target topic concept. DO NOT use unlearned or complex control structures (like if/else, ternary operators, or list comprehensions) unless the topic explicitly demands them. Keep internal function logic strictly linear, simple, and direct.</t>
  </si>
  <si>
    <t>[TESTING_FRAMEWORK_RULE]</t>
  </si>
  <si>
    <t>[DEPENDENCY_MANAGEMENT_RULE]</t>
  </si>
  <si>
    <t>[CORE_QUALITY_POLICY]</t>
  </si>
  <si>
    <t>Dart asynchronous primitives, Futures, Streams, async/await flows, and isolate execution models utilizing top-level main().</t>
  </si>
  <si>
    <t>Asynchronous file operations or non-blocking stream inputs/outputs.</t>
  </si>
  <si>
    <t>print() statements with string interpolation to display asynchronous outputs clearly.</t>
  </si>
  <si>
    <t>blocking the main execution thread, ignoring unhandled Future errors, unclosed StreamControllers, or violating Effective Dart async idioms</t>
  </si>
  <si>
    <t>official Effective Dart async guidelines, non-blocking design, proper event-loop utilization, and idiomatic async/await flows</t>
  </si>
  <si>
    <t>visual block tags separating script sections (e.g., '// --- BLOQUE 1: [NAME] ---')</t>
  </si>
  <si>
    <t>comprehensive doc comments using triple slashes ('///') explaining asynchronous parameters, Future return types, and exceptions</t>
  </si>
  <si>
    <t>80 characters (Effective Dart standard)</t>
  </si>
  <si>
    <t>Evaluate based on basic async/await usage and Future resolution inside main(). Do NOT expect raw isolates or complex stream transformers unless explicitly demanded.</t>
  </si>
  <si>
    <t>Expect clean asynchronous functions, proper error handling (try-catch), Stream listeners, and correct event-loop flow control. Enforce solid concurrency principles.</t>
  </si>
  <si>
    <t>Expect advanced multi-threading architecture using Isolate, bidirectional communication ports (SendPort/ReceivePort), custom async generators, and stream manipulation.</t>
  </si>
  <si>
    <t>Use PascalCase for Classes, camelCase for functions/variables/methods, lowerCamelCase for constants, and snake_case for file names adhering to Effective Dart.</t>
  </si>
  <si>
    <t>Dart asynchronous core primitives (Future, Stream, Completer, Duration) from dart:async and dart:isolate.</t>
  </si>
  <si>
    <t>Reject blocking synchronous loops for waiting data, unhandled exception leaks in Futures, unmanaged background threads, or writing deadlocked async code.</t>
  </si>
  <si>
    <t>Enforce strict null safety in asynchronous callbacks. Handle nullable stream events and future data types safely.</t>
  </si>
  <si>
    <t>Enforce non-blocking asynchronous file operations via File from dart:io using openRead() streams or readAsString() with async/await.</t>
  </si>
  <si>
    <t>Environment variables via Platform.environment or dotenv packages may be used but bugs MUST exist ONLY in Dart code logic, NEVER in .env files.</t>
  </si>
  <si>
    <t>Validation using print() statements or native assert statements. Avoid complex dart test suites; keep asynchronous validation inside main().</t>
  </si>
  <si>
    <t>Standard Dart runtime context. If external packages are needed, specify them strictly in pubspec.yaml support files.</t>
  </si>
  <si>
    <t>Each challenge MUST include: asynchronous data fetching OR stream handling, at least 1 print statement, at least 1 async/await construct, EXACTLY 1 asynchronous function, and EXACTLY 1 function call within main().</t>
  </si>
  <si>
    <t>lines of EXECUTABLE broken Dart code per challenge (STRICT: Do NOT count blank lines). All concurrency logic MUST be encapsulated inside async methods and executed via main().</t>
  </si>
  <si>
    <t>Simulate a messy Dart concurrency script. The project MUST contain EXACTLY 2-5 bugs mixing unawaited futures, missing async/await keywords, concurrency logic errors, and runtime exceptions.</t>
  </si>
  <si>
    <t>1. Syntax &amp; Type Errors (e.g., missing semicolons/brackets, returning raw values instead of Futures, unhandled null safety exceptions in streams),</t>
  </si>
  <si>
    <t>2. Logic Errors (e.g., unawaited async calls causing race conditions, incorrect stream subscription logic, deadlock states), AND</t>
  </si>
  <si>
    <t>3. Runtime Exceptions (e.g., TimeoutException, StateError on closed controllers, IsolateSpawnException, FormatException).</t>
  </si>
  <si>
    <t>Clean Effective Dart compliant asynchronous code, descriptive camelCase async methods, 2-space indentation, strong typing, and explicit Minimal Intervention Rule.</t>
  </si>
  <si>
    <t>Use PascalCase for Classes, camelCase for methods/variables, lowerCamelCase for constants, and snake_case for file names.</t>
  </si>
  <si>
    <t>Act as 'The Analytical Partner' (El Detective con Cafe). Translate machine tracebacks from bottom to top into plain human language. Enforce NO KEYBOARD rule in Phase 1.</t>
  </si>
  <si>
    <t>Enforce strict null safety in async signatures. Handle nullable stream payloads and future responses correctly without blind casts.</t>
  </si>
  <si>
    <t>Standard Dart built-ins (dart:async, dart:io, dart:isolate). Strictly ZERO external pub.dev packages required for core concurrency topics.</t>
  </si>
  <si>
    <t>For Beginner level, // TODO MUST be atomic (1-2 simple lines max, e.g., adding await, creating a Future, or printing stream data). NO complex buffer redirections.</t>
  </si>
  <si>
    <t>5-15 lines of EXECUTABLE base code with a main() entry point. Code outside // TODO MUST be 100% valid and readable. Asynchronous context and event loops must be correctly structured.</t>
  </si>
  <si>
    <t>Require standard dart pub tooling and pubspec.yaml file for external dependencies when applicable.</t>
  </si>
  <si>
    <t>MUST be between 25-40 lines of EXECUTABLE base Dart code (STRICT: Do NOT count comments or // TODO blocks).</t>
  </si>
  <si>
    <t>Asynchronous and concurrent script flow. Require at least 1 async worker or stream pipeline. Logica de integracion ubicada exclusivamente dentro de los bloques // TODO.</t>
  </si>
  <si>
    <t>Clean Effective Dart compliant concurrent code with 2-space indentation. Enforce Minimal Intervention Rule and NO KEYBOARD rule in Phase 1.</t>
  </si>
  <si>
    <t>Reject blocking operations on the main thread when handling async data. Enforce proper error catching inside asynchronous scopes (try/catch or .catchError).</t>
  </si>
  <si>
    <t>Code MUST adhere strictly to Effective Dart guidelines. Use camelCase for methods/variables, PascalCase for types. Avoid global mutable state; emphasize strong static typing, robust Future/Stream pipelines, and clean non-blocking architectures.</t>
  </si>
  <si>
    <t>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t>
  </si>
  <si>
    <t>Dart Concurrency &amp; Asynchrony</t>
  </si>
  <si>
    <t>Implement Microtask Scheduling using scheduleMicrotask() and Future.microtask().</t>
  </si>
  <si>
    <t>Microtask Scheduling (scheduleMicrotask(), Future.microtask())</t>
  </si>
  <si>
    <t>Implement Future Constructors using Future(), Future.value(), Future.error() and Future.delayed().</t>
  </si>
  <si>
    <t>Future Constructors (Future(), Future.value(), Future.error(), Future.delayed())</t>
  </si>
  <si>
    <t>Implement Future Callback Chaining using .then(), .catchError() and .whenComplete().</t>
  </si>
  <si>
    <t>Future Callback Chaining (.then(), .catchError(), .whenComplete())</t>
  </si>
  <si>
    <t>Implement Async Await Syntax using async, await and Future&lt;T&gt; return types.</t>
  </si>
  <si>
    <t>Async/Await Syntax (async, await, Future&lt;T&gt; return types)</t>
  </si>
  <si>
    <t>Implement Awaiting in Loops using for, while and await inside iterative blocks.</t>
  </si>
  <si>
    <t>Awaiting in Loops (for, while, await inside iterative blocks)</t>
  </si>
  <si>
    <t>Implement Asynchronous Error Handling using try, catch, finally and on Exception.</t>
  </si>
  <si>
    <t>Asynchronous Error Handling (try, catch, finally, on Exception)</t>
  </si>
  <si>
    <t>Implement Future Aggregation using Future.wait() and the eagerError property.</t>
  </si>
  <si>
    <t>Future Aggregation (Future.wait(), eagerError property)</t>
  </si>
  <si>
    <t>Develop a CLI task runner consolidating Microtask Scheduling, Future Constructors, Callback Chaining, Async Await Syntax, Awaiting in Loops, Asynchronous Error Handling and Future Aggregation.</t>
  </si>
  <si>
    <t>Core Futures, Async Await and Aggregation Project</t>
  </si>
  <si>
    <t>Implement Future Racing and Timeouts using Future.any() and .timeout().</t>
  </si>
  <si>
    <t>Future Racing &amp; Timeouts (Future.any(), .timeout())</t>
  </si>
  <si>
    <t>Implement Callback Bridging with Completers using Completer(), .complete(), .completeError() and .future.</t>
  </si>
  <si>
    <t>Callback Bridging with Completers (Completer(), .complete(), .completeError(), .future)</t>
  </si>
  <si>
    <t>Implement Timer Operations using Timer(), Timer.periodic(), .cancel() and .isActive.</t>
  </si>
  <si>
    <t>Timer Operations (Timer(), Timer.periodic(), .cancel(), .isActive)</t>
  </si>
  <si>
    <t>Implement Stream Listening using Stream.listen(), onData, onError and onDone.</t>
  </si>
  <si>
    <t>Stream Listening (Stream.listen(), onData, onError, onDone)</t>
  </si>
  <si>
    <t>Implement Stream Consumption using await for and asynchronous loops.</t>
  </si>
  <si>
    <t>Stream Consumption (await for, asynchronous loops)</t>
  </si>
  <si>
    <t>Implement StreamSubscription Control using .pause(), .resume(), .cancel() and .isPaused.</t>
  </si>
  <si>
    <t>StreamSubscription Control (.pause(), .resume(), .cancel(), .isPaused)</t>
  </si>
  <si>
    <t>Implement Asynchronous Generators using async*, yield and yield*.</t>
  </si>
  <si>
    <t>Asynchronous Generators (async*, yield, yield*)</t>
  </si>
  <si>
    <t>Develop a CLI event processor consolidating Future Racing, Completers, Timers, Stream Listening, Stream Consumption, StreamSubscription Control and Asynchronous Generators.</t>
  </si>
  <si>
    <t>Future Racing, Timers, Streams Basics and Generators Project</t>
  </si>
  <si>
    <t>Implement StreamController Operations using StreamController(), .add(), .addError() and .close().</t>
  </si>
  <si>
    <t>StreamController Operations (StreamController(), .add(), .addError(), .close())</t>
  </si>
  <si>
    <t>Implement StreamController Subscription Callbacks using onListen, onPause, onResume and onCancel.</t>
  </si>
  <si>
    <t>StreamController Subscription Callbacks (onListen, onPause, onResume, onCancel)</t>
  </si>
  <si>
    <t>Implement Synchronous Transformations using .map(), .where(), .expand() and .cast().</t>
  </si>
  <si>
    <t>Synchronous Transformations (.map(), .where(), .expand(), .cast())</t>
  </si>
  <si>
    <t>Implement Asynchronous Transformations using .asyncMap(), .asyncExpand(), .take() and .skip().</t>
  </si>
  <si>
    <t>Asynchronous Transformations (.asyncMap(), .asyncExpand(), .take(), .skip())</t>
  </si>
  <si>
    <t>Implement Stream Error and Timing Operators using .handleError() and .timeout().</t>
  </si>
  <si>
    <t>Stream Error &amp; Timing Operators (.handleError(), .timeout())</t>
  </si>
  <si>
    <t>Implement Stream Aggregation using .toList(), .fold(), .reduce() and .length.</t>
  </si>
  <si>
    <t>Stream Aggregation (.toList(), .fold(), .reduce(), .length)</t>
  </si>
  <si>
    <t>Implement Broadcast Streams Initialization using .asBroadcastStream() and StreamController.broadcast().</t>
  </si>
  <si>
    <t>Broadcast Streams Initialization (.asBroadcastStream(), StreamController.broadcast())</t>
  </si>
  <si>
    <t>Develop a multi-subscriber data pipeline consolidating StreamController Operations, Subscription Callbacks, Synchronous Transformations, Asynchronous Transformations, Error Operators, Aggregation and Broadcast Streams.</t>
  </si>
  <si>
    <t>Stream Controllers, Transformations, Aggregation and Broadcast Project</t>
  </si>
  <si>
    <t>Implement Asynchronous File Operations using File.readAsString(), File.writeAsString() and File.exists().</t>
  </si>
  <si>
    <t>Asynchronous File Operations (File.readAsString(), File.writeAsString(), File.exists())</t>
  </si>
  <si>
    <t>Implement Streaming File I/O using File.openRead() and File.openWrite().</t>
  </si>
  <si>
    <t>Streaming File I/O (File.openRead(), File.openWrite())</t>
  </si>
  <si>
    <t>Implement Heavy Computation Offloading using Isolate.run() and background data parsing.</t>
  </si>
  <si>
    <t>Heavy Computation Offloading (Isolate.run(), background data parsing)</t>
  </si>
  <si>
    <t>Implement Isolate Communication using ReceivePort(), SendPort.send() and .listen().</t>
  </si>
  <si>
    <t>Isolate Communication (ReceivePort(), SendPort.send(), .listen())</t>
  </si>
  <si>
    <t>Implement Isolate Control using Isolate.pause(), Isolate.resume() and Isolate.kill().</t>
  </si>
  <si>
    <t>Isolate Control (Isolate.pause(), Isolate.resume(), Isolate.kill())</t>
  </si>
  <si>
    <t>Implement Async Testing Utilities using fakeAsync, pumpEventQueue and expectLater.</t>
  </si>
  <si>
    <t>Async Testing Utilities (fakeAsync, pumpEventQueue, expectLater)</t>
  </si>
  <si>
    <t>Use basic async/await functions in main(). NO complex event loops or isolates.</t>
  </si>
  <si>
    <t>REQUIREMENT: Include async methods, Streams, try/catch error handling, and Future.delayed in each example.</t>
  </si>
  <si>
    <t>Advanced Concurrency: Isolates (Isolate.spawn), StreamControllers, async generators (async*, yield).</t>
  </si>
  <si>
    <t>Use primitives, Future&lt;T&gt;, and Stream&lt;T&gt; data streams. No deep nesting.</t>
  </si>
  <si>
    <t>Print intermediate and final async outcomes using standard print() with string interpolation.</t>
  </si>
  <si>
    <t>Max 6 EXECUTABLE lines per example (STRICT: exclude blank/comment lines).</t>
  </si>
  <si>
    <t>Call async functions using await or .then() inside main(). FORBIDDEN: Complex boilerplate outside 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</si>
</sst>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sz val="11"/>
      <name val="Aptos Narrow"/>
      <family val="2"/>
      <scheme val="minor"/>
    </font>
    <font>
      <b/>
      <sz val="18"/>
      <color rgb="FFFFFF00"/>
      <name val="Aptos Narrow"/>
      <family val="2"/>
      <scheme val="minor"/>
    </font>
    <font>
      <b/>
      <sz val="20"/>
      <color rgb="FFFFC000"/>
      <name val="Aptos Narrow"/>
      <family val="2"/>
      <scheme val="minor"/>
    </font>
    <font>
      <sz val="14"/>
      <color theme="0"/>
      <name val="Aptos Narrow"/>
      <family val="2"/>
      <scheme val="minor"/>
    </font>
    <font>
      <b/>
      <sz val="12"/>
      <color theme="0"/>
      <name val="Aptos Narrow"/>
      <family val="2"/>
      <scheme val="minor"/>
    </font>
    <font>
      <sz val="12"/>
      <color theme="0"/>
      <name val="Aptos Narrow"/>
      <family val="2"/>
      <scheme val="minor"/>
    </font>
    <font>
      <sz val="11"/>
      <color theme="0" tint="-4.9989318521683403E-2"/>
      <name val="Aptos Narrow"/>
      <family val="2"/>
      <scheme val="minor"/>
    </font>
    <font>
      <b/>
      <sz val="12"/>
      <color theme="0" tint="-4.9989318521683403E-2"/>
      <name val="Aptos Narrow"/>
      <family val="2"/>
      <scheme val="minor"/>
    </font>
    <font>
      <b/>
      <sz val="16"/>
      <color theme="0"/>
      <name val="Aptos Narrow"/>
      <family val="2"/>
      <scheme val="minor"/>
    </font>
    <font>
      <b/>
      <sz val="11"/>
      <color theme="1"/>
      <name val="Arial"/>
      <family val="2"/>
    </font>
    <font>
      <sz val="11"/>
      <color theme="1"/>
      <name val="Arial"/>
      <family val="2"/>
    </font>
    <font>
      <sz val="28"/>
      <color theme="1"/>
      <name val="Aptos Narrow"/>
      <family val="2"/>
      <scheme val="minor"/>
    </font>
    <font>
      <b/>
      <sz val="11"/>
      <color theme="0"/>
      <name val="Aptos Narrow"/>
      <family val="2"/>
      <scheme val="minor"/>
    </font>
    <font>
      <b/>
      <sz val="28"/>
      <color theme="1"/>
      <name val="Aptos Narrow"/>
      <family val="2"/>
      <scheme val="minor"/>
    </font>
    <font>
      <b/>
      <sz val="14"/>
      <color theme="1"/>
      <name val="Aptos Narrow"/>
      <family val="2"/>
      <scheme val="minor"/>
    </font>
    <font>
      <u/>
      <sz val="11"/>
      <color theme="10"/>
      <name val="Aptos Narrow"/>
      <family val="2"/>
      <scheme val="minor"/>
    </font>
    <font>
      <b/>
      <sz val="13.5"/>
      <color theme="1"/>
      <name val="Aptos Narrow"/>
      <family val="2"/>
      <scheme val="minor"/>
    </font>
    <font>
      <sz val="10"/>
      <color theme="1"/>
      <name val="Arial Unicode MS"/>
    </font>
    <font>
      <sz val="20"/>
      <color theme="1"/>
      <name val="Aptos Narrow"/>
      <family val="2"/>
      <scheme val="minor"/>
    </font>
    <font>
      <b/>
      <sz val="20"/>
      <color theme="5" tint="-0.249977111117893"/>
      <name val="Aptos Narrow"/>
      <family val="2"/>
      <scheme val="minor"/>
    </font>
    <font>
      <b/>
      <sz val="24"/>
      <color theme="1"/>
      <name val="Aptos Narrow"/>
      <family val="2"/>
      <scheme val="minor"/>
    </font>
    <font>
      <b/>
      <sz val="16"/>
      <color theme="1"/>
      <name val="Aptos Narrow"/>
      <family val="2"/>
      <scheme val="minor"/>
    </font>
  </fonts>
  <fills count="37">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2" tint="-9.9978637043366805E-2"/>
        <bgColor theme="0" tint="-0.14999847407452621"/>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749992370372631"/>
        <bgColor theme="0" tint="-0.14999847407452621"/>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2C353E"/>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theme="4" tint="0.59999389629810485"/>
        <bgColor theme="0" tint="-0.14999847407452621"/>
      </patternFill>
    </fill>
    <fill>
      <patternFill patternType="solid">
        <fgColor rgb="FF00B050"/>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D8BEEC"/>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theme="7" tint="0.59999389629810485"/>
        <bgColor theme="0" tint="-0.14999847407452621"/>
      </patternFill>
    </fill>
    <fill>
      <patternFill patternType="solid">
        <fgColor rgb="FF00206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14996795556505021"/>
      </left>
      <right/>
      <top/>
      <bottom/>
      <diagonal/>
    </border>
    <border>
      <left style="thin">
        <color theme="0" tint="-0.14993743705557422"/>
      </left>
      <right/>
      <top/>
      <bottom/>
      <diagonal/>
    </border>
    <border>
      <left/>
      <right style="thin">
        <color theme="0" tint="-0.14993743705557422"/>
      </right>
      <top/>
      <bottom/>
      <diagonal/>
    </border>
    <border>
      <left style="thin">
        <color theme="0" tint="-0.24994659260841701"/>
      </left>
      <right/>
      <top/>
      <bottom/>
      <diagonal/>
    </border>
    <border>
      <left/>
      <right style="thin">
        <color theme="0" tint="-0.24994659260841701"/>
      </right>
      <top/>
      <bottom/>
      <diagonal/>
    </border>
    <border>
      <left/>
      <right/>
      <top/>
      <bottom style="thin">
        <color theme="0" tint="-0.14996795556505021"/>
      </bottom>
      <diagonal/>
    </border>
    <border>
      <left/>
      <right style="thin">
        <color theme="0" tint="-0.14993743705557422"/>
      </right>
      <top/>
      <bottom style="thin">
        <color theme="0" tint="-0.14993743705557422"/>
      </bottom>
      <diagonal/>
    </border>
    <border>
      <left/>
      <right style="thin">
        <color theme="0" tint="-0.24994659260841701"/>
      </right>
      <top/>
      <bottom style="thin">
        <color theme="0" tint="-0.24994659260841701"/>
      </bottom>
      <diagonal/>
    </border>
    <border>
      <left style="medium">
        <color indexed="64"/>
      </left>
      <right/>
      <top style="thin">
        <color theme="1"/>
      </top>
      <bottom/>
      <diagonal/>
    </border>
    <border>
      <left style="thin">
        <color indexed="64"/>
      </left>
      <right/>
      <top style="thin">
        <color theme="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top style="thin">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0" fillId="0" borderId="0" applyNumberFormat="0" applyFill="0" applyBorder="0" applyAlignment="0" applyProtection="0"/>
  </cellStyleXfs>
  <cellXfs count="144">
    <xf numFmtId="0" fontId="0" fillId="0" borderId="0" xfId="0"/>
    <xf numFmtId="0" fontId="0" fillId="2" borderId="0" xfId="0" applyFill="1"/>
    <xf numFmtId="0" fontId="2" fillId="2" borderId="0" xfId="0" applyFont="1" applyFill="1"/>
    <xf numFmtId="0" fontId="3" fillId="2" borderId="0" xfId="0" applyFont="1" applyFill="1"/>
    <xf numFmtId="0" fontId="1" fillId="3" borderId="1" xfId="0" applyFont="1" applyFill="1" applyBorder="1"/>
    <xf numFmtId="0" fontId="3" fillId="2" borderId="2" xfId="0" applyFont="1" applyFill="1" applyBorder="1"/>
    <xf numFmtId="0" fontId="3" fillId="2" borderId="3" xfId="0" applyFont="1" applyFill="1" applyBorder="1"/>
    <xf numFmtId="0" fontId="4"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2" borderId="9" xfId="0" applyFont="1" applyFill="1" applyBorder="1"/>
    <xf numFmtId="0" fontId="0" fillId="4" borderId="0" xfId="0" applyFill="1"/>
    <xf numFmtId="0" fontId="5" fillId="4" borderId="0" xfId="0" applyFont="1" applyFill="1"/>
    <xf numFmtId="0" fontId="6" fillId="2" borderId="0" xfId="0" applyFont="1" applyFill="1"/>
    <xf numFmtId="0" fontId="0" fillId="5" borderId="1" xfId="0" applyFill="1" applyBorder="1"/>
    <xf numFmtId="0" fontId="7" fillId="2" borderId="10" xfId="0" applyFont="1" applyFill="1" applyBorder="1"/>
    <xf numFmtId="0" fontId="8" fillId="2" borderId="0" xfId="0" applyFont="1" applyFill="1"/>
    <xf numFmtId="0" fontId="2" fillId="2" borderId="0" xfId="0" applyFont="1" applyFill="1" applyAlignment="1">
      <alignment horizontal="left"/>
    </xf>
    <xf numFmtId="0" fontId="2" fillId="2" borderId="10" xfId="0" applyFont="1" applyFill="1" applyBorder="1"/>
    <xf numFmtId="0" fontId="2" fillId="2" borderId="0" xfId="0" applyFont="1" applyFill="1" applyAlignment="1">
      <alignment vertical="center" wrapText="1"/>
    </xf>
    <xf numFmtId="0" fontId="2" fillId="2" borderId="12" xfId="0" applyFont="1" applyFill="1" applyBorder="1" applyAlignment="1">
      <alignment vertical="center" wrapText="1"/>
    </xf>
    <xf numFmtId="0" fontId="2" fillId="2" borderId="10" xfId="0" applyFont="1" applyFill="1" applyBorder="1" applyAlignment="1">
      <alignment vertical="center" wrapText="1"/>
    </xf>
    <xf numFmtId="0" fontId="2" fillId="2" borderId="14" xfId="0" applyFont="1" applyFill="1" applyBorder="1" applyAlignment="1">
      <alignment vertical="center" wrapText="1"/>
    </xf>
    <xf numFmtId="0" fontId="2" fillId="2" borderId="13" xfId="0" applyFont="1" applyFill="1" applyBorder="1" applyAlignment="1">
      <alignment vertical="center" wrapText="1"/>
    </xf>
    <xf numFmtId="0" fontId="10" fillId="2" borderId="10" xfId="0" applyFont="1" applyFill="1" applyBorder="1"/>
    <xf numFmtId="0" fontId="11" fillId="2" borderId="0" xfId="0" applyFont="1" applyFill="1"/>
    <xf numFmtId="0" fontId="12" fillId="2" borderId="0" xfId="0" applyFont="1" applyFill="1"/>
    <xf numFmtId="0" fontId="2" fillId="2" borderId="11" xfId="0" applyFont="1" applyFill="1" applyBorder="1" applyAlignment="1">
      <alignment vertical="center"/>
    </xf>
    <xf numFmtId="0" fontId="2" fillId="2" borderId="0" xfId="0" applyFont="1" applyFill="1" applyAlignment="1">
      <alignment vertical="center"/>
    </xf>
    <xf numFmtId="0" fontId="1" fillId="0" borderId="1" xfId="0" applyFont="1" applyBorder="1"/>
    <xf numFmtId="0" fontId="13" fillId="2" borderId="10" xfId="0" applyFont="1" applyFill="1" applyBorder="1"/>
    <xf numFmtId="0" fontId="0" fillId="6" borderId="1" xfId="0" applyFill="1" applyBorder="1"/>
    <xf numFmtId="0" fontId="0" fillId="7" borderId="1" xfId="0" applyFill="1" applyBorder="1"/>
    <xf numFmtId="0" fontId="2" fillId="2" borderId="15" xfId="0" applyFont="1" applyFill="1" applyBorder="1"/>
    <xf numFmtId="0" fontId="11" fillId="2" borderId="15" xfId="0" applyFont="1" applyFill="1" applyBorder="1"/>
    <xf numFmtId="0" fontId="2" fillId="2" borderId="16" xfId="0" applyFont="1" applyFill="1" applyBorder="1" applyAlignment="1">
      <alignment vertical="center" wrapText="1"/>
    </xf>
    <xf numFmtId="0" fontId="2" fillId="2" borderId="17" xfId="0" applyFont="1" applyFill="1" applyBorder="1" applyAlignment="1">
      <alignment vertical="center" wrapText="1"/>
    </xf>
    <xf numFmtId="0" fontId="0" fillId="4" borderId="1" xfId="0" applyFill="1" applyBorder="1"/>
    <xf numFmtId="0" fontId="14" fillId="8" borderId="18" xfId="0" applyFont="1" applyFill="1" applyBorder="1" applyAlignment="1">
      <alignment vertical="center"/>
    </xf>
    <xf numFmtId="0" fontId="14" fillId="9" borderId="19" xfId="0" applyFont="1" applyFill="1" applyBorder="1" applyAlignment="1">
      <alignment vertical="center"/>
    </xf>
    <xf numFmtId="0" fontId="14" fillId="9" borderId="1" xfId="0" applyFont="1" applyFill="1" applyBorder="1" applyAlignment="1">
      <alignment vertical="center"/>
    </xf>
    <xf numFmtId="0" fontId="14" fillId="9" borderId="1" xfId="0" applyFont="1" applyFill="1" applyBorder="1" applyAlignment="1">
      <alignment horizontal="left" vertical="center"/>
    </xf>
    <xf numFmtId="0" fontId="0" fillId="10" borderId="1" xfId="0" applyFill="1" applyBorder="1"/>
    <xf numFmtId="0" fontId="15" fillId="11" borderId="20" xfId="0" applyFont="1" applyFill="1" applyBorder="1" applyAlignment="1">
      <alignment horizontal="center" vertical="center"/>
    </xf>
    <xf numFmtId="0" fontId="0" fillId="12" borderId="20" xfId="0" applyFill="1" applyBorder="1" applyAlignment="1">
      <alignment horizontal="left"/>
    </xf>
    <xf numFmtId="0" fontId="15" fillId="13" borderId="1" xfId="0" applyFont="1" applyFill="1" applyBorder="1" applyAlignment="1">
      <alignment vertical="center"/>
    </xf>
    <xf numFmtId="0" fontId="15" fillId="13" borderId="20" xfId="0" applyFont="1" applyFill="1" applyBorder="1" applyAlignment="1">
      <alignment vertical="center"/>
    </xf>
    <xf numFmtId="0" fontId="15" fillId="14" borderId="21" xfId="0" applyFont="1" applyFill="1" applyBorder="1" applyAlignment="1">
      <alignment vertical="center"/>
    </xf>
    <xf numFmtId="0" fontId="15" fillId="13" borderId="22" xfId="0" applyFont="1" applyFill="1" applyBorder="1" applyAlignment="1">
      <alignment vertical="center"/>
    </xf>
    <xf numFmtId="0" fontId="0" fillId="0" borderId="20" xfId="0" applyBorder="1"/>
    <xf numFmtId="0" fontId="0" fillId="13" borderId="20" xfId="0" applyFill="1" applyBorder="1"/>
    <xf numFmtId="0" fontId="0" fillId="0" borderId="1" xfId="0" applyBorder="1"/>
    <xf numFmtId="0" fontId="5" fillId="4" borderId="1" xfId="0" applyFont="1" applyFill="1" applyBorder="1"/>
    <xf numFmtId="0" fontId="0" fillId="15" borderId="1" xfId="0" applyFill="1" applyBorder="1"/>
    <xf numFmtId="0" fontId="15" fillId="4" borderId="20" xfId="0" applyFont="1" applyFill="1" applyBorder="1" applyAlignment="1">
      <alignment horizontal="center" vertical="center"/>
    </xf>
    <xf numFmtId="0" fontId="0" fillId="16" borderId="20" xfId="0" applyFill="1" applyBorder="1" applyAlignment="1">
      <alignment horizontal="left"/>
    </xf>
    <xf numFmtId="0" fontId="15" fillId="0" borderId="1" xfId="0" applyFont="1" applyBorder="1" applyAlignment="1">
      <alignment vertical="center"/>
    </xf>
    <xf numFmtId="0" fontId="15" fillId="0" borderId="20" xfId="0" applyFont="1" applyBorder="1" applyAlignment="1">
      <alignment vertical="center"/>
    </xf>
    <xf numFmtId="0" fontId="15" fillId="17" borderId="21" xfId="0" applyFont="1" applyFill="1" applyBorder="1" applyAlignment="1">
      <alignment vertical="center"/>
    </xf>
    <xf numFmtId="0" fontId="15" fillId="0" borderId="22" xfId="0" applyFont="1" applyBorder="1" applyAlignment="1">
      <alignment vertical="center"/>
    </xf>
    <xf numFmtId="0" fontId="15" fillId="0" borderId="1" xfId="0" applyFont="1" applyBorder="1" applyAlignment="1">
      <alignment vertical="center" wrapText="1"/>
    </xf>
    <xf numFmtId="0" fontId="15" fillId="0" borderId="20" xfId="0" applyFont="1" applyBorder="1" applyAlignment="1">
      <alignment vertical="center" wrapText="1"/>
    </xf>
    <xf numFmtId="0" fontId="15" fillId="13" borderId="1" xfId="0" applyFont="1" applyFill="1" applyBorder="1" applyAlignment="1">
      <alignment vertical="center" wrapText="1"/>
    </xf>
    <xf numFmtId="0" fontId="15" fillId="13" borderId="20" xfId="0" applyFont="1" applyFill="1" applyBorder="1" applyAlignment="1">
      <alignment vertical="center" wrapText="1"/>
    </xf>
    <xf numFmtId="0" fontId="0" fillId="13" borderId="1" xfId="0" applyFill="1" applyBorder="1"/>
    <xf numFmtId="0" fontId="15" fillId="4" borderId="24" xfId="0" applyFont="1" applyFill="1" applyBorder="1" applyAlignment="1">
      <alignment horizontal="center" vertical="center"/>
    </xf>
    <xf numFmtId="0" fontId="0" fillId="0" borderId="24" xfId="0" applyBorder="1"/>
    <xf numFmtId="0" fontId="15" fillId="17" borderId="25" xfId="0" applyFont="1" applyFill="1" applyBorder="1" applyAlignment="1">
      <alignment vertical="center"/>
    </xf>
    <xf numFmtId="0" fontId="15" fillId="0" borderId="26" xfId="0" applyFont="1" applyBorder="1" applyAlignment="1">
      <alignment vertical="center"/>
    </xf>
    <xf numFmtId="0" fontId="0" fillId="18" borderId="0" xfId="0" applyFill="1"/>
    <xf numFmtId="0" fontId="0" fillId="0" borderId="0" xfId="0" applyAlignment="1">
      <alignment horizontal="left"/>
    </xf>
    <xf numFmtId="0" fontId="0" fillId="0" borderId="0" xfId="0" applyAlignment="1">
      <alignment wrapText="1"/>
    </xf>
    <xf numFmtId="0" fontId="0" fillId="20" borderId="1" xfId="0" applyFill="1" applyBorder="1"/>
    <xf numFmtId="0" fontId="17" fillId="22" borderId="1" xfId="0" applyFont="1" applyFill="1" applyBorder="1"/>
    <xf numFmtId="49" fontId="0" fillId="5" borderId="1" xfId="0" applyNumberFormat="1" applyFill="1" applyBorder="1"/>
    <xf numFmtId="0" fontId="16" fillId="12" borderId="1" xfId="0" applyFont="1" applyFill="1" applyBorder="1"/>
    <xf numFmtId="0" fontId="16" fillId="6" borderId="1" xfId="0" applyFont="1" applyFill="1" applyBorder="1"/>
    <xf numFmtId="0" fontId="16" fillId="21" borderId="1" xfId="0" applyFont="1" applyFill="1" applyBorder="1"/>
    <xf numFmtId="0" fontId="18" fillId="0" borderId="0" xfId="0" applyFont="1" applyAlignment="1">
      <alignment horizontal="center" vertical="center"/>
    </xf>
    <xf numFmtId="0" fontId="19" fillId="0" borderId="0" xfId="0" applyFont="1"/>
    <xf numFmtId="0" fontId="0" fillId="9" borderId="1" xfId="0" applyFill="1" applyBorder="1"/>
    <xf numFmtId="0" fontId="0" fillId="19" borderId="1" xfId="0" applyFill="1" applyBorder="1"/>
    <xf numFmtId="49" fontId="0" fillId="0" borderId="0" xfId="0" applyNumberFormat="1"/>
    <xf numFmtId="49" fontId="0" fillId="0" borderId="0" xfId="0" applyNumberFormat="1" applyAlignment="1">
      <alignment wrapText="1"/>
    </xf>
    <xf numFmtId="0" fontId="15" fillId="23" borderId="23" xfId="0" applyFont="1" applyFill="1" applyBorder="1" applyAlignment="1">
      <alignment vertical="center"/>
    </xf>
    <xf numFmtId="49" fontId="0" fillId="24" borderId="1" xfId="0" applyNumberFormat="1" applyFill="1" applyBorder="1"/>
    <xf numFmtId="49" fontId="0" fillId="25" borderId="1" xfId="0" applyNumberFormat="1" applyFill="1" applyBorder="1"/>
    <xf numFmtId="0" fontId="0" fillId="26" borderId="1" xfId="0" applyFill="1" applyBorder="1"/>
    <xf numFmtId="0" fontId="0" fillId="27" borderId="1" xfId="0" applyFill="1" applyBorder="1"/>
    <xf numFmtId="0" fontId="0" fillId="28" borderId="1" xfId="0" applyFill="1" applyBorder="1"/>
    <xf numFmtId="0" fontId="0" fillId="29" borderId="1" xfId="0" applyFill="1" applyBorder="1"/>
    <xf numFmtId="0" fontId="0" fillId="30" borderId="1" xfId="0" applyFill="1" applyBorder="1"/>
    <xf numFmtId="0" fontId="0" fillId="3" borderId="1" xfId="0" applyFill="1" applyBorder="1" applyAlignment="1">
      <alignment horizontal="center"/>
    </xf>
    <xf numFmtId="0" fontId="0" fillId="31" borderId="0" xfId="0" applyFill="1"/>
    <xf numFmtId="0" fontId="7" fillId="2" borderId="0" xfId="0" applyFont="1" applyFill="1"/>
    <xf numFmtId="0" fontId="10" fillId="2" borderId="0" xfId="0" applyFont="1" applyFill="1"/>
    <xf numFmtId="0" fontId="0" fillId="5" borderId="21" xfId="0" applyFill="1" applyBorder="1"/>
    <xf numFmtId="0" fontId="2" fillId="2" borderId="27" xfId="0" applyFont="1" applyFill="1" applyBorder="1" applyAlignment="1">
      <alignment horizontal="left"/>
    </xf>
    <xf numFmtId="0" fontId="2" fillId="2" borderId="28" xfId="0" applyFont="1" applyFill="1" applyBorder="1" applyAlignment="1">
      <alignment horizontal="left"/>
    </xf>
    <xf numFmtId="0" fontId="15" fillId="32" borderId="23" xfId="0" applyFont="1" applyFill="1" applyBorder="1" applyAlignment="1">
      <alignment vertical="center"/>
    </xf>
    <xf numFmtId="0" fontId="15" fillId="11" borderId="1" xfId="0" applyFont="1" applyFill="1" applyBorder="1" applyAlignment="1">
      <alignment vertical="center"/>
    </xf>
    <xf numFmtId="0" fontId="1" fillId="28" borderId="1" xfId="0" applyFont="1" applyFill="1" applyBorder="1"/>
    <xf numFmtId="0" fontId="1" fillId="0" borderId="20" xfId="0" applyFont="1" applyBorder="1"/>
    <xf numFmtId="0" fontId="0" fillId="0" borderId="22" xfId="0" applyBorder="1"/>
    <xf numFmtId="0" fontId="0" fillId="0" borderId="29" xfId="0" applyBorder="1"/>
    <xf numFmtId="0" fontId="1" fillId="0" borderId="30" xfId="0" applyFont="1" applyBorder="1"/>
    <xf numFmtId="0" fontId="0" fillId="0" borderId="31" xfId="0" applyBorder="1"/>
    <xf numFmtId="0" fontId="0" fillId="0" borderId="30" xfId="0" applyBorder="1"/>
    <xf numFmtId="0" fontId="0" fillId="0" borderId="32" xfId="0" applyBorder="1"/>
    <xf numFmtId="0" fontId="0" fillId="0" borderId="33" xfId="0" applyBorder="1"/>
    <xf numFmtId="0" fontId="0" fillId="0" borderId="34" xfId="0" applyBorder="1"/>
    <xf numFmtId="0" fontId="20" fillId="0" borderId="0" xfId="1" applyBorder="1"/>
    <xf numFmtId="0" fontId="21"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22" fillId="0" borderId="0" xfId="0" applyFont="1" applyAlignment="1">
      <alignment horizontal="left" vertical="center" indent="2"/>
    </xf>
    <xf numFmtId="0" fontId="22" fillId="0" borderId="0" xfId="0" applyFont="1"/>
    <xf numFmtId="0" fontId="0" fillId="26" borderId="0" xfId="0" applyFill="1"/>
    <xf numFmtId="0" fontId="24" fillId="0" borderId="1" xfId="0" applyFont="1" applyBorder="1"/>
    <xf numFmtId="0" fontId="23" fillId="26" borderId="1" xfId="0" applyFont="1" applyFill="1" applyBorder="1"/>
    <xf numFmtId="0" fontId="17" fillId="33" borderId="0" xfId="0" applyFont="1" applyFill="1"/>
    <xf numFmtId="0" fontId="0" fillId="34" borderId="0" xfId="0" applyFill="1"/>
    <xf numFmtId="0" fontId="0" fillId="35" borderId="0" xfId="0" applyFill="1"/>
    <xf numFmtId="0" fontId="0" fillId="28" borderId="0" xfId="0" applyFill="1"/>
    <xf numFmtId="0" fontId="0" fillId="36" borderId="0" xfId="0" applyFill="1"/>
    <xf numFmtId="0" fontId="15" fillId="32" borderId="20" xfId="0" applyFont="1" applyFill="1" applyBorder="1" applyAlignment="1">
      <alignment vertical="center"/>
    </xf>
    <xf numFmtId="0" fontId="9" fillId="2" borderId="0" xfId="0" applyFont="1" applyFill="1"/>
    <xf numFmtId="0" fontId="25" fillId="0" borderId="0" xfId="0" applyFont="1" applyAlignment="1">
      <alignment vertical="center"/>
    </xf>
    <xf numFmtId="0" fontId="26" fillId="0" borderId="0" xfId="0" applyFont="1" applyAlignment="1">
      <alignment vertical="center"/>
    </xf>
    <xf numFmtId="0" fontId="22" fillId="0" borderId="0" xfId="0" applyFont="1" applyAlignment="1">
      <alignment vertical="center"/>
    </xf>
    <xf numFmtId="0" fontId="0" fillId="0" borderId="0" xfId="0" applyAlignment="1">
      <alignment vertical="center"/>
    </xf>
    <xf numFmtId="0" fontId="20" fillId="0" borderId="33" xfId="1" applyBorder="1"/>
    <xf numFmtId="0" fontId="1" fillId="0" borderId="0" xfId="0" applyFont="1"/>
    <xf numFmtId="0" fontId="1" fillId="30" borderId="1" xfId="0" applyFont="1" applyFill="1" applyBorder="1"/>
    <xf numFmtId="0" fontId="5" fillId="4" borderId="1" xfId="0" applyFont="1" applyFill="1" applyBorder="1" applyAlignment="1">
      <alignment horizontal="center"/>
    </xf>
    <xf numFmtId="0" fontId="9" fillId="2" borderId="11" xfId="0" applyFont="1" applyFill="1" applyBorder="1" applyAlignment="1">
      <alignment horizontal="center" vertical="center"/>
    </xf>
    <xf numFmtId="0" fontId="9" fillId="2" borderId="0" xfId="0" applyFont="1" applyFill="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cellXfs>
  <cellStyles count="2">
    <cellStyle name="Hyperlink" xfId="1" builtinId="8"/>
    <cellStyle name="Normal" xfId="0" builtinId="0"/>
  </cellStyles>
  <dxfs count="83">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b/>
        <i val="0"/>
      </font>
    </dxf>
    <dxf>
      <fill>
        <patternFill>
          <bgColor theme="5" tint="0.79998168889431442"/>
        </patternFill>
      </fill>
    </dxf>
  </dxfs>
  <tableStyles count="0" defaultTableStyle="TableStyleMedium2" defaultPivotStyle="PivotStyleLight16"/>
  <colors>
    <mruColors>
      <color rgb="FFFFFF99"/>
      <color rgb="FFD8BEEC"/>
      <color rgb="FFC7A1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57150</xdr:colOff>
      <xdr:row>25</xdr:row>
      <xdr:rowOff>142876</xdr:rowOff>
    </xdr:from>
    <xdr:to>
      <xdr:col>6</xdr:col>
      <xdr:colOff>161925</xdr:colOff>
      <xdr:row>34</xdr:row>
      <xdr:rowOff>66676</xdr:rowOff>
    </xdr:to>
    <xdr:sp macro="" textlink="">
      <xdr:nvSpPr>
        <xdr:cNvPr id="2" name="TextBox 1">
          <a:extLst>
            <a:ext uri="{FF2B5EF4-FFF2-40B4-BE49-F238E27FC236}">
              <a16:creationId xmlns:a16="http://schemas.microsoft.com/office/drawing/2014/main" id="{C1853C4B-5CF2-4075-877A-E1BD79048DE4}"/>
            </a:ext>
          </a:extLst>
        </xdr:cNvPr>
        <xdr:cNvSpPr txBox="1"/>
      </xdr:nvSpPr>
      <xdr:spPr>
        <a:xfrm>
          <a:off x="57150" y="5305426"/>
          <a:ext cx="3762375"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[Paste Mentor Prompt Cell Here]</a:t>
          </a:r>
        </a:p>
        <a:p>
          <a:endParaRPr lang="en-US" sz="1100"/>
        </a:p>
        <a:p>
          <a:r>
            <a:rPr lang="en-US" sz="1100" b="1"/>
            <a:t>My question:</a:t>
          </a:r>
        </a:p>
        <a:p>
          <a:r>
            <a:rPr lang="en-US" sz="1100"/>
            <a:t>[Describe what you don't understand or the issue you are facing]</a:t>
          </a:r>
        </a:p>
        <a:p>
          <a:endParaRPr lang="en-US" sz="1100"/>
        </a:p>
        <a:p>
          <a:r>
            <a:rPr lang="en-US" sz="1100" b="1"/>
            <a:t>My current code:</a:t>
          </a:r>
        </a:p>
        <a:p>
          <a:r>
            <a:rPr lang="en-US" sz="1100"/>
            <a:t>[Paste your code from your IDE here]</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7798CF-F458-43D1-85D1-0EF6D1C367F4}" name="Table2" displayName="Table2" ref="B2:E19" totalsRowShown="0">
  <autoFilter ref="B2:E19" xr:uid="{477798CF-F458-43D1-85D1-0EF6D1C367F4}">
    <filterColumn colId="0" hiddenButton="1"/>
    <filterColumn colId="1" hiddenButton="1"/>
    <filterColumn colId="2" hiddenButton="1"/>
    <filterColumn colId="3" hiddenButton="1"/>
  </autoFilter>
  <tableColumns count="4">
    <tableColumn id="1" xr3:uid="{AF1BC3E6-A291-4881-98E4-E2262942E61C}" name="Cell"/>
    <tableColumn id="2" xr3:uid="{A730AA41-75B2-4CE9-A8CA-24DE3FE4108C}" name="Cell References"/>
    <tableColumn id="3" xr3:uid="{C201C974-24D3-4F6B-B4DA-ADDAF2F3C4D7}" name="Type"/>
    <tableColumn id="4" xr3:uid="{74650CAD-2AEE-4B2B-A36B-4C37DA129C83}" name="Detailed Explanatio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hyperlink" Target="https://coding5s.com/" TargetMode="External"/><Relationship Id="rId1" Type="http://schemas.openxmlformats.org/officeDocument/2006/relationships/hyperlink" Target="https://github.com/WilfredoBarrios/coding5s-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C9F5-A3E1-48B4-A4AC-C90CACFBE404}">
  <sheetPr>
    <tabColor rgb="FFFF0000"/>
  </sheetPr>
  <dimension ref="A1:AM209"/>
  <sheetViews>
    <sheetView showGridLines="0" tabSelected="1" zoomScale="85" zoomScaleNormal="85" workbookViewId="0"/>
  </sheetViews>
  <sheetFormatPr defaultColWidth="11.42578125" defaultRowHeight="15"/>
  <cols>
    <col min="1" max="1" width="15.7109375" customWidth="1"/>
    <col min="2" max="2" width="10" bestFit="1" customWidth="1"/>
    <col min="3" max="3" width="11.28515625" bestFit="1" customWidth="1"/>
    <col min="4" max="4" width="22.28515625" bestFit="1" customWidth="1"/>
    <col min="5" max="5" width="16.5703125" style="73" customWidth="1"/>
    <col min="6" max="6" width="5.140625" customWidth="1"/>
    <col min="7" max="7" width="12.5703125" bestFit="1" customWidth="1"/>
    <col min="8" max="8" width="13.85546875" bestFit="1" customWidth="1"/>
    <col min="9" max="9" width="12.5703125" customWidth="1"/>
    <col min="10" max="10" width="68.5703125" customWidth="1"/>
    <col min="11" max="12" width="18.140625" customWidth="1"/>
    <col min="13" max="13" width="6.7109375" bestFit="1" customWidth="1"/>
    <col min="14" max="15" width="16.140625" customWidth="1"/>
    <col min="16" max="16" width="7.85546875" bestFit="1" customWidth="1"/>
    <col min="17" max="18" width="17.42578125" customWidth="1"/>
    <col min="19" max="19" width="7.85546875" bestFit="1" customWidth="1"/>
    <col min="20" max="21" width="16.5703125" customWidth="1"/>
    <col min="22" max="22" width="7.85546875" bestFit="1" customWidth="1"/>
    <col min="23" max="24" width="20.42578125" customWidth="1"/>
    <col min="25" max="25" width="7.85546875" bestFit="1" customWidth="1"/>
    <col min="26" max="30" width="16" bestFit="1" customWidth="1"/>
    <col min="31" max="31" width="21.5703125" bestFit="1" customWidth="1"/>
    <col min="33" max="33" width="27.5703125" customWidth="1"/>
    <col min="34" max="34" width="14.28515625" bestFit="1" customWidth="1"/>
    <col min="35" max="35" width="32" customWidth="1"/>
    <col min="36" max="36" width="27.85546875" customWidth="1"/>
  </cols>
  <sheetData>
    <row r="1" spans="1:39" ht="26.25">
      <c r="A1" s="1"/>
      <c r="B1" s="2"/>
      <c r="C1" s="96"/>
      <c r="D1" s="3"/>
      <c r="E1" s="4" t="s">
        <v>0</v>
      </c>
      <c r="F1" s="5" t="s">
        <v>1</v>
      </c>
      <c r="G1" s="6"/>
      <c r="H1" s="7" t="s">
        <v>2</v>
      </c>
      <c r="I1" s="6"/>
      <c r="J1" s="3"/>
      <c r="K1" s="8" t="s">
        <v>3</v>
      </c>
      <c r="L1" s="9" t="str">
        <f>IF(H9="Topic",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$C9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IF(H9="PROJECT", Z9, ""))</f>
        <v xml:space="preserve">[ROLE] Friendly tutor specializing in Dart Concurrency &amp; Asynchrony | [TASK] Teach and explain concepts clearly with correct code examples | [TOPIC] Implement Microtask Scheduling using scheduleMicrotask() and Future.microtask(). | [LEVEL] Advanced | [COUNT] 3 examples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English | [HEADER RULE - STRICT] You MUST start your entire response EXACTLY with this markdown block (do not print anything before it):
### 🔹 Topic #1 | Stage 1 📖 Practice | Dart Concurrency &amp; Asynchrony | 📊 Level: Advanced | 🌐 Coding5s.com
**Concept:** Microtask Scheduling (scheduleMicrotask(), Future.microtask())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Single logical flow (no unnecessary complexity) | [SYNTAX CONFIGURATION RULE] CRITICAL PROHIBITION: Do NOT use f-strings (f"...") or any advanced text formatting methods yet. Use basic print() with multiple arguments separated by commas for text labels and variables.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English)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M1" s="10"/>
      <c r="N1" s="3" t="s">
        <v>4</v>
      </c>
      <c r="O1" s="3"/>
      <c r="P1" s="3"/>
      <c r="Q1" s="11" t="s">
        <v>5</v>
      </c>
      <c r="R1" s="12"/>
      <c r="S1" s="13"/>
      <c r="T1" s="3" t="s">
        <v>6</v>
      </c>
      <c r="U1" s="3"/>
      <c r="V1" s="3"/>
      <c r="W1" s="11" t="s">
        <v>7</v>
      </c>
      <c r="X1" s="12"/>
      <c r="Y1" s="13"/>
      <c r="Z1" s="1"/>
      <c r="AA1" s="1"/>
      <c r="AB1" s="1"/>
      <c r="AC1" s="1"/>
      <c r="AD1" s="1"/>
      <c r="AE1" s="15"/>
      <c r="AF1" s="14"/>
      <c r="AG1" s="14"/>
      <c r="AH1" s="15"/>
      <c r="AI1" s="15"/>
      <c r="AJ1" s="15"/>
      <c r="AK1" s="15"/>
      <c r="AL1" s="15"/>
    </row>
    <row r="2" spans="1:39" ht="30" customHeight="1" thickBot="1">
      <c r="A2" s="1"/>
      <c r="B2" s="2"/>
      <c r="C2" s="96" t="s">
        <v>226</v>
      </c>
      <c r="D2" s="16"/>
      <c r="E2" s="99" t="str">
        <f>IF(E1="Stage 1","k9:L200",IF(E1="Stage 2","N9:O200",IF(E1="Stage 3","Q9:R200",IF(E1="Stage 4","T9:U200",IF(E1="Stage 5","W9:X200","Stage Incorrecta")))))</f>
        <v>k9:L200</v>
      </c>
      <c r="F2" s="18" t="s">
        <v>8</v>
      </c>
      <c r="G2" s="19"/>
      <c r="H2" s="19"/>
      <c r="I2" s="16" t="s">
        <v>770</v>
      </c>
      <c r="J2" s="16"/>
      <c r="K2" s="139" t="s">
        <v>9</v>
      </c>
      <c r="L2" s="140"/>
      <c r="M2" s="141"/>
      <c r="N2" s="140" t="s">
        <v>10</v>
      </c>
      <c r="O2" s="140"/>
      <c r="P2" s="140"/>
      <c r="Q2" s="142" t="s">
        <v>11</v>
      </c>
      <c r="R2" s="140"/>
      <c r="S2" s="143"/>
      <c r="T2" s="140" t="s">
        <v>12</v>
      </c>
      <c r="U2" s="140"/>
      <c r="V2" s="140"/>
      <c r="W2" s="142" t="s">
        <v>13</v>
      </c>
      <c r="X2" s="140"/>
      <c r="Y2" s="143"/>
      <c r="Z2" s="1"/>
      <c r="AA2" s="1"/>
      <c r="AB2" s="1"/>
      <c r="AC2" s="1"/>
      <c r="AD2" s="1"/>
      <c r="AE2" s="15"/>
      <c r="AF2" s="14"/>
      <c r="AG2" s="14"/>
      <c r="AH2" s="15"/>
      <c r="AI2" s="15"/>
      <c r="AJ2" s="15"/>
      <c r="AK2" s="15"/>
      <c r="AL2" s="15"/>
    </row>
    <row r="3" spans="1:39" ht="26.25">
      <c r="A3" s="1"/>
      <c r="B3" s="2"/>
      <c r="C3" s="96" t="str">
        <f>""</f>
        <v/>
      </c>
      <c r="D3" s="2"/>
      <c r="E3" s="100">
        <f>COUNTA(E9:E200)-E4</f>
        <v>2</v>
      </c>
      <c r="F3" s="97" t="s">
        <v>266</v>
      </c>
      <c r="G3" s="2"/>
      <c r="H3" s="2"/>
      <c r="I3" s="16"/>
      <c r="J3" s="16"/>
      <c r="K3" s="30"/>
      <c r="L3" s="22"/>
      <c r="M3" s="23"/>
      <c r="N3" s="22"/>
      <c r="O3" s="22"/>
      <c r="P3" s="22"/>
      <c r="Q3" s="24"/>
      <c r="R3" s="22"/>
      <c r="S3" s="25"/>
      <c r="T3" s="22"/>
      <c r="U3" s="22"/>
      <c r="V3" s="22"/>
      <c r="W3" s="26"/>
      <c r="X3" s="22"/>
      <c r="Y3" s="25"/>
      <c r="Z3" s="1"/>
      <c r="AA3" s="1"/>
      <c r="AB3" s="1"/>
      <c r="AC3" s="1"/>
      <c r="AD3" s="1"/>
      <c r="AE3" s="15"/>
      <c r="AF3" s="14"/>
      <c r="AG3" s="14"/>
      <c r="AH3" s="15"/>
      <c r="AI3" s="15"/>
      <c r="AJ3" s="15"/>
      <c r="AK3" s="15"/>
      <c r="AL3" s="15"/>
    </row>
    <row r="4" spans="1:39" ht="15.75">
      <c r="A4" s="1"/>
      <c r="B4" s="2"/>
      <c r="C4" s="96"/>
      <c r="D4" s="2"/>
      <c r="E4" s="101">
        <f>COUNTIF($E$9:$E$200,"No")</f>
        <v>28</v>
      </c>
      <c r="F4" s="98"/>
      <c r="G4" s="2"/>
      <c r="H4" s="28"/>
      <c r="I4" s="29"/>
      <c r="J4" s="29"/>
      <c r="K4" s="30"/>
      <c r="L4" s="31"/>
      <c r="M4" s="23"/>
      <c r="N4" s="31"/>
      <c r="O4" s="31"/>
      <c r="P4" s="22"/>
      <c r="Q4" s="21"/>
      <c r="R4" s="2"/>
      <c r="S4" s="25"/>
      <c r="T4" s="22"/>
      <c r="U4" s="22"/>
      <c r="V4" s="22"/>
      <c r="W4" s="26"/>
      <c r="X4" s="22"/>
      <c r="Y4" s="25"/>
      <c r="Z4" s="1"/>
      <c r="AA4" s="1"/>
      <c r="AB4" s="1"/>
      <c r="AC4" s="1"/>
      <c r="AD4" s="1"/>
      <c r="AE4" s="14"/>
      <c r="AF4" s="14"/>
      <c r="AG4" s="14"/>
      <c r="AH4" s="15"/>
      <c r="AI4" s="15"/>
      <c r="AJ4" s="15"/>
      <c r="AK4" s="15"/>
      <c r="AL4" s="15"/>
    </row>
    <row r="5" spans="1:39" ht="21">
      <c r="A5" s="1"/>
      <c r="B5" s="32" t="s">
        <v>14</v>
      </c>
      <c r="C5" s="32" t="s">
        <v>15</v>
      </c>
      <c r="D5" s="2"/>
      <c r="E5" s="32" t="s">
        <v>494</v>
      </c>
      <c r="F5" s="33"/>
      <c r="G5" s="2"/>
      <c r="H5" s="28"/>
      <c r="I5" s="29"/>
      <c r="J5" s="29"/>
      <c r="K5" s="30"/>
      <c r="L5" s="31"/>
      <c r="M5" s="23"/>
      <c r="N5" s="31"/>
      <c r="O5" s="31"/>
      <c r="P5" s="22"/>
      <c r="Q5" s="21"/>
      <c r="R5" s="2"/>
      <c r="S5" s="25"/>
      <c r="T5" s="22"/>
      <c r="U5" s="22"/>
      <c r="V5" s="22"/>
      <c r="W5" s="26"/>
      <c r="X5" s="22"/>
      <c r="Y5" s="25"/>
      <c r="Z5" s="1"/>
      <c r="AA5" s="1"/>
      <c r="AB5" s="1"/>
      <c r="AC5" s="1"/>
      <c r="AD5" s="1"/>
      <c r="AE5" s="14"/>
      <c r="AF5" s="14"/>
      <c r="AG5" s="14"/>
      <c r="AH5" s="15"/>
      <c r="AI5" s="15"/>
      <c r="AJ5" s="15"/>
      <c r="AK5" s="15"/>
      <c r="AL5" s="15"/>
    </row>
    <row r="6" spans="1:39" ht="15.75">
      <c r="A6" s="1"/>
      <c r="B6" s="34" t="s">
        <v>53</v>
      </c>
      <c r="C6" s="17" t="str">
        <f>VLOOKUP(B6,AL:AM,2,0)</f>
        <v>en</v>
      </c>
      <c r="D6" s="2"/>
      <c r="E6" s="35" t="str" cm="1">
        <f t="array" ref="E6">"AL9:"&amp;ADDRESS(_xlfn.AGGREGATE(14, 6, ROW(AL:AL)*(AL:AL&lt;&gt;""), 1), COLUMN(AL:AL))</f>
        <v>AL9:$AL$48</v>
      </c>
      <c r="F6" s="27"/>
      <c r="G6" s="130" t="s">
        <v>674</v>
      </c>
      <c r="H6" s="28"/>
      <c r="I6" s="29"/>
      <c r="J6" s="29"/>
      <c r="K6" s="30"/>
      <c r="L6" s="31"/>
      <c r="M6" s="23"/>
      <c r="N6" s="31"/>
      <c r="O6" s="31"/>
      <c r="P6" s="22"/>
      <c r="Q6" s="21"/>
      <c r="R6" s="2"/>
      <c r="S6" s="25"/>
      <c r="T6" s="22"/>
      <c r="U6" s="22"/>
      <c r="V6" s="22"/>
      <c r="W6" s="26"/>
      <c r="X6" s="22"/>
      <c r="Y6" s="25"/>
      <c r="Z6" s="1"/>
      <c r="AA6" s="1"/>
      <c r="AB6" s="1"/>
      <c r="AC6" s="1"/>
      <c r="AD6" s="1"/>
      <c r="AE6" s="104" t="s">
        <v>17</v>
      </c>
      <c r="AF6" s="15"/>
      <c r="AG6" s="15"/>
      <c r="AH6" s="15"/>
      <c r="AI6" s="15"/>
      <c r="AJ6" s="15"/>
      <c r="AK6" s="15"/>
      <c r="AL6" s="15"/>
    </row>
    <row r="7" spans="1:39">
      <c r="A7" s="1"/>
      <c r="B7" s="2"/>
      <c r="C7" s="96"/>
      <c r="D7" s="2"/>
      <c r="E7" s="20"/>
      <c r="F7" s="36"/>
      <c r="G7" s="36"/>
      <c r="H7" s="37"/>
      <c r="I7" s="28"/>
      <c r="J7" s="28"/>
      <c r="K7" s="31" t="s">
        <v>673</v>
      </c>
      <c r="L7" s="31" t="s">
        <v>673</v>
      </c>
      <c r="M7" s="38"/>
      <c r="N7" s="31" t="s">
        <v>673</v>
      </c>
      <c r="O7" s="31" t="s">
        <v>673</v>
      </c>
      <c r="P7" s="22"/>
      <c r="Q7" s="31" t="s">
        <v>673</v>
      </c>
      <c r="R7" s="31" t="s">
        <v>673</v>
      </c>
      <c r="S7" s="39"/>
      <c r="T7" s="31" t="s">
        <v>673</v>
      </c>
      <c r="U7" s="31" t="s">
        <v>673</v>
      </c>
      <c r="V7" s="22"/>
      <c r="W7" s="31" t="s">
        <v>673</v>
      </c>
      <c r="X7" s="31" t="s">
        <v>673</v>
      </c>
      <c r="Y7" s="39"/>
      <c r="Z7" s="31" t="s">
        <v>673</v>
      </c>
      <c r="AA7" s="31" t="s">
        <v>673</v>
      </c>
      <c r="AB7" s="31" t="s">
        <v>673</v>
      </c>
      <c r="AC7" s="31" t="s">
        <v>673</v>
      </c>
      <c r="AD7" s="31" t="s">
        <v>673</v>
      </c>
      <c r="AE7" s="35" t="str">
        <f>_xlfn.CONCAT(AH9:AH200)</f>
        <v/>
      </c>
      <c r="AF7" s="15"/>
      <c r="AG7" s="15"/>
      <c r="AH7" s="15"/>
      <c r="AI7" s="15"/>
      <c r="AJ7" s="15"/>
      <c r="AK7" s="138" t="s">
        <v>499</v>
      </c>
      <c r="AL7" s="138"/>
      <c r="AM7" s="138"/>
    </row>
    <row r="8" spans="1:39">
      <c r="A8" s="42" t="s">
        <v>19</v>
      </c>
      <c r="B8" s="43">
        <v>0</v>
      </c>
      <c r="C8" s="41" t="s">
        <v>18</v>
      </c>
      <c r="D8" s="43" t="s">
        <v>495</v>
      </c>
      <c r="E8" s="44" t="s">
        <v>20</v>
      </c>
      <c r="F8" s="43" t="s">
        <v>21</v>
      </c>
      <c r="G8" s="42" t="s">
        <v>22</v>
      </c>
      <c r="H8" s="42" t="s">
        <v>23</v>
      </c>
      <c r="I8" s="42" t="s">
        <v>24</v>
      </c>
      <c r="J8" s="42" t="s">
        <v>25</v>
      </c>
      <c r="K8" s="42" t="s">
        <v>26</v>
      </c>
      <c r="L8" s="42" t="s">
        <v>27</v>
      </c>
      <c r="M8" s="42" t="s">
        <v>28</v>
      </c>
      <c r="N8" s="42" t="s">
        <v>29</v>
      </c>
      <c r="O8" s="42" t="s">
        <v>27</v>
      </c>
      <c r="P8" s="42" t="s">
        <v>30</v>
      </c>
      <c r="Q8" s="42" t="s">
        <v>31</v>
      </c>
      <c r="R8" s="42" t="s">
        <v>27</v>
      </c>
      <c r="S8" s="42" t="s">
        <v>32</v>
      </c>
      <c r="T8" s="42" t="s">
        <v>33</v>
      </c>
      <c r="U8" s="42" t="s">
        <v>27</v>
      </c>
      <c r="V8" s="42" t="s">
        <v>34</v>
      </c>
      <c r="W8" s="42" t="s">
        <v>35</v>
      </c>
      <c r="X8" s="42" t="s">
        <v>27</v>
      </c>
      <c r="Y8" s="42" t="s">
        <v>36</v>
      </c>
      <c r="Z8" s="42" t="s">
        <v>37</v>
      </c>
      <c r="AA8" s="42" t="s">
        <v>38</v>
      </c>
      <c r="AB8" s="42" t="s">
        <v>39</v>
      </c>
      <c r="AC8" s="42" t="s">
        <v>40</v>
      </c>
      <c r="AD8" s="42" t="s">
        <v>41</v>
      </c>
      <c r="AE8" s="42" t="s">
        <v>496</v>
      </c>
      <c r="AF8" s="42" t="s">
        <v>497</v>
      </c>
      <c r="AG8" s="42" t="s">
        <v>498</v>
      </c>
      <c r="AH8" s="42" t="s">
        <v>42</v>
      </c>
      <c r="AI8" s="42" t="s">
        <v>43</v>
      </c>
      <c r="AJ8" s="42" t="s">
        <v>501</v>
      </c>
      <c r="AK8" s="42" t="s">
        <v>44</v>
      </c>
      <c r="AL8" s="42" t="s">
        <v>45</v>
      </c>
      <c r="AM8" s="42" t="s">
        <v>15</v>
      </c>
    </row>
    <row r="9" spans="1:39">
      <c r="A9" s="45" t="str" cm="1">
        <f t="array" ref="A9">IF(H9="PROJECT", CHAR(10) &amp; "- " &amp; _xlfn.TEXTJOIN(CHAR(10) &amp; "- ", TRUE, _xlfn._xlws.FILTER($I$9:$I$1000, ($B$9:$B$1000=B9) * ($H$9:$H$1000="Topic"))), "")</f>
        <v/>
      </c>
      <c r="B9" s="45">
        <f>IF(H9="","",IF(AND(H9="Topic",H8="PROJECT"),B8+1,IF(H9="PROJECT",B8,IF(AND(H9="Topic",H8="Topic"),B8,B8+1))))</f>
        <v>1</v>
      </c>
      <c r="C9" s="95">
        <v>15</v>
      </c>
      <c r="D9" s="46">
        <v>3</v>
      </c>
      <c r="E9" s="47" t="s">
        <v>46</v>
      </c>
      <c r="F9" s="48">
        <v>1</v>
      </c>
      <c r="G9" s="49" t="s">
        <v>159</v>
      </c>
      <c r="H9" s="49" t="s">
        <v>48</v>
      </c>
      <c r="I9" s="50" t="s">
        <v>771</v>
      </c>
      <c r="J9" s="51" t="s">
        <v>772</v>
      </c>
      <c r="K9" s="129" t="str">
        <f>IF(H9="Topic",
"[ROLE] Friendly tutor specializing in " &amp; $I$2 &amp; " | " &amp;
"[TOPIC] " &amp; I9 &amp; " | " &amp;
"[LEVEL] " &amp; G9 &amp; " | " &amp;
"[COUNT] " &amp; D9 &amp; " examples | " &amp;
"[LIBRARY BEING LEARNED] " &amp; $I$3 &amp; " | " &amp;
"[ECOSYSTEM ORIENTATION RULE] If a data manipulation library, external package, or ecosystem like Pandas or NumPy is specified in " &amp; $I$3 &amp; _xlfn._LONGTEXT(",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$C9 &amp; " lines of EXECUTABLE code (STRICT: Do NOT count comments or blank lines). - NEVER exceed this limit. | " &amp;
"[FUNCTION RULE] Rule: " &amp; IF(G9="Beginner","Use basic async/await functions in main(). NO complex event loops or isolates.", IF(G9="Intermediate", "REQUIREMENT: Include async methods, Streams, try/catch error handling, and Future.delayed in each example.", "Advanced Concurrency: Isolates (Isolate.spawn), StreamControllers, async generators (async*, yield).")) &amp; " | " &amp;
_xlfn._LONGTEXT("[CODE_CONSTRAINTS_RULE]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 &amp;
"[I_O_PARADIGM] Use Asynchronous file operations or non-blocking stream inputs/outputs. and gracefully handle print() statements with string interpolation to display asynchronous outputs clearly. when applicable. | " &amp;
_xlfn._LONGTEXT("[INLINE_PACKAGE_MANAGER] If using external packages, use Dart asynchronous primitives, Futures, Streams, async/await flows, and isolate execution models utilizing top-level main().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D9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IF(H9="PROJECT", Z9, ""))</f>
        <v xml:space="preserve">[ROLE] Friendly tutor specializing in Dart Concurrency &amp; Asynchrony | [TOPIC] Implement Microtask Scheduling using scheduleMicrotask() and Future.microtask(). | [LEVEL] Advanced | [COUNT] 3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Dart Concurrency &amp; Asynchrony | 📊 Level: Advanced | 🌐 Coding5s.com
**Concept:** Microtask Scheduling (scheduleMicrotask(), Future.microtask())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 s="103" t="str">
        <f>IF(OR(H9="Topic", UPPER(H9)="PROJECT"),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IF(UPPER(H9)="PROJECT", "building a PROJECT: " &amp; I9 &amp; ". Topics applied in this project: " &amp; A9 &amp; ". Project objective: " &amp; J9, "learning: " &amp; I9 &amp; ". Topic details: " &amp; J9)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IF(G9="Beginner", "Evaluate based on basic async/await usage and Future resolution inside main(). Do NOT expect raw isolates or complex stream transformers unless explicitly demanded.", IF(G9="Intermediate", "Expect clean asynchronous functions, proper error handling (try-catch), Stream listeners, and correct event-loop flow control. Enforce solid concurrency principles.", "Expect advanced multi-threading architecture using Isolate, bidirectional communication ports (SendPort/ReceivePort), custom async generators, and stream manipulation.")) &amp; " | " &amp;
_xlfn._LONGTEXT("[CODE_QUALITY_POLICIES]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&amp; IF(AJ9&lt;&gt;"", "[MENTOR CONTEXT ALERT] Be aware of the following infrastructure limitation for this exercise: " &amp; AJ9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Microtask Scheduling using scheduleMicrotask() and Future.microtask().. Topic details: Microtask Scheduling (scheduleMicrotask(), Future.microtask())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Dart Concurrency &amp; Asynchrony | 📊 Level: Advanced
**Topic:** Implement Microtask Scheduling using scheduleMicrotask() and Future.microtask().
---
 | [FOOTER RULE - STRICT] End your response with: '--- ⚡ *Coding5s Mentor System — Eliminating Epistemic Debt*' | </v>
      </c>
      <c r="M9" s="52">
        <v>0</v>
      </c>
      <c r="N9" s="102" t="str">
        <f>IF(H9="Topic",
"[ROLE] Careless " &amp; $I$2 &amp; " Developer | " &amp;
"[TASK] Generate debugging challenges in " &amp; $I$2 &amp; " | | " &amp;
"[TOPIC] " &amp; I9 &amp; " | | " &amp;
"[LEVEL] " &amp; G9 &amp; " | | " &amp;
"[COUNT] " &amp; D9 &amp; " challenges | " &amp;
"[LIBRARY BEING LEARNED] " &amp; $I$3 &amp; " | " &amp;
"[ECOSYSTEM ORIENTATION RULE] If a data manipulation library, external package, or ecosystem like Pandas or NumPy is specified in " &amp; $I$3 &amp; _xlfn._LONGTEXT(",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 &amp;
"[HEADER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 &amp;
"[TESTING_FRAMEWORK_RULE] Validation using print() statements or native assert statements. Avoid complex dart test suites; keep asynchronous validation inside main(). | " &amp;
"[DEPENDENCY_MANAGEMENT_RULE] Standard Dart runtime context. If external packages are needed, specify them strictly in pubspec.yaml support files. | " &amp;
"[CODE CONSTRAINTS] Each challenge MUST include: asynchronous data fetching OR stream handling, at least 1 print statement, at least 1 async/await construct, EXACTLY 1 asynchronous function, and EXACTLY 1 function call within main(). - " &amp; IF(G9="Beginner", "5–15", IF(G9="Intermediate", "10–25", "15–35")) &amp; _xlfn._LONGTEXT(" lines of EXECUTABLE broken Dart code per challenge (STRICT: Do NOT count blank lines). All concurrency logic MUST be encapsulated inside async methods and executed via main().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D9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IF(H9="PROJECT", AA9, ""))</f>
        <v>[ROLE] Careless Dart Concurrency &amp; Asynchrony Developer | [TASK] Generate debugging challenges in Dart Concurrency &amp; Asynchrony | | [TOPIC] Implement Microtask Scheduling using scheduleMicrotask() and Future.microtask(). | | [LEVEL] Advanced | | [COUNT] 3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 | Stage 2 🐛 Debug | Dart Concurrency &amp; Asynchrony | 📊 Level: Advanced | 🌐 Coding5s.com
Concept: Microtask Scheduling (scheduleMicrotask(), Future.microtask())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 s="103" t="str">
        <f>IF(OR(H9="Topic", UPPER(H9)="PROJECT"),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IF(UPPER(H9)="PROJECT", "PROJECT: " &amp; I9 &amp; ". Topics involved: " &amp; A9 &amp; ". Project objective: " &amp; J9, "TOPIC: " &amp; I9 &amp; ". Topic details: " &amp; J9)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
_xlfn._LONGTEXT("[CORE_QUALITY_POLICY]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Microtask Scheduling using scheduleMicrotask() and Future.microtask().. Topic details: Microtask Scheduling (scheduleMicrotask(), Future.microtask())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Dart Concurrency &amp; Asynchrony | 📊 Level: Advanced
**Topic:** Implement Microtask Scheduling using scheduleMicrotask() and Future.microtask().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 s="53">
        <v>0</v>
      </c>
      <c r="Q9" s="102" t="str">
        <f>IF(H9="Topic",
"[ROLE] Tech Lead | " &amp;
"[TASK] Assign incomplete " &amp; $I$2 &amp; " script challenges | " &amp;
"[TOPIC] " &amp; I9 &amp; " | " &amp;
"[LEVEL] " &amp; G9 &amp; " | " &amp;
"[COUNT] " &amp; D9 &amp; " challenges | " &amp;
"[LIBRARY BEING LEARNED] " &amp; $I$3 &amp; " | " &amp;
"[ECOSYSTEM ORIENTATION RULE] If a data manipulation library, external package, or ecosystem like Pandas or NumPy is specified in " &amp; $I$3 &amp; _xlfn._LONGTEXT(",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 &amp;
"[HEADER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Dart built-ins (dart:async, dart:io, dart:isolate). Strictly ZERO external pub.dev packages required for core concurrency topics. | " &amp;
"[TESTING_FRAMEWORK_PROTOCOL] Simple console output verification via standard print() statements. | " &amp;
"[CHALLENGE_CONSTRAINTS_POLICY] For Beginner level, // TODO MUST be atomic (1-2 simple lines max, e.g., adding await, creating a Future, or printing stream data). NO complex buffer redirections. - " &amp; IF(G9="Beginner","5–15", IF(G9="Intermediate","10–25","15–35")) &amp; " 5-15 lines of EXECUTABLE base code with a main() entry point. Code outside // TODO MUST be 100% valid and readable. Asynchronous context and event loops must be correctly structured.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I9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IF(G9="Beginner", "Clear explicit hint (no code) | ", IF(G9="Intermediate",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IF(H9="PROJECT", AB9, ""))</f>
        <v>[ROLE] Tech Lead | [TASK] Assign incomplete Dart Concurrency &amp; Asynchrony script challenges | [TOPIC] Implement Microtask Scheduling using scheduleMicrotask() and Future.microtask(). | [LEVEL] Advanced | [COUNT] 3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 | Stage 3 🧩 Complete | Dart Concurrency &amp; Asynchrony | 📊 Level: Advanced | 🌐 Coding5s.com
**Concept:** Microtask Scheduling (scheduleMicrotask(), Future.microtask())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Microtask Scheduling using scheduleMicrotask() and Future.microtask()..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 s="103" t="str">
        <f>IF(OR(H9="Topic", UPPER(H9)="PROJECT"),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IF(UPPER(H9)="PROJECT", "PROJECT: " &amp; I9 &amp; ". Topics involved: " &amp; A9 &amp; ". Project objective: " &amp; J9, "TOPIC: " &amp; I9 &amp; ". Topic details: " &amp; J9)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
_xlfn._LONGTEXT("[CORE_QUALITY_POLICY]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Microtask Scheduling using scheduleMicrotask() and Future.microtask().. Topic details: Microtask Scheduling (scheduleMicrotask(), Future.microtask())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Dart Concurrency &amp; Asynchrony | 📊 Level: Advanced
**Topic:** Implement Microtask Scheduling using scheduleMicrotask() and Future.microtask().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 s="53">
        <v>0</v>
      </c>
      <c r="T9" s="102" t="str">
        <f>IF(H9="Topic",
"[ROLE] Tech Lead | " &amp;
"[TASK] Provide intentionally messy but functional code for learning debugging and improvement | " &amp;
"[TOPIC] " &amp; I9 &amp; " | " &amp;
"[LEVEL] " &amp; G9 &amp; " | " &amp;
"[COUNT] " &amp; D9 &amp; " challenges | " &amp;
"[LIBRARY BEING LEARNED] " &amp; $I$3 &amp; " | " &amp;
_xlfn._LONGTEXT("[ECOSYSTEM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IF(H9="PROJECT", AC9, ""))</f>
        <v>[ROLE] Tech Lead | [TASK] Provide intentionally messy but functional code for learning debugging and improvement | [TOPIC] Implement Microtask Scheduling using scheduleMicrotask() and Future.microtask(). | [LEVEL] Advanced | [COUNT] 3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Dart Concurrency &amp; Asynchrony | 📊 Level: Advanced | 🌐 Coding5s.com
**Concept:** Microtask Scheduling (scheduleMicrotask(), Future.microtask())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 s="103" t="str">
        <f>IF(OR(H9="Topic", UPPER(H9)="PROJECT"),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IF(UPPER(H9)="PROJECT", "PROJECT: " &amp; I9 &amp; ". Topics involved: " &amp; A9 &amp; ". Project objective: " &amp; J9, "TOPIC: " &amp; I9 &amp; ". Topic details: " &amp; J9)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
_xlfn._LONGTEXT("[PYTHON QUALITY RULE - STRICT] Code MUST adhere strictly to Effective Dart guidelines. Use camelCase for methods/variables, PascalCase for types. Avoid global mutable state; emphasize strong static typing, robust Future/Stream pipelines, and clean non-blo","cking architectures.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Microtask Scheduling using scheduleMicrotask() and Future.microtask().. Topic details: Microtask Scheduling (scheduleMicrotask(), Future.microtask())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Dart Concurrency &amp; Asynchrony | 📊 Level: Advanced
**Topic:** Implement Microtask Scheduling using scheduleMicrotask() and Future.microtask().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 s="53">
        <v>0</v>
      </c>
      <c r="W9" s="87" t="str">
        <f>IF(H9="Topic",
"[ROLE] Tech Product Manager assigning a " &amp; $I$2 &amp; " Jira Ticket | " &amp;
"[TASK] Provide a guided implementation exercise with full solution for learning purposes | " &amp;
"[TOPIC] " &amp; I9 &amp; " | " &amp;
"[LEVEL] " &amp; G9 &amp; " | " &amp;
"[LIBRARY BEING LEARNED] " &amp; $I$3 &amp; " | " &amp;
_xlfn._LONGTEXT("[ECOSYSTEM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
"[FUNCTIONAL_STRUCTURE_POLICY] Rule: " &amp; IF(G9="Beginner", "Use simple scripts or minimal functions. ", IF(G9="Intermediate",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IF(G9="Beginner", "10–20", IF(G9="Intermediate", "15–30", "25–40")) &amp; " lines of EXECUTABLE code (STRICT) - V1.1 MUST be between " &amp; IF(G9="Beginner", "15–30", IF(G9="Intermediate",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IF(H9="PROJECT", AD9, ""))</f>
        <v>[ROLE] Tech Product Manager assigning a Dart Concurrency &amp; Asynchrony Jira Ticket | [TASK] Provide a guided implementation exercise with full solution for learning purposes | [TOPIC] Implement Microtask Scheduling using scheduleMicrotask() and Future.microtask().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Dart Concurrency &amp; Asynchrony | 📊 Level: Advanced | 🌐 Coding5s.com
**Concept:** Microtask Scheduling (scheduleMicrotask(), Future.microtask())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 s="103" t="str">
        <f>IF(OR(H9="Topic", UPPER(H9)="PROJECT"),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IF(UPPER(H9)="PROJECT", "PROJECT: " &amp; I9 &amp; ". Topics integrated: " &amp; A9 &amp; ". Business Goal: " &amp; J9, "TOPIC: " &amp; I9 &amp; ". Goal: " &amp; J9)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
_xlfn._LONGTEXT("[CODE_QUALITY_PROTOCOL]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Microtask Scheduling using scheduleMicrotask() and Future.microtask().. Goal: Microtask Scheduling (scheduleMicrotask(), Future.microtask())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Dart Concurrency &amp; Asynchrony | 📊 Level: Advanced
**Topic:** Implement Microtask Scheduling using scheduleMicrotask() and Future.microtask().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 s="53">
        <v>0</v>
      </c>
      <c r="Z9" s="56" t="str">
        <f>IF(H9&lt;&gt;"PROJECT","",
"[TASK] Teach through a practical " &amp; $I$2 &amp; " - " &amp; $I$3 &amp; " project following the micro-learning methodology, acting as a supportive tutor, creating a project about  " &amp; I9 &amp; " | " &amp;
"[TOPICS USED] " &amp; A9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_xlfn._LONGTEXT("[INLINE_PACKAGE_MANAGER] If using external packages, use Dart asynchronous primitives, Futures, Streams, async/await flows, and isolate execution models utilizing top-level main(). at the top of the code block. Assume no project configuration file exists."," | ") &amp;
"[CODE_CONSTRAINTS_RULE] Standard basic logic validation using native assert statements. | " &amp;
_xlfn._LONGTEXT("[VISUAL_ARCHITECTURE_COMMENTS] 1. Use visual block tags separating script sections (e.g., '// --- BLOQUE 1: [NAME] ---') to map code to the planning phase. 2. Use comprehensive doc comments using triple slashes ('///') explaining asynchronous parameters, ","Future return types, and exceptions. 3. CRITICAL: NO comment or docstring line may exceed 80 characters (Effective Dart standard) in width. | ") &amp;
"[DATA ROBUSTNESS RULE] Handle real-world data safely | " &amp;
"[CODE CONSTRAINTS] MUST be between " &amp; IF(G9="Beginner", "25–40", IF(G9="Intermediate",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9" s="56" t="str">
        <f>IF(H9&lt;&gt;"PROJECT","",
"[ROLE] Careless " &amp; $I$2 &amp; " Developer | " &amp;
"[TASK] Generate debugging project in " &amp; $I$2 &amp; " | " &amp;
"[PROJECT] " &amp; I9 &amp; " | " &amp;
"[TOPICS USED] " &amp; A9 &amp; " | " &amp;
"[LEVEL] " &amp; G9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_xlfn._LONGTEXT("[BUG RULE] Simulate a messy Dart concurrency script. The project MUST contain EXACTLY 2-5 bugs mixing unawaited futures, missing async/await keywords, concurrency logic errors, and runtime exceptions. 1. Syntax &amp; Type Errors (e.g., missing semicolons/brac","kets, returning raw values instead of Futures, unhandled null safety exceptions in streams), 2. Logic Errors (e.g., unawaited async calls causing race conditions, incorrect stream subscription logic, deadlock states), AND 3. Runtime Exceptions (e.g., Time","outException, StateError on closed controllers, IsolateSpawnException, FormatException).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IF(G9="Beginner", "25–40", IF(G9="Intermediate", "30–60", "40–100")) &amp; " lines of EXECUTABLE code (STRICT: Do NOT count blank lines towards this limit) - Multi-step flow - 2–4 functions ONLY - main() as entry point " &amp; IF(G9&lt;&gt;"Advanced",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9" s="56" t="str">
        <f>IF(H9&lt;&gt;"PROJECT","",
"[ROLE] Tech Lead | " &amp;
"[TASK] Assign incomplete project script | " &amp;
"[PROJECT] " &amp; I9 &amp; " | " &amp;
"[TOPICS USED] " &amp; A9 &amp; " | " &amp;
"[LEVEL] " &amp; G9 &amp; " | " &amp;
"[LIBRARY BEING LEARNED] " &amp; $I$3 &amp; " | " &amp;
"[ECOSYSTEM ORIENTATION RULE] If a data manipulation library, external package, or ecosystem like Pandas or NumPy is specified in " &amp; $I$3 &amp; _xlfn._LONGTEXT(",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
"[EXTERNAL_PACKAGE_PROTOCOL] Require standard dart pub tooling and pubspec.yaml file for external dependencies when applicable. | " &amp;
"[CHALLENGE_CONSTRAINTS_POLICY] MUST be between 25-40 lines of EXECUTABLE base Dart code (STRICT: Do NOT count comments or // TODO blocks). " &amp; IF(G9="Beginner","25–40", IF(G9="Intermediate","30–60","40–100")) &amp; " Asynchronous and concurrent script flow. Require at least 1 async worker or stream pipeline. Logica de integracion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9" s="56" t="str">
        <f>IF(H9&lt;&gt;"PROJECT","",
"[ROLE] Tech Lead | " &amp;
"[TASK] Provide a messy but functional project for refactoring | " &amp;
"[PROJECT] " &amp; I9 &amp; " | " &amp;
"[TOPICS USED] " &amp; A9 &amp; " | " &amp;
"[LEVEL] " &amp; G9 &amp; " | " &amp;
"[PERSONA RULE] Act as a Tech Lead. A junior wrote this working but messy code. Tone: professional but exhausted | " &amp;
"[HEADER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IF(G9="Beginner", "25–40", IF(G9="Intermediate",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9" s="56" t="str">
        <f>IF(H9&lt;&gt;"PROJECT","",
"[ROLE] Tech Product Manager assigning a " &amp; $I$2 &amp; " Jira Ticket | " &amp;
"[TASK] Provide a guided project implementation with full solution | " &amp;
"[PROJECT] " &amp; I9 &amp; " | " &amp;
"[TOPICS USED] " &amp; A9 &amp; " | " &amp;
"[LEVEL] " &amp; G9 &amp; " | " &amp;
"[PERSONA RULE] Act as a professional Tech Product Manager defining a project ticket | " &amp;
"[LIBRARY BEING LEARNED] " &amp; $I$3 &amp; " | " &amp;
_xlfn._LONGTEXT("[ECOSYSTEM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 &amp;
"[HEADER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IF(G9="Beginner", "Avoid complex structure. ", IF(G9="Intermediate",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9" s="55" t="s">
        <v>49</v>
      </c>
      <c r="AF9" s="55" t="s">
        <v>50</v>
      </c>
      <c r="AG9" s="55" t="s">
        <v>51</v>
      </c>
      <c r="AH9" s="56" t="str">
        <f t="shared" ref="AH9:AH40" si="0">IF(AE9=$B$6,AG9,"")</f>
        <v/>
      </c>
      <c r="AI9" s="54" t="s">
        <v>52</v>
      </c>
      <c r="AJ9" s="54"/>
      <c r="AK9" s="54">
        <v>1</v>
      </c>
      <c r="AL9" s="54" t="s">
        <v>53</v>
      </c>
      <c r="AM9" s="54" t="s">
        <v>54</v>
      </c>
    </row>
    <row r="10" spans="1:39">
      <c r="A10" s="45" t="str" cm="1">
        <f t="array" ref="A10">IF(H10="PROJECT", CHAR(10) &amp; "- " &amp; _xlfn.TEXTJOIN(CHAR(10) &amp; "- ", TRUE, _xlfn._xlws.FILTER($I$9:$I$1000, ($B$9:$B$1000=B10) * ($H$9:$H$1000="Topic"))), "")</f>
        <v/>
      </c>
      <c r="B10" s="45">
        <f t="shared" ref="B10:B73" si="1">IF(H10="","",IF(AND(H10="Topic",H9="PROJECT"),B9+1,IF(H10="PROJECT",B9,IF(AND(H10="Topic",H9="Topic"),B9,B9+1))))</f>
        <v>1</v>
      </c>
      <c r="C10" s="95">
        <v>15</v>
      </c>
      <c r="D10" s="57">
        <v>3</v>
      </c>
      <c r="E10" s="58" t="s">
        <v>46</v>
      </c>
      <c r="F10" s="59">
        <v>2</v>
      </c>
      <c r="G10" s="60" t="s">
        <v>159</v>
      </c>
      <c r="H10" s="60" t="s">
        <v>48</v>
      </c>
      <c r="I10" s="61" t="s">
        <v>773</v>
      </c>
      <c r="J10" s="62" t="s">
        <v>774</v>
      </c>
      <c r="K10" s="129" t="str">
        <f t="shared" ref="K10:K73" si="2">IF(H10="Topic",
"[ROLE] Friendly tutor specializing in " &amp; $I$2 &amp; " | " &amp;
"[TOPIC] " &amp; I10 &amp; " | " &amp;
"[LEVEL] " &amp; G10 &amp; " | " &amp;
"[COUNT] " &amp; D10 &amp; " examples | " &amp;
"[LIBRARY BEING LEARNED] " &amp; $I$3 &amp; " | " &amp;
"[ECOSYSTEM ORIENTATION RULE] If a data manipulation library, external package, or ecosystem like Pandas or NumPy is specified in " &amp; $I$3 &amp; _xlfn._LONGTEXT(",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$C10 &amp; " lines of EXECUTABLE code (STRICT: Do NOT count comments or blank lines). - NEVER exceed this limit. | " &amp;
"[FUNCTION RULE] Rule: " &amp; IF(G10="Beginner","Use basic async/await functions in main(). NO complex event loops or isolates.", IF(G10="Intermediate", "REQUIREMENT: Include async methods, Streams, try/catch error handling, and Future.delayed in each example.", "Advanced Concurrency: Isolates (Isolate.spawn), StreamControllers, async generators (async*, yield).")) &amp; " | " &amp;
_xlfn._LONGTEXT("[CODE_CONSTRAINTS_RULE]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 &amp;
"[I_O_PARADIGM] Use Asynchronous file operations or non-blocking stream inputs/outputs. and gracefully handle print() statements with string interpolation to display asynchronous outputs clearly. when applicable. | " &amp;
_xlfn._LONGTEXT("[INLINE_PACKAGE_MANAGER] If using external packages, use Dart asynchronous primitives, Futures, Streams, async/await flows, and isolate execution models utilizing top-level main().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F10 &amp; " | Stage 1 📖 Practice | " &amp; IF($I$3="", $I$2, $I$2&amp; " - " &amp;$I$3) &amp; " | 📊 Level: " &amp; G10 &amp; " | 🌐 Coding5s.com" &amp; CHAR(10) &amp; "**Concept:** " &amp; J10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D10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IF(AJ10&lt;&gt;"", AJ10,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IF(H10="PROJECT", Z10, ""))</f>
        <v xml:space="preserve">[ROLE] Friendly tutor specializing in Dart Concurrency &amp; Asynchrony | [TOPIC] Implement Future Constructors using Future(), Future.value(), Future.error() and Future.delayed(). | [LEVEL] Advanced | [COUNT] 3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Dart Concurrency &amp; Asynchrony | 📊 Level: Advanced | 🌐 Coding5s.com
**Concept:** Future Constructors (Future(), Future.value(), Future.error(), Future.delayed())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 s="103" t="str">
        <f t="shared" ref="L10:L73" si="3">IF(OR(H10="Topic", UPPER(H10)="PROJECT"),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IF(UPPER(H10)="PROJECT", "building a PROJECT: " &amp; I10 &amp; ". Topics applied in this project: " &amp; A10 &amp; ". Project objective: " &amp; J10, "learning: " &amp; I10 &amp; ". Topic details: " &amp; J10)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IF(G10="Beginner", "Evaluate based on basic async/await usage and Future resolution inside main(). Do NOT expect raw isolates or complex stream transformers unless explicitly demanded.", IF(G10="Intermediate", "Expect clean asynchronous functions, proper error handling (try-catch), Stream listeners, and correct event-loop flow control. Enforce solid concurrency principles.", "Expect advanced multi-threading architecture using Isolate, bidirectional communication ports (SendPort/ReceivePort), custom async generators, and stream manipulation.")) &amp; " | " &amp;
_xlfn._LONGTEXT("[CODE_QUALITY_POLICIES]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&amp; IF(AJ10&lt;&gt;"", "[MENTOR CONTEXT ALERT] Be aware of the following infrastructure limitation for this exercise: " &amp; AJ10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IF(UPPER(H10)="PROJECT",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IF(UPPER(H10)="PROJECT",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IF(UPPER(H10)="PROJECT", "Project #", "Topic #") &amp; F10 &amp; " | Practice | " &amp; IF($I$3="", $I$2, $I$2&amp; " - " &amp;$I$3) &amp; " | 📊 Level: " &amp; G10 &amp; CHAR(10) &amp; "**" &amp; IF(UPPER(H10)="PROJECT", "Project", "Topic") &amp; ":** " &amp; I10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Future Constructors using Future(), Future.value(), Future.error() and Future.delayed().. Topic details: Future Constructors (Future(), Future.value(), Future.error(), Future.delayed())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Dart Concurrency &amp; Asynchrony | 📊 Level: Advanced
**Topic:** Implement Future Constructors using Future(), Future.value(), Future.error() and Future.delayed().
---
 | [FOOTER RULE - STRICT] End your response with: '--- ⚡ *Coding5s Mentor System — Eliminating Epistemic Debt*' | </v>
      </c>
      <c r="M10" s="52">
        <v>0</v>
      </c>
      <c r="N10" s="102" t="str">
        <f t="shared" ref="N10:N73" si="4">IF(H10="Topic",
"[ROLE] Careless " &amp; $I$2 &amp; " Developer | " &amp;
"[TASK] Generate debugging challenges in " &amp; $I$2 &amp; " | | " &amp;
"[TOPIC] " &amp; I10 &amp; " | | " &amp;
"[LEVEL] " &amp; G10 &amp; " | | " &amp;
"[COUNT] " &amp; D10 &amp; " challenges | " &amp;
"[LIBRARY BEING LEARNED] " &amp; $I$3 &amp; " | " &amp;
"[ECOSYSTEM ORIENTATION RULE] If a data manipulation library, external package, or ecosystem like Pandas or NumPy is specified in " &amp; $I$3 &amp; _xlfn._LONGTEXT(",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 &amp;
"[HEADER RULE - STRICT] You MUST start your entire response EXACTLY with this markdown block (do not print anything before it):" &amp; CHAR(10) &amp; "### 🔹 Topic #" &amp; F10 &amp; " | Stage 2 🐛 Debug | " &amp; IF($I$3="", $I$2, $I$2&amp; " - " &amp;$I$3) &amp; " | 📊 Level: " &amp; G10 &amp; " | 🌐 Coding5s.com" &amp; CHAR(10) &amp; "Concept: " &amp; J10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 &amp;
"[TESTING_FRAMEWORK_RULE] Validation using print() statements or native assert statements. Avoid complex dart test suites; keep asynchronous validation inside main(). | " &amp;
"[DEPENDENCY_MANAGEMENT_RULE] Standard Dart runtime context. If external packages are needed, specify them strictly in pubspec.yaml support files. | " &amp;
"[CODE CONSTRAINTS] Each challenge MUST include: asynchronous data fetching OR stream handling, at least 1 print statement, at least 1 async/await construct, EXACTLY 1 asynchronous function, and EXACTLY 1 function call within main(). - " &amp; IF(G10="Beginner", "5–15", IF(G10="Intermediate", "10–25", "15–35")) &amp; _xlfn._LONGTEXT(" lines of EXECUTABLE broken Dart code per challenge (STRICT: Do NOT count blank lines). All concurrency logic MUST be encapsulated inside async methods and executed via main().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D10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IF(H10="PROJECT", AA10, ""))</f>
        <v>[ROLE] Careless Dart Concurrency &amp; Asynchrony Developer | [TASK] Generate debugging challenges in Dart Concurrency &amp; Asynchrony | | [TOPIC] Implement Future Constructors using Future(), Future.value(), Future.error() and Future.delayed(). | | [LEVEL] Advanced | | [COUNT] 3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 | Stage 2 🐛 Debug | Dart Concurrency &amp; Asynchrony | 📊 Level: Advanced | 🌐 Coding5s.com
Concept: Future Constructors (Future(), Future.value(), Future.error(), Future.delayed())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 s="103" t="str">
        <f t="shared" ref="O10:O73" si="5">IF(OR(H10="Topic", UPPER(H10)="PROJECT"),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IF(UPPER(H10)="PROJECT", "PROJECT: " &amp; I10 &amp; ". Topics involved: " &amp; A10 &amp; ". Project objective: " &amp; J10, "TOPIC: " &amp; I10 &amp; ". Topic details: " &amp; J10)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IF(UPPER(H10)="PROJECT", "Project #", "Topic #") &amp; F10 &amp; " | Debug | " &amp; IF($I$3="", $I$2, $I$2&amp; " - " &amp;$I$3) &amp; " | 📊 Level: " &amp; G10 &amp; CHAR(10) &amp; "**" &amp; IF(UPPER(H10)="PROJECT", "Project", "Topic") &amp; ":** " &amp; I10 &amp; CHAR(10) &amp; "---" &amp; CHAR(10) &amp; " | " &amp;
_xlfn._LONGTEXT("[CORE_QUALITY_POLICY]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Future Constructors using Future(), Future.value(), Future.error() and Future.delayed().. Topic details: Future Constructors (Future(), Future.value(), Future.error(), Future.delayed())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Dart Concurrency &amp; Asynchrony | 📊 Level: Advanced
**Topic:** Implement Future Constructors using Future(), Future.value(), Future.error() and Future.delayed().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 s="52">
        <v>0</v>
      </c>
      <c r="Q10" s="102" t="str">
        <f t="shared" ref="Q10:Q73" si="6">IF(H10="Topic",
"[ROLE] Tech Lead | " &amp;
"[TASK] Assign incomplete " &amp; $I$2 &amp; " script challenges | " &amp;
"[TOPIC] " &amp; I10 &amp; " | " &amp;
"[LEVEL] " &amp; G10 &amp; " | " &amp;
"[COUNT] " &amp; D10 &amp; " challenges | " &amp;
"[LIBRARY BEING LEARNED] " &amp; $I$3 &amp; " | " &amp;
"[ECOSYSTEM ORIENTATION RULE] If a data manipulation library, external package, or ecosystem like Pandas or NumPy is specified in " &amp; $I$3 &amp; _xlfn._LONGTEXT(",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 &amp;
"[HEADER RULE - STRICT] You MUST start your entire response EXACTLY with this markdown block (do not print anything before it):" &amp; CHAR(10) &amp; "### 🔹 Topic #" &amp; F10 &amp; " | Stage 3 🧩 Complete | " &amp; IF($I$3="", $I$2, $I$2&amp; " - " &amp;$I$3) &amp; " | 📊 Level: " &amp; G10 &amp; " | 🌐 Coding5s.com" &amp; CHAR(10) &amp; "**Concept:** " &amp; J10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Dart built-ins (dart:async, dart:io, dart:isolate). Strictly ZERO external pub.dev packages required for core concurrency topics. | " &amp;
"[TESTING_FRAMEWORK_PROTOCOL] Simple console output verification via standard print() statements. | " &amp;
"[CHALLENGE_CONSTRAINTS_POLICY] For Beginner level, // TODO MUST be atomic (1-2 simple lines max, e.g., adding await, creating a Future, or printing stream data). NO complex buffer redirections. - " &amp; IF(G10="Beginner","5–15", IF(G10="Intermediate","10–25","15–35")) &amp; " 5-15 lines of EXECUTABLE base code with a main() entry point. Code outside // TODO MUST be 100% valid and readable. Asynchronous context and event loops must be correctly structured.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D10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I10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IF(G10="Beginner", "Clear explicit hint (no code) | ", IF(G10="Intermediate",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IF(H10="PROJECT", AB10, ""))</f>
        <v>[ROLE] Tech Lead | [TASK] Assign incomplete Dart Concurrency &amp; Asynchrony script challenges | [TOPIC] Implement Future Constructors using Future(), Future.value(), Future.error() and Future.delayed(). | [LEVEL] Advanced | [COUNT] 3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 | Stage 3 🧩 Complete | Dart Concurrency &amp; Asynchrony | 📊 Level: Advanced | 🌐 Coding5s.com
**Concept:** Future Constructors (Future(), Future.value(), Future.error(), Future.delayed())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Future Constructors using Future(), Future.value(), Future.error() and Future.delayed()..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 s="103" t="str">
        <f t="shared" ref="R10:R73" si="7">IF(OR(H10="Topic", UPPER(H10)="PROJECT"),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IF(UPPER(H10)="PROJECT", "PROJECT: " &amp; I10 &amp; ". Topics involved: " &amp; A10 &amp; ". Project objective: " &amp; J10, "TOPIC: " &amp; I10 &amp; ". Topic details: " &amp; J10)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IF(UPPER(H10)="PROJECT", "Project #", "Topic #") &amp; F10 &amp; " | Complete | " &amp; IF($I$3="", $I$2, $I$2&amp; " - " &amp;$I$3) &amp; " | 📊 Level: " &amp; G10 &amp; CHAR(10) &amp; "**" &amp; IF(UPPER(H10)="PROJECT", "Project", "Topic") &amp; ":** " &amp; I10 &amp; CHAR(10) &amp; "---" &amp; CHAR(10) &amp; " | " &amp;
_xlfn._LONGTEXT("[CORE_QUALITY_POLICY]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Future Constructors using Future(), Future.value(), Future.error() and Future.delayed().. Topic details: Future Constructors (Future(), Future.value(), Future.error(), Future.delayed())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Dart Concurrency &amp; Asynchrony | 📊 Level: Advanced
**Topic:** Implement Future Constructors using Future(), Future.value(), Future.error() and Future.delayed().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 s="52">
        <v>0</v>
      </c>
      <c r="T10" s="102" t="str">
        <f t="shared" ref="T10:T73" si="8">IF(H10="Topic",
"[ROLE] Tech Lead | " &amp;
"[TASK] Provide intentionally messy but functional code for learning debugging and improvement | " &amp;
"[TOPIC] " &amp; I10 &amp; " | " &amp;
"[LEVEL] " &amp; G10 &amp; " | " &amp;
"[COUNT] " &amp; D10 &amp; " challenges | " &amp;
"[LIBRARY BEING LEARNED] " &amp; $I$3 &amp; " | " &amp;
_xlfn._LONGTEXT("[ECOSYSTEM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F10 &amp; " | Stage 4 🧹 Refactor | " &amp; IF($I$3="", $I$2, $I$2&amp; " - " &amp;$I$3) &amp; " | 📊 Level: " &amp; G10 &amp; " | 🌐 Coding5s.com" &amp; CHAR(10) &amp; "**Concept:** " &amp; J10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D10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IF(G10="Beginner", "5–15", IF(G10="Intermediate",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IF(H10="PROJECT", AC10, ""))</f>
        <v>[ROLE] Tech Lead | [TASK] Provide intentionally messy but functional code for learning debugging and improvement | [TOPIC] Implement Future Constructors using Future(), Future.value(), Future.error() and Future.delayed(). | [LEVEL] Advanced | [COUNT] 3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Dart Concurrency &amp; Asynchrony | 📊 Level: Advanced | 🌐 Coding5s.com
**Concept:** Future Constructors (Future(), Future.value(), Future.error(), Future.delayed())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 s="103" t="str">
        <f t="shared" ref="U10:U73" si="9">IF(OR(H10="Topic", UPPER(H10)="PROJECT"),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IF(UPPER(H10)="PROJECT", "PROJECT: " &amp; I10 &amp; ". Topics involved: " &amp; A10 &amp; ". Project objective: " &amp; J10, "TOPIC: " &amp; I10 &amp; ". Topic details: " &amp; J10)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IF(UPPER(H10)="PROJECT", "Project #", "Topic #") &amp; F10 &amp; " | Refactor | " &amp; IF($I$3="", $I$2, $I$2&amp; " - " &amp;$I$3) &amp; " | 📊 Level: " &amp; G10 &amp; CHAR(10) &amp; "**" &amp; IF(UPPER(H10)="PROJECT", "Project", "Topic") &amp; ":** " &amp; I10 &amp; CHAR(10) &amp; "---" &amp; CHAR(10) &amp; " | " &amp;
_xlfn._LONGTEXT("[PYTHON QUALITY RULE - STRICT] Code MUST adhere strictly to Effective Dart guidelines. Use camelCase for methods/variables, PascalCase for types. Avoid global mutable state; emphasize strong static typing, robust Future/Stream pipelines, and clean non-blo","cking architectures.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Future Constructors using Future(), Future.value(), Future.error() and Future.delayed().. Topic details: Future Constructors (Future(), Future.value(), Future.error(), Future.delayed())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Dart Concurrency &amp; Asynchrony | 📊 Level: Advanced
**Topic:** Implement Future Constructors using Future(), Future.value(), Future.error() and Future.delayed().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 s="52">
        <v>0</v>
      </c>
      <c r="W10" s="87" t="str">
        <f t="shared" ref="W10:W73" si="10">IF(H10="Topic",
"[ROLE] Tech Product Manager assigning a " &amp; $I$2 &amp; " Jira Ticket | " &amp;
"[TASK] Provide a guided implementation exercise with full solution for learning purposes | " &amp;
"[TOPIC] " &amp; I10 &amp; " | " &amp;
"[LEVEL] " &amp; G10 &amp; " | " &amp;
"[LIBRARY BEING LEARNED] " &amp; $I$3 &amp; " | " &amp;
_xlfn._LONGTEXT("[ECOSYSTEM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F10 &amp; " | Stage 5 | " &amp; IF($I$3="", $I$2, $I$2&amp; " - " &amp;$I$3) &amp; " | 📊 Level: " &amp; G10 &amp; " | 🌐 Coding5s.com" &amp; CHAR(10) &amp; "**Concept:** " &amp; J10 &amp; CHAR(10) &amp; "---" &amp; CHAR(10) &amp; " | " &amp;
"[FUNCTIONAL_STRUCTURE_POLICY] Rule: " &amp; IF(G10="Beginner", "Use simple scripts or minimal functions. ", IF(G10="Intermediate",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IF(G10="Beginner", "10–20", IF(G10="Intermediate", "15–30", "25–40")) &amp; " lines of EXECUTABLE code (STRICT) - V1.1 MUST be between " &amp; IF(G10="Beginner", "15–30", IF(G10="Intermediate",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IF(H10="PROJECT", AD10, ""))</f>
        <v>[ROLE] Tech Product Manager assigning a Dart Concurrency &amp; Asynchrony Jira Ticket | [TASK] Provide a guided implementation exercise with full solution for learning purposes | [TOPIC] Implement Future Constructors using Future(), Future.value(), Future.error() and Future.delayed().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Dart Concurrency &amp; Asynchrony | 📊 Level: Advanced | 🌐 Coding5s.com
**Concept:** Future Constructors (Future(), Future.value(), Future.error(), Future.delayed())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 s="103" t="str">
        <f t="shared" ref="X10:X73" si="11">IF(OR(H10="Topic", UPPER(H10)="PROJECT"),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IF(UPPER(H10)="PROJECT", "PROJECT: " &amp; I10 &amp; ". Topics integrated: " &amp; A10 &amp; ". Business Goal: " &amp; J10, "TOPIC: " &amp; I10 &amp; ". Goal: " &amp; J10)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IF(UPPER(H10)="PROJECT", "Project #", "Topic #") &amp; F10 &amp; " | Extend | " &amp; IF($I$3="", $I$2, $I$2&amp; " - " &amp;$I$3) &amp; " | 📊 Level: " &amp; G10 &amp; CHAR(10) &amp; "**" &amp; IF(UPPER(H10)="PROJECT", "Project", "Topic") &amp; ":** " &amp; I10 &amp; CHAR(10) &amp; "---" &amp; CHAR(10) &amp; " | " &amp;
_xlfn._LONGTEXT("[CODE_QUALITY_PROTOCOL]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Future Constructors using Future(), Future.value(), Future.error() and Future.delayed().. Goal: Future Constructors (Future(), Future.value(), Future.error(), Future.delayed())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Dart Concurrency &amp; Asynchrony | 📊 Level: Advanced
**Topic:** Implement Future Constructors using Future(), Future.value(), Future.error() and Future.delayed().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 s="52">
        <v>0</v>
      </c>
      <c r="Z10" s="56" t="str">
        <f t="shared" ref="Z10:Z73" si="12">IF(H10&lt;&gt;"PROJECT","",
"[TASK] Teach through a practical " &amp; $I$2 &amp; " - " &amp; $I$3 &amp; " project following the micro-learning methodology, acting as a supportive tutor, creating a project about  " &amp; I10 &amp; " | " &amp;
"[TOPICS USED] " &amp; A10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_xlfn._LONGTEXT("[INLINE_PACKAGE_MANAGER] If using external packages, use Dart asynchronous primitives, Futures, Streams, async/await flows, and isolate execution models utilizing top-level main(). at the top of the code block. Assume no project configuration file exists."," | ") &amp;
"[CODE_CONSTRAINTS_RULE] Standard basic logic validation using native assert statements. | " &amp;
_xlfn._LONGTEXT("[VISUAL_ARCHITECTURE_COMMENTS] 1. Use visual block tags separating script sections (e.g., '// --- BLOQUE 1: [NAME] ---') to map code to the planning phase. 2. Use comprehensive doc comments using triple slashes ('///') explaining asynchronous parameters, ","Future return types, and exceptions. 3. CRITICAL: NO comment or docstring line may exceed 80 characters (Effective Dart standard) in width. | ") &amp;
"[DATA ROBUSTNESS RULE] Handle real-world data safely | " &amp;
"[CODE CONSTRAINTS] MUST be between " &amp; IF(G10="Beginner", "25–40", IF(G10="Intermediate",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F10 &amp; " | Stage 1 | " &amp; IF($I$3="", $I$2, $I$2&amp; " - " &amp;$I$3) &amp; " | 📊 Level: " &amp; G10 &amp; " | 🌐 Coding5s.com" &amp; CHAR(10) &amp; "**Project:** " &amp; J10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0" s="56" t="str">
        <f t="shared" ref="AA10:AA73" si="13">IF(H10&lt;&gt;"PROJECT","",
"[ROLE] Careless " &amp; $I$2 &amp; " Developer | " &amp;
"[TASK] Generate debugging project in " &amp; $I$2 &amp; " | " &amp;
"[PROJECT] " &amp; I10 &amp; " | " &amp;
"[TOPICS USED] " &amp; A10 &amp; " | " &amp;
"[LEVEL] " &amp; G10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F10 &amp; " | Stage 2 | " &amp; IF($I$3="", $I$2, $I$2&amp; " - " &amp;$I$3) &amp; " | 📊 Level: " &amp; G10 &amp; " | 🌐 Coding5s.com" &amp; CHAR(10) &amp; "Project: " &amp; J10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AE8 &amp; " | " &amp;
"[LANGUAGE SEED CONTEXT] " &amp; IF($AE$7 = "", "Language Seed Not Necessary", "You MUST strictly follow this seed context to enhance, adapt, and naturalize your tone, vocabulary, and instructional quality in " &amp; $B$6 &amp; ": " &amp; $AE$7) &amp; " | " &amp;
_xlfn._LONGTEXT("[BUG RULE] Simulate a messy Dart concurrency script. The project MUST contain EXACTLY 2-5 bugs mixing unawaited futures, missing async/await keywords, concurrency logic errors, and runtime exceptions. 1. Syntax &amp; Type Errors (e.g., missing semicolons/brac","kets, returning raw values instead of Futures, unhandled null safety exceptions in streams), 2. Logic Errors (e.g., unawaited async calls causing race conditions, incorrect stream subscription logic, deadlock states), AND 3. Runtime Exceptions (e.g., Time","outException, StateError on closed controllers, IsolateSpawnException, FormatException).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IF(G10="Beginner", "25–40", IF(G10="Intermediate", "30–60", "40–100")) &amp; " lines of EXECUTABLE code (STRICT: Do NOT count blank lines towards this limit) - Multi-step flow - 2–4 functions ONLY - main() as entry point " &amp; IF(G10&lt;&gt;"Advanced",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0" s="56" t="str">
        <f t="shared" ref="AB10:AB73" si="14">IF(H10&lt;&gt;"PROJECT","",
"[ROLE] Tech Lead | " &amp;
"[TASK] Assign incomplete project script | " &amp;
"[PROJECT] " &amp; I10 &amp; " | " &amp;
"[TOPICS USED] " &amp; A10 &amp; " | " &amp;
"[LEVEL] " &amp; G10 &amp; " | " &amp;
"[LIBRARY BEING LEARNED] " &amp; $I$3 &amp; " | " &amp;
"[ECOSYSTEM ORIENTATION RULE] If a data manipulation library, external package, or ecosystem like Pandas or NumPy is specified in " &amp; $I$3 &amp; _xlfn._LONGTEXT(",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F10 &amp; " | Stage 3 | " &amp; IF($I$3="", $I$2, $I$2&amp; " - " &amp;$I$3) &amp; " | 📊 Level: " &amp; G10 &amp; " | 🌐 Coding5s.com" &amp; CHAR(10) &amp; "**Project:** " &amp; J10 &amp; CHAR(10) &amp; "---" &amp; CHAR(10) &amp; " | " &amp;
"[EXTERNAL_PACKAGE_PROTOCOL] Require standard dart pub tooling and pubspec.yaml file for external dependencies when applicable. | " &amp;
"[CHALLENGE_CONSTRAINTS_POLICY] MUST be between 25-40 lines of EXECUTABLE base Dart code (STRICT: Do NOT count comments or // TODO blocks). " &amp; IF(G10="Beginner","25–40", IF(G10="Intermediate","30–60","40–100")) &amp; " Asynchronous and concurrent script flow. Require at least 1 async worker or stream pipeline. Logica de integracion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0" s="56" t="str">
        <f t="shared" ref="AC10:AC73" si="15">IF(H10&lt;&gt;"PROJECT","",
"[ROLE] Tech Lead | " &amp;
"[TASK] Provide a messy but functional project for refactoring | " &amp;
"[PROJECT] " &amp; I10 &amp; " | " &amp;
"[TOPICS USED] " &amp; A10 &amp; " | " &amp;
"[LEVEL] " &amp; G10 &amp; " | " &amp;
"[PERSONA RULE] Act as a Tech Lead. A junior wrote this working but messy code. Tone: professional but exhausted | " &amp;
"[HEADER RULE - STRICT] You MUST start your entire response EXACTLY with this markdown block (do not print anything before it):" &amp; CHAR(10) &amp; "### 🚀 Project #" &amp; F10 &amp; " | Stage 4 | " &amp; IF($I$3="", $I$2, $I$2&amp; " - " &amp;$I$3) &amp; " | 📊 Level: " &amp; G10 &amp; " | 🌐 Coding5s.com" &amp; CHAR(10) &amp; "**Project:** " &amp; J10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IF(G10="Beginner", "25–40", IF(G10="Intermediate",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0" s="56" t="str">
        <f t="shared" ref="AD10:AD73" si="16">IF(H10&lt;&gt;"PROJECT","",
"[ROLE] Tech Product Manager assigning a " &amp; $I$2 &amp; " Jira Ticket | " &amp;
"[TASK] Provide a guided project implementation with full solution | " &amp;
"[PROJECT] " &amp; I10 &amp; " | " &amp;
"[TOPICS USED] " &amp; A10 &amp; " | " &amp;
"[LEVEL] " &amp; G10 &amp; " | " &amp;
"[PERSONA RULE] Act as a professional Tech Product Manager defining a project ticket | " &amp;
"[LIBRARY BEING LEARNED] " &amp; $I$3 &amp; " | " &amp;
_xlfn._LONGTEXT("[ECOSYSTEM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 &amp;
"[HEADER RULE - STRICT] You MUST start your entire response EXACTLY with this markdown block (do not print anything before it):" &amp; CHAR(10) &amp; "### 🚀 Project #" &amp; F10 &amp; " | Stage 5 | " &amp; IF($I$3="", $I$2, $I$2&amp; " - " &amp;$I$3) &amp; " | 📊 Level: " &amp; G10 &amp; " | 🌐 Coding5s.com" &amp; CHAR(10) &amp; "**Project:** " &amp; J10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IF(G10="Beginner", "20–35", IF(G10="Intermediate", "30–50", "45–70")) &amp; " lines of EXECUTABLE code (STRICT) - V1.1 MUST be between " &amp; IF(G10="Beginner", "30–50", IF(G10="Intermediate",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IF(G10="Beginner", "Avoid complex structure. ", IF(G10="Intermediate",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0" s="55" t="s">
        <v>55</v>
      </c>
      <c r="AF10" s="55" t="s">
        <v>56</v>
      </c>
      <c r="AG10" s="55" t="s">
        <v>57</v>
      </c>
      <c r="AH10" s="56" t="str">
        <f t="shared" si="0"/>
        <v/>
      </c>
      <c r="AI10" s="54" t="s">
        <v>58</v>
      </c>
      <c r="AJ10" s="54"/>
      <c r="AK10" s="54">
        <v>2</v>
      </c>
      <c r="AL10" s="54" t="s">
        <v>16</v>
      </c>
      <c r="AM10" s="54" t="s">
        <v>59</v>
      </c>
    </row>
    <row r="11" spans="1:39">
      <c r="A11" s="45" t="str" cm="1">
        <f t="array" ref="A11">IF(H11="PROJECT", CHAR(10) &amp; "- " &amp; _xlfn.TEXTJOIN(CHAR(10) &amp; "- ", TRUE, _xlfn._xlws.FILTER($I$9:$I$1000, ($B$9:$B$1000=B11) * ($H$9:$H$1000="Topic"))), "")</f>
        <v/>
      </c>
      <c r="B11" s="45">
        <f t="shared" si="1"/>
        <v>1</v>
      </c>
      <c r="C11" s="95">
        <v>18</v>
      </c>
      <c r="D11" s="46">
        <v>4</v>
      </c>
      <c r="E11" s="58" t="s">
        <v>46</v>
      </c>
      <c r="F11" s="48">
        <v>3</v>
      </c>
      <c r="G11" s="49" t="s">
        <v>159</v>
      </c>
      <c r="H11" s="49" t="s">
        <v>48</v>
      </c>
      <c r="I11" s="50" t="s">
        <v>775</v>
      </c>
      <c r="J11" s="51" t="s">
        <v>776</v>
      </c>
      <c r="K11" s="129" t="str">
        <f t="shared" si="2"/>
        <v xml:space="preserve">[ROLE] Friendly tutor specializing in Dart Concurrency &amp; Asynchrony | [TOPIC] Implement Future Callback Chaining using .then(), .catchError() and .whenComplete().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Dart Concurrency &amp; Asynchrony | 📊 Level: Advanced | 🌐 Coding5s.com
**Concept:** Future Callback Chaining (.then(), .catchError(), .whenComplete())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 s="103" t="str">
        <f t="shared" si="3"/>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Future Callback Chaining using .then(), .catchError() and .whenComplete().. Topic details: Future Callback Chaining (.then(), .catchError(), .whenComplete())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Dart Concurrency &amp; Asynchrony | 📊 Level: Advanced
**Topic:** Implement Future Callback Chaining using .then(), .catchError() and .whenComplete().
---
 | [FOOTER RULE - STRICT] End your response with: '--- ⚡ *Coding5s Mentor System — Eliminating Epistemic Debt*' | </v>
      </c>
      <c r="M11" s="52">
        <v>0</v>
      </c>
      <c r="N11" s="102" t="str">
        <f t="shared" si="4"/>
        <v>[ROLE] Careless Dart Concurrency &amp; Asynchrony Developer | [TASK] Generate debugging challenges in Dart Concurrency &amp; Asynchrony | | [TOPIC] Implement Future Callback Chaining using .then(), .catchError() and .whenComplete().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#3 | Stage 2 🐛 Debug | Dart Concurrency &amp; Asynchrony | 📊 Level: Advanced | 🌐 Coding5s.com
Concept: Future Callback Chaining (.then(), .catchError(), .whenComplete())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 s="103" t="str">
        <f t="shared" si="5"/>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Future Callback Chaining using .then(), .catchError() and .whenComplete().. Topic details: Future Callback Chaining (.then(), .catchError(), .whenComplete())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Dart Concurrency &amp; Asynchrony | 📊 Level: Advanced
**Topic:** Implement Future Callback Chaining using .then(), .catchError() and .whenComplete().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 s="53">
        <v>0</v>
      </c>
      <c r="Q11" s="102" t="str">
        <f t="shared" si="6"/>
        <v>[ROLE] Tech Lead | [TASK] Assign incomplete Dart Concurrency &amp; Asynchrony script challenges | [TOPIC] Implement Future Callback Chaining using .then(), .catchError() and .whenComplete().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#3 | Stage 3 🧩 Complete | Dart Concurrency &amp; Asynchrony | 📊 Level: Advanced | 🌐 Coding5s.com
**Concept:** Future Callback Chaining (.then(), .catchError(), .whenComplete())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Future Callback Chaining using .then(), .catchError() and .whenComplete()..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 s="103" t="str">
        <f t="shared" si="7"/>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Future Callback Chaining using .then(), .catchError() and .whenComplete().. Topic details: Future Callback Chaining (.then(), .catchError(), .whenComplete())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Dart Concurrency &amp; Asynchrony | 📊 Level: Advanced
**Topic:** Implement Future Callback Chaining using .then(), .catchError() and .whenComplete().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 s="53">
        <v>0</v>
      </c>
      <c r="T11" s="102" t="str">
        <f t="shared" si="8"/>
        <v>[ROLE] Tech Lead | [TASK] Provide intentionally messy but functional code for learning debugging and improvement | [TOPIC] Implement Future Callback Chaining using .then(), .catchError() and .whenComplete().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Dart Concurrency &amp; Asynchrony | 📊 Level: Advanced | 🌐 Coding5s.com
**Concept:** Future Callback Chaining (.then(), .catchError(), .whenComplete())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Future Callback Chaining using .then(), .catchError() and .whenComplete().. Topic details: Future Callback Chaining (.then(), .catchError(), .whenComplete())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Dart Concurrency &amp; Asynchrony | 📊 Level: Advanced
**Topic:** Implement Future Callback Chaining using .then(), .catchError() and .whenComplete().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 s="53">
        <v>0</v>
      </c>
      <c r="W11" s="87" t="str">
        <f t="shared" si="10"/>
        <v>[ROLE] Tech Product Manager assigning a Dart Concurrency &amp; Asynchrony Jira Ticket | [TASK] Provide a guided implementation exercise with full solution for learning purposes | [TOPIC] Implement Future Callback Chaining using .then(), .catchError() and .whenComplete().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Dart Concurrency &amp; Asynchrony | 📊 Level: Advanced | 🌐 Coding5s.com
**Concept:** Future Callback Chaining (.then(), .catchError(), .whenComplete())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Future Callback Chaining using .then(), .catchError() and .whenComplete().. Goal: Future Callback Chaining (.then(), .catchError(), .whenComplete())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Dart Concurrency &amp; Asynchrony | 📊 Level: Advanced
**Topic:** Implement Future Callback Chaining using .then(), .catchError() and .whenComplete().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 s="53">
        <v>0</v>
      </c>
      <c r="Z11" s="56" t="str">
        <f t="shared" si="12"/>
        <v/>
      </c>
      <c r="AA11" s="56" t="str">
        <f t="shared" si="13"/>
        <v/>
      </c>
      <c r="AB11" s="56" t="str">
        <f t="shared" si="14"/>
        <v/>
      </c>
      <c r="AC11" s="56" t="str">
        <f t="shared" si="15"/>
        <v/>
      </c>
      <c r="AD11" s="56" t="str">
        <f t="shared" si="16"/>
        <v/>
      </c>
      <c r="AE11" s="55" t="s">
        <v>60</v>
      </c>
      <c r="AF11" s="55" t="s">
        <v>61</v>
      </c>
      <c r="AG11" s="55" t="s">
        <v>62</v>
      </c>
      <c r="AH11" s="56" t="str">
        <f t="shared" si="0"/>
        <v/>
      </c>
      <c r="AI11" s="54" t="s">
        <v>63</v>
      </c>
      <c r="AJ11" s="54"/>
      <c r="AK11" s="54">
        <v>3</v>
      </c>
      <c r="AL11" s="54" t="s">
        <v>64</v>
      </c>
      <c r="AM11" s="54" t="s">
        <v>65</v>
      </c>
    </row>
    <row r="12" spans="1:39">
      <c r="A12" s="45" t="str" cm="1">
        <f t="array" ref="A12">IF(H12="PROJECT", CHAR(10) &amp; "- " &amp; _xlfn.TEXTJOIN(CHAR(10) &amp; "- ", TRUE, _xlfn._xlws.FILTER($I$9:$I$1000, ($B$9:$B$1000=B12) * ($H$9:$H$1000="Topic"))), "")</f>
        <v/>
      </c>
      <c r="B12" s="45">
        <f t="shared" si="1"/>
        <v>1</v>
      </c>
      <c r="C12" s="95">
        <v>18</v>
      </c>
      <c r="D12" s="57">
        <v>4</v>
      </c>
      <c r="E12" s="58" t="s">
        <v>46</v>
      </c>
      <c r="F12" s="59">
        <v>4</v>
      </c>
      <c r="G12" s="60" t="s">
        <v>159</v>
      </c>
      <c r="H12" s="60" t="s">
        <v>48</v>
      </c>
      <c r="I12" s="61" t="s">
        <v>777</v>
      </c>
      <c r="J12" s="62" t="s">
        <v>778</v>
      </c>
      <c r="K12" s="129" t="str">
        <f t="shared" si="2"/>
        <v xml:space="preserve">[ROLE] Friendly tutor specializing in Dart Concurrency &amp; Asynchrony | [TOPIC] Implement Async Await Syntax using async, await and Future&lt;T&gt; return types.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Dart Concurrency &amp; Asynchrony | 📊 Level: Advanced | 🌐 Coding5s.com
**Concept:** Async/Await Syntax (async, await, Future&lt;T&gt; return types)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2" s="103" t="str">
        <f t="shared" si="3"/>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Async Await Syntax using async, await and Future&lt;T&gt; return types.. Topic details: Async/Await Syntax (async, await, Future&lt;T&gt; return types)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Dart Concurrency &amp; Asynchrony | 📊 Level: Advanced
**Topic:** Implement Async Await Syntax using async, await and Future&lt;T&gt; return types.
---
 | [FOOTER RULE - STRICT] End your response with: '--- ⚡ *Coding5s Mentor System — Eliminating Epistemic Debt*' | </v>
      </c>
      <c r="M12" s="52">
        <v>0</v>
      </c>
      <c r="N12" s="102" t="str">
        <f t="shared" si="4"/>
        <v>[ROLE] Careless Dart Concurrency &amp; Asynchrony Developer | [TASK] Generate debugging challenges in Dart Concurrency &amp; Asynchrony | | [TOPIC] Implement Async Await Syntax using async, await and Future&lt;T&gt; return types.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#4 | Stage 2 🐛 Debug | Dart Concurrency &amp; Asynchrony | 📊 Level: Advanced | 🌐 Coding5s.com
Concept: Async/Await Syntax (async, await, Future&lt;T&gt; return types)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2" s="103" t="str">
        <f t="shared" si="5"/>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Async Await Syntax using async, await and Future&lt;T&gt; return types.. Topic details: Async/Await Syntax (async, await, Future&lt;T&gt; return types)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Dart Concurrency &amp; Asynchrony | 📊 Level: Advanced
**Topic:** Implement Async Await Syntax using async, await and Future&lt;T&gt; return types.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 s="52">
        <v>0</v>
      </c>
      <c r="Q12" s="102" t="str">
        <f t="shared" si="6"/>
        <v>[ROLE] Tech Lead | [TASK] Assign incomplete Dart Concurrency &amp; Asynchrony script challenges | [TOPIC] Implement Async Await Syntax using async, await and Future&lt;T&gt; return types.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#4 | Stage 3 🧩 Complete | Dart Concurrency &amp; Asynchrony | 📊 Level: Advanced | 🌐 Coding5s.com
**Concept:** Async/Await Syntax (async, await, Future&lt;T&gt; return types)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Async Await Syntax using async, await and Future&lt;T&gt; return types..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2" s="103" t="str">
        <f t="shared" si="7"/>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Async Await Syntax using async, await and Future&lt;T&gt; return types.. Topic details: Async/Await Syntax (async, await, Future&lt;T&gt; return types)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Dart Concurrency &amp; Asynchrony | 📊 Level: Advanced
**Topic:** Implement Async Await Syntax using async, await and Future&lt;T&gt; return types.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 s="52">
        <v>0</v>
      </c>
      <c r="T12" s="102" t="str">
        <f t="shared" si="8"/>
        <v>[ROLE] Tech Lead | [TASK] Provide intentionally messy but functional code for learning debugging and improvement | [TOPIC] Implement Async Await Syntax using async, await and Future&lt;T&gt; return types.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Dart Concurrency &amp; Asynchrony | 📊 Level: Advanced | 🌐 Coding5s.com
**Concept:** Async/Await Syntax (async, await, Future&lt;T&gt; return types)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Async Await Syntax using async, await and Future&lt;T&gt; return types.. Topic details: Async/Await Syntax (async, await, Future&lt;T&gt; return types)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Dart Concurrency &amp; Asynchrony | 📊 Level: Advanced
**Topic:** Implement Async Await Syntax using async, await and Future&lt;T&gt; return types.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 s="52">
        <v>0</v>
      </c>
      <c r="W12" s="87" t="str">
        <f t="shared" si="10"/>
        <v>[ROLE] Tech Product Manager assigning a Dart Concurrency &amp; Asynchrony Jira Ticket | [TASK] Provide a guided implementation exercise with full solution for learning purposes | [TOPIC] Implement Async Await Syntax using async, await and Future&lt;T&gt; return types.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Dart Concurrency &amp; Asynchrony | 📊 Level: Advanced | 🌐 Coding5s.com
**Concept:** Async/Await Syntax (async, await, Future&lt;T&gt; return types)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Async Await Syntax using async, await and Future&lt;T&gt; return types.. Goal: Async/Await Syntax (async, await, Future&lt;T&gt; return types)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Dart Concurrency &amp; Asynchrony | 📊 Level: Advanced
**Topic:** Implement Async Await Syntax using async, await and Future&lt;T&gt; return types.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 s="52">
        <v>0</v>
      </c>
      <c r="Z12" s="56" t="str">
        <f t="shared" si="12"/>
        <v/>
      </c>
      <c r="AA12" s="56" t="str">
        <f t="shared" si="13"/>
        <v/>
      </c>
      <c r="AB12" s="56" t="str">
        <f t="shared" si="14"/>
        <v/>
      </c>
      <c r="AC12" s="56" t="str">
        <f t="shared" si="15"/>
        <v/>
      </c>
      <c r="AD12" s="56" t="str">
        <f t="shared" si="16"/>
        <v/>
      </c>
      <c r="AE12" s="55" t="s">
        <v>66</v>
      </c>
      <c r="AF12" s="55" t="s">
        <v>67</v>
      </c>
      <c r="AG12" s="55" t="s">
        <v>68</v>
      </c>
      <c r="AH12" s="56" t="str">
        <f t="shared" si="0"/>
        <v/>
      </c>
      <c r="AI12" s="54" t="s">
        <v>69</v>
      </c>
      <c r="AJ12" s="54"/>
      <c r="AK12" s="54">
        <v>4</v>
      </c>
      <c r="AL12" s="54" t="s">
        <v>70</v>
      </c>
      <c r="AM12" s="54" t="s">
        <v>71</v>
      </c>
    </row>
    <row r="13" spans="1:39">
      <c r="A13" s="45" t="str" cm="1">
        <f t="array" ref="A13">IF(H13="PROJECT", CHAR(10) &amp; "- " &amp; _xlfn.TEXTJOIN(CHAR(10) &amp; "- ", TRUE, _xlfn._xlws.FILTER($I$9:$I$1000, ($B$9:$B$1000=B13) * ($H$9:$H$1000="Topic"))), "")</f>
        <v/>
      </c>
      <c r="B13" s="45">
        <f t="shared" si="1"/>
        <v>1</v>
      </c>
      <c r="C13" s="95">
        <v>20</v>
      </c>
      <c r="D13" s="46">
        <v>4</v>
      </c>
      <c r="E13" s="58" t="s">
        <v>46</v>
      </c>
      <c r="F13" s="48">
        <v>5</v>
      </c>
      <c r="G13" s="49" t="s">
        <v>159</v>
      </c>
      <c r="H13" s="49" t="s">
        <v>48</v>
      </c>
      <c r="I13" s="50" t="s">
        <v>779</v>
      </c>
      <c r="J13" s="51" t="s">
        <v>780</v>
      </c>
      <c r="K13" s="129" t="str">
        <f t="shared" si="2"/>
        <v xml:space="preserve">[ROLE] Friendly tutor specializing in Dart Concurrency &amp; Asynchrony | [TOPIC] Implement Awaiting in Loops using for, while and await inside iterative blocks.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Dart Concurrency &amp; Asynchrony | 📊 Level: Advanced | 🌐 Coding5s.com
**Concept:** Awaiting in Loops (for, while, await inside iterative blocks)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3" s="103" t="str">
        <f t="shared" si="3"/>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Awaiting in Loops using for, while and await inside iterative blocks.. Topic details: Awaiting in Loops (for, while, await inside iterative blocks)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Dart Concurrency &amp; Asynchrony | 📊 Level: Advanced
**Topic:** Implement Awaiting in Loops using for, while and await inside iterative blocks.
---
 | [FOOTER RULE - STRICT] End your response with: '--- ⚡ *Coding5s Mentor System — Eliminating Epistemic Debt*' | </v>
      </c>
      <c r="M13" s="52">
        <v>0</v>
      </c>
      <c r="N13" s="102" t="str">
        <f t="shared" si="4"/>
        <v>[ROLE] Careless Dart Concurrency &amp; Asynchrony Developer | [TASK] Generate debugging challenges in Dart Concurrency &amp; Asynchrony | | [TOPIC] Implement Awaiting in Loops using for, while and await inside iterative blocks.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#5 | Stage 2 🐛 Debug | Dart Concurrency &amp; Asynchrony | 📊 Level: Advanced | 🌐 Coding5s.com
Concept: Awaiting in Loops (for, while, await inside iterative blocks)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3" s="103" t="str">
        <f t="shared" si="5"/>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Awaiting in Loops using for, while and await inside iterative blocks.. Topic details: Awaiting in Loops (for, while, await inside iterative blocks)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Dart Concurrency &amp; Asynchrony | 📊 Level: Advanced
**Topic:** Implement Awaiting in Loops using for, while and await inside iterative blocks.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3" s="53">
        <v>0</v>
      </c>
      <c r="Q13" s="102" t="str">
        <f t="shared" si="6"/>
        <v>[ROLE] Tech Lead | [TASK] Assign incomplete Dart Concurrency &amp; Asynchrony script challenges | [TOPIC] Implement Awaiting in Loops using for, while and await inside iterative blocks.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#5 | Stage 3 🧩 Complete | Dart Concurrency &amp; Asynchrony | 📊 Level: Advanced | 🌐 Coding5s.com
**Concept:** Awaiting in Loops (for, while, await inside iterative blocks)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Awaiting in Loops using for, while and await inside iterative blocks..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3" s="103" t="str">
        <f t="shared" si="7"/>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Awaiting in Loops using for, while and await inside iterative blocks.. Topic details: Awaiting in Loops (for, while, await inside iterative blocks)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Dart Concurrency &amp; Asynchrony | 📊 Level: Advanced
**Topic:** Implement Awaiting in Loops using for, while and await inside iterative blocks.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3" s="53">
        <v>0</v>
      </c>
      <c r="T13" s="102" t="str">
        <f t="shared" si="8"/>
        <v>[ROLE] Tech Lead | [TASK] Provide intentionally messy but functional code for learning debugging and improvement | [TOPIC] Implement Awaiting in Loops using for, while and await inside iterative blocks.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Dart Concurrency &amp; Asynchrony | 📊 Level: Advanced | 🌐 Coding5s.com
**Concept:** Awaiting in Loops (for, while, await inside iterative blocks)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Awaiting in Loops using for, while and await inside iterative blocks.. Topic details: Awaiting in Loops (for, while, await inside iterative blocks)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Dart Concurrency &amp; Asynchrony | 📊 Level: Advanced
**Topic:** Implement Awaiting in Loops using for, while and await inside iterative blocks.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3" s="53">
        <v>0</v>
      </c>
      <c r="W13" s="87" t="str">
        <f t="shared" si="10"/>
        <v>[ROLE] Tech Product Manager assigning a Dart Concurrency &amp; Asynchrony Jira Ticket | [TASK] Provide a guided implementation exercise with full solution for learning purposes | [TOPIC] Implement Awaiting in Loops using for, while and await inside iterative blocks.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Dart Concurrency &amp; Asynchrony | 📊 Level: Advanced | 🌐 Coding5s.com
**Concept:** Awaiting in Loops (for, while, await inside iterative blocks)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Awaiting in Loops using for, while and await inside iterative blocks.. Goal: Awaiting in Loops (for, while, await inside iterative blocks)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Dart Concurrency &amp; Asynchrony | 📊 Level: Advanced
**Topic:** Implement Awaiting in Loops using for, while and await inside iterative blocks.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3" s="53">
        <v>0</v>
      </c>
      <c r="Z13" s="56" t="str">
        <f t="shared" si="12"/>
        <v/>
      </c>
      <c r="AA13" s="56" t="str">
        <f t="shared" si="13"/>
        <v/>
      </c>
      <c r="AB13" s="56" t="str">
        <f t="shared" si="14"/>
        <v/>
      </c>
      <c r="AC13" s="56" t="str">
        <f t="shared" si="15"/>
        <v/>
      </c>
      <c r="AD13" s="56" t="str">
        <f t="shared" si="16"/>
        <v/>
      </c>
      <c r="AE13" s="40" t="s">
        <v>72</v>
      </c>
      <c r="AF13" s="40" t="s">
        <v>73</v>
      </c>
      <c r="AG13" s="40" t="s">
        <v>74</v>
      </c>
      <c r="AH13" s="56" t="str">
        <f t="shared" si="0"/>
        <v/>
      </c>
      <c r="AI13" s="54"/>
      <c r="AJ13" s="54"/>
      <c r="AK13" s="54">
        <v>5</v>
      </c>
      <c r="AL13" s="54" t="s">
        <v>75</v>
      </c>
      <c r="AM13" s="54" t="s">
        <v>76</v>
      </c>
    </row>
    <row r="14" spans="1:39">
      <c r="A14" s="45" t="str" cm="1">
        <f t="array" ref="A14">IF(H14="PROJECT", CHAR(10) &amp; "- " &amp; _xlfn.TEXTJOIN(CHAR(10) &amp; "- ", TRUE, _xlfn._xlws.FILTER($I$9:$I$1000, ($B$9:$B$1000=B14) * ($H$9:$H$1000="Topic"))), "")</f>
        <v/>
      </c>
      <c r="B14" s="45">
        <f t="shared" si="1"/>
        <v>1</v>
      </c>
      <c r="C14" s="95">
        <v>20</v>
      </c>
      <c r="D14" s="57">
        <v>4</v>
      </c>
      <c r="E14" s="58" t="s">
        <v>46</v>
      </c>
      <c r="F14" s="59">
        <v>6</v>
      </c>
      <c r="G14" s="60" t="s">
        <v>159</v>
      </c>
      <c r="H14" s="60" t="s">
        <v>48</v>
      </c>
      <c r="I14" s="61" t="s">
        <v>781</v>
      </c>
      <c r="J14" s="62" t="s">
        <v>782</v>
      </c>
      <c r="K14" s="129" t="str">
        <f t="shared" si="2"/>
        <v xml:space="preserve">[ROLE] Friendly tutor specializing in Dart Concurrency &amp; Asynchrony | [TOPIC] Implement Asynchronous Error Handling using try, catch, finally and on Exception.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Dart Concurrency &amp; Asynchrony | 📊 Level: Advanced | 🌐 Coding5s.com
**Concept:** Asynchronous Error Handling (try, catch, finally, on Exception)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4" s="103" t="str">
        <f t="shared" si="3"/>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Asynchronous Error Handling using try, catch, finally and on Exception.. Topic details: Asynchronous Error Handling (try, catch, finally, on Exception)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Dart Concurrency &amp; Asynchrony | 📊 Level: Advanced
**Topic:** Implement Asynchronous Error Handling using try, catch, finally and on Exception.
---
 | [FOOTER RULE - STRICT] End your response with: '--- ⚡ *Coding5s Mentor System — Eliminating Epistemic Debt*' | </v>
      </c>
      <c r="M14" s="52">
        <v>0</v>
      </c>
      <c r="N14" s="102" t="str">
        <f t="shared" si="4"/>
        <v>[ROLE] Careless Dart Concurrency &amp; Asynchrony Developer | [TASK] Generate debugging challenges in Dart Concurrency &amp; Asynchrony | | [TOPIC] Implement Asynchronous Error Handling using try, catch, finally and on Exception.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#6 | Stage 2 🐛 Debug | Dart Concurrency &amp; Asynchrony | 📊 Level: Advanced | 🌐 Coding5s.com
Concept: Asynchronous Error Handling (try, catch, finally, on Exception)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4" s="103" t="str">
        <f t="shared" si="5"/>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Asynchronous Error Handling using try, catch, finally and on Exception.. Topic details: Asynchronous Error Handling (try, catch, finally, on Exception)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Dart Concurrency &amp; Asynchrony | 📊 Level: Advanced
**Topic:** Implement Asynchronous Error Handling using try, catch, finally and on Exception.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4" s="52">
        <v>0</v>
      </c>
      <c r="Q14" s="102" t="str">
        <f t="shared" si="6"/>
        <v>[ROLE] Tech Lead | [TASK] Assign incomplete Dart Concurrency &amp; Asynchrony script challenges | [TOPIC] Implement Asynchronous Error Handling using try, catch, finally and on Exception.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#6 | Stage 3 🧩 Complete | Dart Concurrency &amp; Asynchrony | 📊 Level: Advanced | 🌐 Coding5s.com
**Concept:** Asynchronous Error Handling (try, catch, finally, on Exception)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Asynchronous Error Handling using try, catch, finally and on Exception..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4" s="103" t="str">
        <f t="shared" si="7"/>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Asynchronous Error Handling using try, catch, finally and on Exception.. Topic details: Asynchronous Error Handling (try, catch, finally, on Exception)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Dart Concurrency &amp; Asynchrony | 📊 Level: Advanced
**Topic:** Implement Asynchronous Error Handling using try, catch, finally and on Exception.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4" s="53">
        <v>0</v>
      </c>
      <c r="T14" s="102" t="str">
        <f t="shared" si="8"/>
        <v>[ROLE] Tech Lead | [TASK] Provide intentionally messy but functional code for learning debugging and improvement | [TOPIC] Implement Asynchronous Error Handling using try, catch, finally and on Exception.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 | Stage 4 🧹 Refactor | Dart Concurrency &amp; Asynchrony | 📊 Level: Advanced | 🌐 Coding5s.com
**Concept:** Asynchronous Error Handling (try, catch, finally, on Exception)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Asynchronous Error Handling using try, catch, finally and on Exception.. Topic details: Asynchronous Error Handling (try, catch, finally, on Exception)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Dart Concurrency &amp; Asynchrony | 📊 Level: Advanced
**Topic:** Implement Asynchronous Error Handling using try, catch, finally and on Exception.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4" s="52">
        <v>0</v>
      </c>
      <c r="W14" s="87" t="str">
        <f t="shared" si="10"/>
        <v>[ROLE] Tech Product Manager assigning a Dart Concurrency &amp; Asynchrony Jira Ticket | [TASK] Provide a guided implementation exercise with full solution for learning purposes | [TOPIC] Implement Asynchronous Error Handling using try, catch, finally and on Exception.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 | Stage 5 | Dart Concurrency &amp; Asynchrony | 📊 Level: Advanced | 🌐 Coding5s.com
**Concept:** Asynchronous Error Handling (try, catch, finally, on Exception)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Asynchronous Error Handling using try, catch, finally and on Exception.. Goal: Asynchronous Error Handling (try, catch, finally, on Exception)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Dart Concurrency &amp; Asynchrony | 📊 Level: Advanced
**Topic:** Implement Asynchronous Error Handling using try, catch, finally and on Exception.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4" s="52">
        <v>0</v>
      </c>
      <c r="Z14" s="56" t="str">
        <f t="shared" si="12"/>
        <v/>
      </c>
      <c r="AA14" s="56" t="str">
        <f t="shared" si="13"/>
        <v/>
      </c>
      <c r="AB14" s="56" t="str">
        <f t="shared" si="14"/>
        <v/>
      </c>
      <c r="AC14" s="56" t="str">
        <f t="shared" si="15"/>
        <v/>
      </c>
      <c r="AD14" s="56" t="str">
        <f t="shared" si="16"/>
        <v/>
      </c>
      <c r="AE14" s="40" t="s">
        <v>78</v>
      </c>
      <c r="AF14" s="40" t="s">
        <v>79</v>
      </c>
      <c r="AG14" s="40" t="s">
        <v>80</v>
      </c>
      <c r="AH14" s="56" t="str">
        <f t="shared" si="0"/>
        <v/>
      </c>
      <c r="AI14" s="54"/>
      <c r="AJ14" s="54"/>
      <c r="AK14" s="54">
        <v>6</v>
      </c>
      <c r="AL14" s="54" t="s">
        <v>81</v>
      </c>
      <c r="AM14" s="54" t="s">
        <v>82</v>
      </c>
    </row>
    <row r="15" spans="1:39">
      <c r="A15" s="45" t="str" cm="1">
        <f t="array" ref="A15">IF(H15="PROJECT", CHAR(10) &amp; "- " &amp; _xlfn.TEXTJOIN(CHAR(10) &amp; "- ", TRUE, _xlfn._xlws.FILTER($I$9:$I$1000, ($B$9:$B$1000=B15) * ($H$9:$H$1000="Topic"))), "")</f>
        <v/>
      </c>
      <c r="B15" s="45">
        <f t="shared" si="1"/>
        <v>1</v>
      </c>
      <c r="C15" s="95">
        <v>18</v>
      </c>
      <c r="D15" s="46">
        <v>4</v>
      </c>
      <c r="E15" s="58" t="s">
        <v>46</v>
      </c>
      <c r="F15" s="48">
        <v>7</v>
      </c>
      <c r="G15" s="49" t="s">
        <v>159</v>
      </c>
      <c r="H15" s="49" t="s">
        <v>48</v>
      </c>
      <c r="I15" s="50" t="s">
        <v>783</v>
      </c>
      <c r="J15" s="51" t="s">
        <v>784</v>
      </c>
      <c r="K15" s="129" t="str">
        <f t="shared" si="2"/>
        <v xml:space="preserve">[ROLE] Friendly tutor specializing in Dart Concurrency &amp; Asynchrony | [TOPIC] Implement Future Aggregation using Future.wait() and the eagerError property.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Dart Concurrency &amp; Asynchrony | 📊 Level: Advanced | 🌐 Coding5s.com
**Concept:** Future Aggregation (Future.wait(), eagerError property)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5" s="103" t="str">
        <f t="shared" si="3"/>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Future Aggregation using Future.wait() and the eagerError property.. Topic details: Future Aggregation (Future.wait(), eagerError property)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Dart Concurrency &amp; Asynchrony | 📊 Level: Advanced
**Topic:** Implement Future Aggregation using Future.wait() and the eagerError property.
---
 | [FOOTER RULE - STRICT] End your response with: '--- ⚡ *Coding5s Mentor System — Eliminating Epistemic Debt*' | </v>
      </c>
      <c r="M15" s="52">
        <v>0</v>
      </c>
      <c r="N15" s="102" t="str">
        <f t="shared" si="4"/>
        <v>[ROLE] Careless Dart Concurrency &amp; Asynchrony Developer | [TASK] Generate debugging challenges in Dart Concurrency &amp; Asynchrony | | [TOPIC] Implement Future Aggregation using Future.wait() and the eagerError property.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#7 | Stage 2 🐛 Debug | Dart Concurrency &amp; Asynchrony | 📊 Level: Advanced | 🌐 Coding5s.com
Concept: Future Aggregation (Future.wait(), eagerError property)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5" s="103" t="str">
        <f t="shared" si="5"/>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Future Aggregation using Future.wait() and the eagerError property.. Topic details: Future Aggregation (Future.wait(), eagerError property)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Dart Concurrency &amp; Asynchrony | 📊 Level: Advanced
**Topic:** Implement Future Aggregation using Future.wait() and the eagerError property.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5" s="53">
        <v>0</v>
      </c>
      <c r="Q15" s="102" t="str">
        <f t="shared" si="6"/>
        <v>[ROLE] Tech Lead | [TASK] Assign incomplete Dart Concurrency &amp; Asynchrony script challenges | [TOPIC] Implement Future Aggregation using Future.wait() and the eagerError property.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#7 | Stage 3 🧩 Complete | Dart Concurrency &amp; Asynchrony | 📊 Level: Advanced | 🌐 Coding5s.com
**Concept:** Future Aggregation (Future.wait(), eagerError property)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Future Aggregation using Future.wait() and the eagerError property..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5" s="103" t="str">
        <f t="shared" si="7"/>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Future Aggregation using Future.wait() and the eagerError property.. Topic details: Future Aggregation (Future.wait(), eagerError property)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Dart Concurrency &amp; Asynchrony | 📊 Level: Advanced
**Topic:** Implement Future Aggregation using Future.wait() and the eagerError property.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5" s="53">
        <v>0</v>
      </c>
      <c r="T15" s="102" t="str">
        <f t="shared" si="8"/>
        <v>[ROLE] Tech Lead | [TASK] Provide intentionally messy but functional code for learning debugging and improvement | [TOPIC] Implement Future Aggregation using Future.wait() and the eagerError property.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Dart Concurrency &amp; Asynchrony | 📊 Level: Advanced | 🌐 Coding5s.com
**Concept:** Future Aggregation (Future.wait(), eagerError property)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Future Aggregation using Future.wait() and the eagerError property.. Topic details: Future Aggregation (Future.wait(), eagerError property)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Dart Concurrency &amp; Asynchrony | 📊 Level: Advanced
**Topic:** Implement Future Aggregation using Future.wait() and the eagerError property.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5" s="53">
        <v>0</v>
      </c>
      <c r="W15" s="87" t="str">
        <f t="shared" si="10"/>
        <v>[ROLE] Tech Product Manager assigning a Dart Concurrency &amp; Asynchrony Jira Ticket | [TASK] Provide a guided implementation exercise with full solution for learning purposes | [TOPIC] Implement Future Aggregation using Future.wait() and the eagerError property.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Dart Concurrency &amp; Asynchrony | 📊 Level: Advanced | 🌐 Coding5s.com
**Concept:** Future Aggregation (Future.wait(), eagerError property)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Future Aggregation using Future.wait() and the eagerError property.. Goal: Future Aggregation (Future.wait(), eagerError property)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Dart Concurrency &amp; Asynchrony | 📊 Level: Advanced
**Topic:** Implement Future Aggregation using Future.wait() and the eagerError property.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5" s="53">
        <v>0</v>
      </c>
      <c r="Z15" s="56" t="str">
        <f t="shared" si="12"/>
        <v/>
      </c>
      <c r="AA15" s="56" t="str">
        <f t="shared" si="13"/>
        <v/>
      </c>
      <c r="AB15" s="56" t="str">
        <f t="shared" si="14"/>
        <v/>
      </c>
      <c r="AC15" s="56" t="str">
        <f t="shared" si="15"/>
        <v/>
      </c>
      <c r="AD15" s="56" t="str">
        <f t="shared" si="16"/>
        <v/>
      </c>
      <c r="AE15" s="40" t="s">
        <v>83</v>
      </c>
      <c r="AF15" s="40" t="s">
        <v>84</v>
      </c>
      <c r="AG15" s="40" t="s">
        <v>85</v>
      </c>
      <c r="AH15" s="56" t="str">
        <f t="shared" si="0"/>
        <v/>
      </c>
      <c r="AI15" s="54"/>
      <c r="AJ15" s="54"/>
      <c r="AK15" s="54">
        <v>7</v>
      </c>
      <c r="AL15" s="54" t="s">
        <v>86</v>
      </c>
      <c r="AM15" s="54" t="s">
        <v>87</v>
      </c>
    </row>
    <row r="16" spans="1:39">
      <c r="A16" s="45" t="str" cm="1">
        <f t="array" ref="A16">IF(H16="PROJECT", CHAR(10) &amp; "- " &amp; _xlfn.TEXTJOIN(CHAR(10) &amp; "- ", TRUE, _xlfn._xlws.FILTER($I$9:$I$1000, ($B$9:$B$1000=B16) * ($H$9:$H$1000="Topic"))), "")</f>
        <v xml:space="preserve">
- Implement Microtask Scheduling using scheduleMicrotask() and Future.microtask().
- Implement Future Constructors using Future(), Future.value(), Future.error() and Future.delayed().
- Implement Future Callback Chaining using .then(), .catchError() and .whenComplete().
- Implement Async Await Syntax using async, await and Future&lt;T&gt; return types.
- Implement Awaiting in Loops using for, while and await inside iterative blocks.
- Implement Asynchronous Error Handling using try, catch, finally and on Exception.
- Implement Future Aggregation using Future.wait() and the eagerError property.</v>
      </c>
      <c r="B16" s="45">
        <f t="shared" si="1"/>
        <v>1</v>
      </c>
      <c r="C16" s="95">
        <v>30</v>
      </c>
      <c r="D16" s="57">
        <v>0</v>
      </c>
      <c r="E16" s="58" t="s">
        <v>46</v>
      </c>
      <c r="F16" s="59">
        <v>8</v>
      </c>
      <c r="G16" s="60" t="s">
        <v>159</v>
      </c>
      <c r="H16" s="60" t="s">
        <v>77</v>
      </c>
      <c r="I16" s="61" t="s">
        <v>785</v>
      </c>
      <c r="J16" s="62" t="s">
        <v>786</v>
      </c>
      <c r="K16" s="129" t="str">
        <f t="shared" si="2"/>
        <v>[TASK] Teach through a practical Dart Concurrency &amp; Asynchrony -  project following the micro-learning methodology, acting as a supportive tutor, creating a project about  Develop a CLI task runner consolidating Microtask Scheduling, Future Constructors, Callback Chaining, Async Await Syntax, Awaiting in Loops, Asynchronous Error Handling and Future Aggregation. | [TOPICS USED] 
- Implement Microtask Scheduling using scheduleMicrotask() and Future.microtask().
- Implement Future Constructors using Future(), Future.value(), Future.error() and Future.delayed().
- Implement Future Callback Chaining using .then(), .catchError() and .whenComplete().
- Implement Async Await Syntax using async, await and Future&lt;T&gt; return types.
- Implement Awaiting in Loops using for, while and await inside iterative blocks.
- Implement Asynchronous Error Handling using try, catch, finally and on Exception.
- Implement Future Aggregation using Future.wait() and the eagerError property.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asynchronous primitives, Futures, Streams, async/await flows, and isolate execution models utilizing top-level main(). at the top of the code block. Assume no project configuration file exists. | [CODE_CONSTRAINTS_RULE] Standard basic logic validation using native assert statements. | [VISUAL_ARCHITECTURE_COMMENTS] 1. Use visual block tags separating script sections (e.g., '// --- BLOQUE 1: [NAME] ---') to map code to the planning phase. 2. Use comprehensive doc comments using triple slashes ('///') explaining asynchronous parameters, Future return types, and exceptions. 3. CRITICAL: NO comment or docstring line may exceed 80 characters (Effective Dart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Dart Concurrency &amp; Asynchrony | 📊 Level: Advanced | 🌐 Coding5s.com
**Project:** Core Futures, Async Await and Aggregation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6" s="103" t="str">
        <f t="shared" si="3"/>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CLI task runner consolidating Microtask Scheduling, Future Constructors, Callback Chaining, Async Await Syntax, Awaiting in Loops, Asynchronous Error Handling and Future Aggregation.. Topics applied in this project: 
- Implement Microtask Scheduling using scheduleMicrotask() and Future.microtask().
- Implement Future Constructors using Future(), Future.value(), Future.error() and Future.delayed().
- Implement Future Callback Chaining using .then(), .catchError() and .whenComplete().
- Implement Async Await Syntax using async, await and Future&lt;T&gt; return types.
- Implement Awaiting in Loops using for, while and await inside iterative blocks.
- Implement Asynchronous Error Handling using try, catch, finally and on Exception.
- Implement Future Aggregation using Future.wait() and the eagerError property.. Project objective: Core Futures, Async Await and Aggregation Project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 | Practice | Dart Concurrency &amp; Asynchrony | 📊 Level: Advanced
**Project:** Develop a CLI task runner consolidating Microtask Scheduling, Future Constructors, Callback Chaining, Async Await Syntax, Awaiting in Loops, Asynchronous Error Handling and Future Aggregation.
---
 | [FOOTER RULE - STRICT] End your response with: '--- ⚡ *Coding5s Mentor System — Eliminating Epistemic Debt*' | </v>
      </c>
      <c r="M16" s="52">
        <v>0</v>
      </c>
      <c r="N16" s="102" t="str">
        <f t="shared" si="4"/>
        <v>[ROLE] Careless Dart Concurrency &amp; Asynchrony Developer | [TASK] Generate debugging project in Dart Concurrency &amp; Asynchrony | [PROJECT] Develop a CLI task runner consolidating Microtask Scheduling, Future Constructors, Callback Chaining, Async Await Syntax, Awaiting in Loops, Asynchronous Error Handling and Future Aggregation. | [TOPICS USED] 
- Implement Microtask Scheduling using scheduleMicrotask() and Future.microtask().
- Implement Future Constructors using Future(), Future.value(), Future.error() and Future.delayed().
- Implement Future Callback Chaining using .then(), .catchError() and .whenComplete().
- Implement Async Await Syntax using async, await and Future&lt;T&gt; return types.
- Implement Awaiting in Loops using for, while and await inside iterative blocks.
- Implement Asynchronous Error Handling using try, catch, finally and on Exception.
- Implement Future Aggregation using Future.wait() and the eagerError property. | [LEVEL] Advanced | [OUTPUT] Only header, dataset summary or statement (if any), email intro, objective, expected output, broken code, and footer | [HEADER RULE - STRICT] You MUST start your entire response EXACTLY with this markdown block (do not print anything before it):
### 🚀 Project #8 | Stage 2 | Dart Concurrency &amp; Asynchrony | 📊 Level: Advanced | 🌐 Coding5s.com
Project: Core Futures, Async Await and Aggregation Project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Guaraní | [LANGUAGE SEED CONTEXT] Language Seed Not Necessary | [BUG RULE] Simulate a messy Dart concurrency script. The project MUST contain EXACTLY 2-5 bugs mixing unawaited futures, missing async/await keywords, concurrency logic errors, and runtime exceptions. 1. Syntax &amp; Type Errors (e.g., missing semicolons/brackets, returning raw values instead of Futures, unhandled null safety exceptions in streams), 2. Logic Errors (e.g., unawaited async calls causing race conditions, incorrect stream subscription logic, deadlock states), AND 3. Runtime Exceptions (e.g., TimeoutException, StateError on closed controllers, IsolateSpawnException, FormatException).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Concurrency &amp; Asynchrony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6" s="103" t="str">
        <f t="shared" si="5"/>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CLI task runner consolidating Microtask Scheduling, Future Constructors, Callback Chaining, Async Await Syntax, Awaiting in Loops, Asynchronous Error Handling and Future Aggregation.. Topics involved: 
- Implement Microtask Scheduling using scheduleMicrotask() and Future.microtask().
- Implement Future Constructors using Future(), Future.value(), Future.error() and Future.delayed().
- Implement Future Callback Chaining using .then(), .catchError() and .whenComplete().
- Implement Async Await Syntax using async, await and Future&lt;T&gt; return types.
- Implement Awaiting in Loops using for, while and await inside iterative blocks.
- Implement Asynchronous Error Handling using try, catch, finally and on Exception.
- Implement Future Aggregation using Future.wait() and the eagerError property.. Project objective: Core Futures, Async Await and Aggregation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 | Debug | Dart Concurrency &amp; Asynchrony | 📊 Level: Advanced
**Project:** Develop a CLI task runner consolidating Microtask Scheduling, Future Constructors, Callback Chaining, Async Await Syntax, Awaiting in Loops, Asynchronous Error Handling and Future Aggregation.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6" s="52">
        <v>0</v>
      </c>
      <c r="Q16" s="102" t="str">
        <f t="shared" si="6"/>
        <v>[ROLE] Tech Lead | [TASK] Assign incomplete project script | [PROJECT] Develop a CLI task runner consolidating Microtask Scheduling, Future Constructors, Callback Chaining, Async Await Syntax, Awaiting in Loops, Asynchronous Error Handling and Future Aggregation. | [TOPICS USED] 
- Implement Microtask Scheduling using scheduleMicrotask() and Future.microtask().
- Implement Future Constructors using Future(), Future.value(), Future.error() and Future.delayed().
- Implement Future Callback Chaining using .then(), .catchError() and .whenComplete().
- Implement Async Await Syntax using async, await and Future&lt;T&gt; return types.
- Implement Awaiting in Loops using for, while and await inside iterative blocks.
- Implement Asynchronous Error Handling using try, catch, finally and on Exception.
- Implement Future Aggregation using Future.wait() and the eagerError property. | [LEVEL] Advanced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 | Stage 3 | Dart Concurrency &amp; Asynchrony | 📊 Level: Advanced | 🌐 Coding5s.com
**Project:** Core Futures, Async Await and Aggregation Project
---
 | [EXTERNAL_PACKAGE_PROTOCOL] Require standard dart pub tooling and pubspec.yaml file for external dependencies when applicable. | [CHALLENGE_CONSTRAINTS_POLICY] MUST be between 25-40 lines of EXECUTABLE base Dart code (STRICT: Do NOT count comments or // TODO blocks). 40–100 Asynchronous and concurrent script flow. Require at least 1 async worker or stream pipeline.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Concurrency &amp; Asynchrony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6" s="103" t="str">
        <f t="shared" si="7"/>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CLI task runner consolidating Microtask Scheduling, Future Constructors, Callback Chaining, Async Await Syntax, Awaiting in Loops, Asynchronous Error Handling and Future Aggregation.. Topics involved: 
- Implement Microtask Scheduling using scheduleMicrotask() and Future.microtask().
- Implement Future Constructors using Future(), Future.value(), Future.error() and Future.delayed().
- Implement Future Callback Chaining using .then(), .catchError() and .whenComplete().
- Implement Async Await Syntax using async, await and Future&lt;T&gt; return types.
- Implement Awaiting in Loops using for, while and await inside iterative blocks.
- Implement Asynchronous Error Handling using try, catch, finally and on Exception.
- Implement Future Aggregation using Future.wait() and the eagerError property.. Project objective: Core Futures, Async Await and Aggregation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 | Complete | Dart Concurrency &amp; Asynchrony | 📊 Level: Advanced
**Project:** Develop a CLI task runner consolidating Microtask Scheduling, Future Constructors, Callback Chaining, Async Await Syntax, Awaiting in Loops, Asynchronous Error Handling and Future Aggregation.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6" s="52">
        <v>0</v>
      </c>
      <c r="T16" s="102" t="str">
        <f t="shared" si="8"/>
        <v>[ROLE] Tech Lead | [TASK] Provide a messy but functional project for refactoring | [PROJECT] Develop a CLI task runner consolidating Microtask Scheduling, Future Constructors, Callback Chaining, Async Await Syntax, Awaiting in Loops, Asynchronous Error Handling and Future Aggregation. | [TOPICS USED] 
- Implement Microtask Scheduling using scheduleMicrotask() and Future.microtask().
- Implement Future Constructors using Future(), Future.value(), Future.error() and Future.delayed().
- Implement Future Callback Chaining using .then(), .catchError() and .whenComplete().
- Implement Async Await Syntax using async, await and Future&lt;T&gt; return types.
- Implement Awaiting in Loops using for, while and await inside iterative blocks.
- Implement Asynchronous Error Handling using try, catch, finally and on Exception.
- Implement Future Aggregation using Future.wait() and the eagerError property. | [LEVEL] Advanced | [PERSONA RULE] Act as a Tech Lead. A junior wrote this working but messy code. Tone: professional but exhausted | [HEADER RULE - STRICT] You MUST start your entire response EXACTLY with this markdown block (do not print anything before it):
### 🚀 Project #8 | Stage 4 | Dart Concurrency &amp; Asynchrony | 📊 Level: Advanced | 🌐 Coding5s.com
**Project:** Core Futures, Async Await and Aggregation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Concurrency &amp; Asynchrony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PROJECT: Develop a CLI task runner consolidating Microtask Scheduling, Future Constructors, Callback Chaining, Async Await Syntax, Awaiting in Loops, Asynchronous Error Handling and Future Aggregation.. Topics involved: 
- Implement Microtask Scheduling using scheduleMicrotask() and Future.microtask().
- Implement Future Constructors using Future(), Future.value(), Future.error() and Future.delayed().
- Implement Future Callback Chaining using .then(), .catchError() and .whenComplete().
- Implement Async Await Syntax using async, await and Future&lt;T&gt; return types.
- Implement Awaiting in Loops using for, while and await inside iterative blocks.
- Implement Asynchronous Error Handling using try, catch, finally and on Exception.
- Implement Future Aggregation using Future.wait() and the eagerError property.. Project objective: Core Futures, Async Await and Aggregation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 | Refactor | Dart Concurrency &amp; Asynchrony | 📊 Level: Advanced
**Project:** Develop a CLI task runner consolidating Microtask Scheduling, Future Constructors, Callback Chaining, Async Await Syntax, Awaiting in Loops, Asynchronous Error Handling and Future Aggregation.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6" s="52">
        <v>0</v>
      </c>
      <c r="W16" s="87" t="str">
        <f t="shared" si="10"/>
        <v>[ROLE] Tech Product Manager assigning a Dart Concurrency &amp; Asynchrony Jira Ticket | [TASK] Provide a guided project implementation with full solution | [PROJECT] Develop a CLI task runner consolidating Microtask Scheduling, Future Constructors, Callback Chaining, Async Await Syntax, Awaiting in Loops, Asynchronous Error Handling and Future Aggregation. | [TOPICS USED] 
- Implement Microtask Scheduling using scheduleMicrotask() and Future.microtask().
- Implement Future Constructors using Future(), Future.value(), Future.error() and Future.delayed().
- Implement Future Callback Chaining using .then(), .catchError() and .whenComplete().
- Implement Async Await Syntax using async, await and Future&lt;T&gt; return types.
- Implement Awaiting in Loops using for, while and await inside iterative blocks.
- Implement Asynchronous Error Handling using try, catch, finally and on Exception.
- Implement Future Aggregation using Future.wait() and the eagerError property. | [LEVEL] Advanced | [PERSONA RULE] Act as a professional Tech Product Manager defining a project ticket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[HEADER RULE - STRICT] You MUST start your entire response EXACTLY with this markdown block (do not print anything before it):
### 🚀 Project #8 | Stage 5 | Dart Concurrency &amp; Asynchrony | 📊 Level: Advanced | 🌐 Coding5s.com
**Project:** Core Futures, Async Await and Aggregation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Concurrency &amp; Asynchrony Dev']
Subject: Assignment Details
Hello [Insert my user name if known, otherwise use 'Dart Concurrency &amp; Asynchrony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CLI task runner consolidating Microtask Scheduling, Future Constructors, Callback Chaining, Async Await Syntax, Awaiting in Loops, Asynchronous Error Handling and Future Aggregation.. Topics integrated: 
- Implement Microtask Scheduling using scheduleMicrotask() and Future.microtask().
- Implement Future Constructors using Future(), Future.value(), Future.error() and Future.delayed().
- Implement Future Callback Chaining using .then(), .catchError() and .whenComplete().
- Implement Async Await Syntax using async, await and Future&lt;T&gt; return types.
- Implement Awaiting in Loops using for, while and await inside iterative blocks.
- Implement Asynchronous Error Handling using try, catch, finally and on Exception.
- Implement Future Aggregation using Future.wait() and the eagerError property.. Business Goal: Core Futures, Async Await and Aggregation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 | Extend | Dart Concurrency &amp; Asynchrony | 📊 Level: Advanced
**Project:** Develop a CLI task runner consolidating Microtask Scheduling, Future Constructors, Callback Chaining, Async Await Syntax, Awaiting in Loops, Asynchronous Error Handling and Future Aggregation.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6" s="52">
        <v>0</v>
      </c>
      <c r="Z16" s="56" t="str">
        <f t="shared" si="12"/>
        <v>[TASK] Teach through a practical Dart Concurrency &amp; Asynchrony -  project following the micro-learning methodology, acting as a supportive tutor, creating a project about  Develop a CLI task runner consolidating Microtask Scheduling, Future Constructors, Callback Chaining, Async Await Syntax, Awaiting in Loops, Asynchronous Error Handling and Future Aggregation. | [TOPICS USED] 
- Implement Microtask Scheduling using scheduleMicrotask() and Future.microtask().
- Implement Future Constructors using Future(), Future.value(), Future.error() and Future.delayed().
- Implement Future Callback Chaining using .then(), .catchError() and .whenComplete().
- Implement Async Await Syntax using async, await and Future&lt;T&gt; return types.
- Implement Awaiting in Loops using for, while and await inside iterative blocks.
- Implement Asynchronous Error Handling using try, catch, finally and on Exception.
- Implement Future Aggregation using Future.wait() and the eagerError property.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asynchronous primitives, Futures, Streams, async/await flows, and isolate execution models utilizing top-level main(). at the top of the code block. Assume no project configuration file exists. | [CODE_CONSTRAINTS_RULE] Standard basic logic validation using native assert statements. | [VISUAL_ARCHITECTURE_COMMENTS] 1. Use visual block tags separating script sections (e.g., '// --- BLOQUE 1: [NAME] ---') to map code to the planning phase. 2. Use comprehensive doc comments using triple slashes ('///') explaining asynchronous parameters, Future return types, and exceptions. 3. CRITICAL: NO comment or docstring line may exceed 80 characters (Effective Dart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Dart Concurrency &amp; Asynchrony | 📊 Level: Advanced | 🌐 Coding5s.com
**Project:** Core Futures, Async Await and Aggregation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6" s="56" t="str">
        <f t="shared" si="13"/>
        <v>[ROLE] Careless Dart Concurrency &amp; Asynchrony Developer | [TASK] Generate debugging project in Dart Concurrency &amp; Asynchrony | [PROJECT] Develop a CLI task runner consolidating Microtask Scheduling, Future Constructors, Callback Chaining, Async Await Syntax, Awaiting in Loops, Asynchronous Error Handling and Future Aggregation. | [TOPICS USED] 
- Implement Microtask Scheduling using scheduleMicrotask() and Future.microtask().
- Implement Future Constructors using Future(), Future.value(), Future.error() and Future.delayed().
- Implement Future Callback Chaining using .then(), .catchError() and .whenComplete().
- Implement Async Await Syntax using async, await and Future&lt;T&gt; return types.
- Implement Awaiting in Loops using for, while and await inside iterative blocks.
- Implement Asynchronous Error Handling using try, catch, finally and on Exception.
- Implement Future Aggregation using Future.wait() and the eagerError property. | [LEVEL] Advanced | [OUTPUT] Only header, dataset summary or statement (if any), email intro, objective, expected output, broken code, and footer | [HEADER RULE - STRICT] You MUST start your entire response EXACTLY with this markdown block (do not print anything before it):
### 🚀 Project #8 | Stage 2 | Dart Concurrency &amp; Asynchrony | 📊 Level: Advanced | 🌐 Coding5s.com
Project: Core Futures, Async Await and Aggregation Project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Guaraní | [LANGUAGE SEED CONTEXT] Language Seed Not Necessary | [BUG RULE] Simulate a messy Dart concurrency script. The project MUST contain EXACTLY 2-5 bugs mixing unawaited futures, missing async/await keywords, concurrency logic errors, and runtime exceptions. 1. Syntax &amp; Type Errors (e.g., missing semicolons/brackets, returning raw values instead of Futures, unhandled null safety exceptions in streams), 2. Logic Errors (e.g., unawaited async calls causing race conditions, incorrect stream subscription logic, deadlock states), AND 3. Runtime Exceptions (e.g., TimeoutException, StateError on closed controllers, IsolateSpawnException, FormatException).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Concurrency &amp; Asynchrony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6" s="56" t="str">
        <f t="shared" si="14"/>
        <v>[ROLE] Tech Lead | [TASK] Assign incomplete project script | [PROJECT] Develop a CLI task runner consolidating Microtask Scheduling, Future Constructors, Callback Chaining, Async Await Syntax, Awaiting in Loops, Asynchronous Error Handling and Future Aggregation. | [TOPICS USED] 
- Implement Microtask Scheduling using scheduleMicrotask() and Future.microtask().
- Implement Future Constructors using Future(), Future.value(), Future.error() and Future.delayed().
- Implement Future Callback Chaining using .then(), .catchError() and .whenComplete().
- Implement Async Await Syntax using async, await and Future&lt;T&gt; return types.
- Implement Awaiting in Loops using for, while and await inside iterative blocks.
- Implement Asynchronous Error Handling using try, catch, finally and on Exception.
- Implement Future Aggregation using Future.wait() and the eagerError property. | [LEVEL] Advanced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 | Stage 3 | Dart Concurrency &amp; Asynchrony | 📊 Level: Advanced | 🌐 Coding5s.com
**Project:** Core Futures, Async Await and Aggregation Project
---
 | [EXTERNAL_PACKAGE_PROTOCOL] Require standard dart pub tooling and pubspec.yaml file for external dependencies when applicable. | [CHALLENGE_CONSTRAINTS_POLICY] MUST be between 25-40 lines of EXECUTABLE base Dart code (STRICT: Do NOT count comments or // TODO blocks). 40–100 Asynchronous and concurrent script flow. Require at least 1 async worker or stream pipeline.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Concurrency &amp; Asynchrony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6" s="56" t="str">
        <f t="shared" si="15"/>
        <v>[ROLE] Tech Lead | [TASK] Provide a messy but functional project for refactoring | [PROJECT] Develop a CLI task runner consolidating Microtask Scheduling, Future Constructors, Callback Chaining, Async Await Syntax, Awaiting in Loops, Asynchronous Error Handling and Future Aggregation. | [TOPICS USED] 
- Implement Microtask Scheduling using scheduleMicrotask() and Future.microtask().
- Implement Future Constructors using Future(), Future.value(), Future.error() and Future.delayed().
- Implement Future Callback Chaining using .then(), .catchError() and .whenComplete().
- Implement Async Await Syntax using async, await and Future&lt;T&gt; return types.
- Implement Awaiting in Loops using for, while and await inside iterative blocks.
- Implement Asynchronous Error Handling using try, catch, finally and on Exception.
- Implement Future Aggregation using Future.wait() and the eagerError property. | [LEVEL] Advanced | [PERSONA RULE] Act as a Tech Lead. A junior wrote this working but messy code. Tone: professional but exhausted | [HEADER RULE - STRICT] You MUST start your entire response EXACTLY with this markdown block (do not print anything before it):
### 🚀 Project #8 | Stage 4 | Dart Concurrency &amp; Asynchrony | 📊 Level: Advanced | 🌐 Coding5s.com
**Project:** Core Futures, Async Await and Aggregation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Concurrency &amp; Asynchrony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6" s="56" t="str">
        <f t="shared" si="16"/>
        <v>[ROLE] Tech Product Manager assigning a Dart Concurrency &amp; Asynchrony Jira Ticket | [TASK] Provide a guided project implementation with full solution | [PROJECT] Develop a CLI task runner consolidating Microtask Scheduling, Future Constructors, Callback Chaining, Async Await Syntax, Awaiting in Loops, Asynchronous Error Handling and Future Aggregation. | [TOPICS USED] 
- Implement Microtask Scheduling using scheduleMicrotask() and Future.microtask().
- Implement Future Constructors using Future(), Future.value(), Future.error() and Future.delayed().
- Implement Future Callback Chaining using .then(), .catchError() and .whenComplete().
- Implement Async Await Syntax using async, await and Future&lt;T&gt; return types.
- Implement Awaiting in Loops using for, while and await inside iterative blocks.
- Implement Asynchronous Error Handling using try, catch, finally and on Exception.
- Implement Future Aggregation using Future.wait() and the eagerError property. | [LEVEL] Advanced | [PERSONA RULE] Act as a professional Tech Product Manager defining a project ticket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[HEADER RULE - STRICT] You MUST start your entire response EXACTLY with this markdown block (do not print anything before it):
### 🚀 Project #8 | Stage 5 | Dart Concurrency &amp; Asynchrony | 📊 Level: Advanced | 🌐 Coding5s.com
**Project:** Core Futures, Async Await and Aggregation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Concurrency &amp; Asynchrony Dev']
Subject: Assignment Details
Hello [Insert my user name if known, otherwise use 'Dart Concurrency &amp; Asynchrony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6" s="40" t="s">
        <v>88</v>
      </c>
      <c r="AF16" s="40" t="s">
        <v>89</v>
      </c>
      <c r="AG16" s="40" t="s">
        <v>90</v>
      </c>
      <c r="AH16" s="56" t="str">
        <f t="shared" si="0"/>
        <v/>
      </c>
      <c r="AI16" s="54"/>
      <c r="AJ16" s="54"/>
      <c r="AK16" s="54">
        <v>8</v>
      </c>
      <c r="AL16" s="54" t="s">
        <v>91</v>
      </c>
      <c r="AM16" s="54" t="s">
        <v>92</v>
      </c>
    </row>
    <row r="17" spans="1:39">
      <c r="A17" s="45" t="str" cm="1">
        <f t="array" ref="A17">IF(H17="PROJECT", CHAR(10) &amp; "- " &amp; _xlfn.TEXTJOIN(CHAR(10) &amp; "- ", TRUE, _xlfn._xlws.FILTER($I$9:$I$1000, ($B$9:$B$1000=B17) * ($H$9:$H$1000="Topic"))), "")</f>
        <v/>
      </c>
      <c r="B17" s="45">
        <f t="shared" si="1"/>
        <v>2</v>
      </c>
      <c r="C17" s="95">
        <v>18</v>
      </c>
      <c r="D17" s="46">
        <v>4</v>
      </c>
      <c r="E17" s="58" t="s">
        <v>46</v>
      </c>
      <c r="F17" s="48">
        <v>9</v>
      </c>
      <c r="G17" s="49" t="s">
        <v>159</v>
      </c>
      <c r="H17" s="49" t="s">
        <v>48</v>
      </c>
      <c r="I17" s="50" t="s">
        <v>787</v>
      </c>
      <c r="J17" s="51" t="s">
        <v>788</v>
      </c>
      <c r="K17" s="129" t="str">
        <f t="shared" si="2"/>
        <v xml:space="preserve">[ROLE] Friendly tutor specializing in Dart Concurrency &amp; Asynchrony | [TOPIC] Implement Future Racing and Timeouts using Future.any() and .timeout().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Dart Concurrency &amp; Asynchrony | 📊 Level: Advanced | 🌐 Coding5s.com
**Concept:** Future Racing &amp; Timeouts (Future.any(), .timeout())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7" s="103" t="str">
        <f t="shared" si="3"/>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Future Racing and Timeouts using Future.any() and .timeout().. Topic details: Future Racing &amp; Timeouts (Future.any(), .timeout())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Dart Concurrency &amp; Asynchrony | 📊 Level: Advanced
**Topic:** Implement Future Racing and Timeouts using Future.any() and .timeout().
---
 | [FOOTER RULE - STRICT] End your response with: '--- ⚡ *Coding5s Mentor System — Eliminating Epistemic Debt*' | </v>
      </c>
      <c r="M17" s="53">
        <v>0</v>
      </c>
      <c r="N17" s="102" t="str">
        <f t="shared" si="4"/>
        <v>[ROLE] Careless Dart Concurrency &amp; Asynchrony Developer | [TASK] Generate debugging challenges in Dart Concurrency &amp; Asynchrony | | [TOPIC] Implement Future Racing and Timeouts using Future.any() and .timeout().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#9 | Stage 2 🐛 Debug | Dart Concurrency &amp; Asynchrony | 📊 Level: Advanced | 🌐 Coding5s.com
Concept: Future Racing &amp; Timeouts (Future.any(), .timeout())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7" s="103" t="str">
        <f t="shared" si="5"/>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Future Racing and Timeouts using Future.any() and .timeout().. Topic details: Future Racing &amp; Timeouts (Future.any(), .timeout())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Dart Concurrency &amp; Asynchrony | 📊 Level: Advanced
**Topic:** Implement Future Racing and Timeouts using Future.any() and .timeout().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7" s="53">
        <v>0</v>
      </c>
      <c r="Q17" s="102" t="str">
        <f t="shared" si="6"/>
        <v>[ROLE] Tech Lead | [TASK] Assign incomplete Dart Concurrency &amp; Asynchrony script challenges | [TOPIC] Implement Future Racing and Timeouts using Future.any() and .timeout().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#9 | Stage 3 🧩 Complete | Dart Concurrency &amp; Asynchrony | 📊 Level: Advanced | 🌐 Coding5s.com
**Concept:** Future Racing &amp; Timeouts (Future.any(), .timeout())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Future Racing and Timeouts using Future.any() and .timeout()..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7" s="103" t="str">
        <f t="shared" si="7"/>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Future Racing and Timeouts using Future.any() and .timeout().. Topic details: Future Racing &amp; Timeouts (Future.any(), .timeout())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Dart Concurrency &amp; Asynchrony | 📊 Level: Advanced
**Topic:** Implement Future Racing and Timeouts using Future.any() and .timeout().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7" s="53">
        <v>0</v>
      </c>
      <c r="T17" s="102" t="str">
        <f t="shared" si="8"/>
        <v>[ROLE] Tech Lead | [TASK] Provide intentionally messy but functional code for learning debugging and improvement | [TOPIC] Implement Future Racing and Timeouts using Future.any() and .timeout().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Dart Concurrency &amp; Asynchrony | 📊 Level: Advanced | 🌐 Coding5s.com
**Concept:** Future Racing &amp; Timeouts (Future.any(), .timeout())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Future Racing and Timeouts using Future.any() and .timeout().. Topic details: Future Racing &amp; Timeouts (Future.any(), .timeout())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Dart Concurrency &amp; Asynchrony | 📊 Level: Advanced
**Topic:** Implement Future Racing and Timeouts using Future.any() and .timeout().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7" s="53">
        <v>0</v>
      </c>
      <c r="W17" s="87" t="str">
        <f t="shared" si="10"/>
        <v>[ROLE] Tech Product Manager assigning a Dart Concurrency &amp; Asynchrony Jira Ticket | [TASK] Provide a guided implementation exercise with full solution for learning purposes | [TOPIC] Implement Future Racing and Timeouts using Future.any() and .timeout().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Dart Concurrency &amp; Asynchrony | 📊 Level: Advanced | 🌐 Coding5s.com
**Concept:** Future Racing &amp; Timeouts (Future.any(), .timeout())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Future Racing and Timeouts using Future.any() and .timeout().. Goal: Future Racing &amp; Timeouts (Future.any(), .timeout())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Dart Concurrency &amp; Asynchrony | 📊 Level: Advanced
**Topic:** Implement Future Racing and Timeouts using Future.any() and .timeout().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7" s="53">
        <v>0</v>
      </c>
      <c r="Z17" s="56" t="str">
        <f t="shared" si="12"/>
        <v/>
      </c>
      <c r="AA17" s="56" t="str">
        <f t="shared" si="13"/>
        <v/>
      </c>
      <c r="AB17" s="56" t="str">
        <f t="shared" si="14"/>
        <v/>
      </c>
      <c r="AC17" s="56" t="str">
        <f t="shared" si="15"/>
        <v/>
      </c>
      <c r="AD17" s="56" t="str">
        <f t="shared" si="16"/>
        <v/>
      </c>
      <c r="AE17" s="40" t="s">
        <v>93</v>
      </c>
      <c r="AF17" s="40" t="s">
        <v>94</v>
      </c>
      <c r="AG17" s="40" t="s">
        <v>95</v>
      </c>
      <c r="AH17" s="56" t="str">
        <f t="shared" si="0"/>
        <v/>
      </c>
      <c r="AI17" s="54"/>
      <c r="AJ17" s="54"/>
      <c r="AK17" s="54">
        <v>9</v>
      </c>
      <c r="AL17" s="54" t="s">
        <v>96</v>
      </c>
      <c r="AM17" s="54" t="s">
        <v>97</v>
      </c>
    </row>
    <row r="18" spans="1:39">
      <c r="A18" s="45" t="str" cm="1">
        <f t="array" ref="A18">IF(H18="PROJECT", CHAR(10) &amp; "- " &amp; _xlfn.TEXTJOIN(CHAR(10) &amp; "- ", TRUE, _xlfn._xlws.FILTER($I$9:$I$1000, ($B$9:$B$1000=B18) * ($H$9:$H$1000="Topic"))), "")</f>
        <v/>
      </c>
      <c r="B18" s="45">
        <f t="shared" si="1"/>
        <v>2</v>
      </c>
      <c r="C18" s="95">
        <v>20</v>
      </c>
      <c r="D18" s="57">
        <v>4</v>
      </c>
      <c r="E18" s="58" t="s">
        <v>46</v>
      </c>
      <c r="F18" s="59">
        <v>10</v>
      </c>
      <c r="G18" s="60" t="s">
        <v>159</v>
      </c>
      <c r="H18" s="60" t="s">
        <v>48</v>
      </c>
      <c r="I18" s="61" t="s">
        <v>789</v>
      </c>
      <c r="J18" s="62" t="s">
        <v>790</v>
      </c>
      <c r="K18" s="129" t="str">
        <f t="shared" si="2"/>
        <v xml:space="preserve">[ROLE] Friendly tutor specializing in Dart Concurrency &amp; Asynchrony | [TOPIC] Implement Callback Bridging with Completers using Completer(), .complete(), .completeError() and .future.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Dart Concurrency &amp; Asynchrony | 📊 Level: Advanced | 🌐 Coding5s.com
**Concept:** Callback Bridging with Completers (Completer(), .complete(), .completeError(), .future)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8" s="103" t="str">
        <f t="shared" si="3"/>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Callback Bridging with Completers using Completer(), .complete(), .completeError() and .future.. Topic details: Callback Bridging with Completers (Completer(), .complete(), .completeError(), .future)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Dart Concurrency &amp; Asynchrony | 📊 Level: Advanced
**Topic:** Implement Callback Bridging with Completers using Completer(), .complete(), .completeError() and .future.
---
 | [FOOTER RULE - STRICT] End your response with: '--- ⚡ *Coding5s Mentor System — Eliminating Epistemic Debt*' | </v>
      </c>
      <c r="M18" s="52">
        <v>0</v>
      </c>
      <c r="N18" s="102" t="str">
        <f t="shared" si="4"/>
        <v>[ROLE] Careless Dart Concurrency &amp; Asynchrony Developer | [TASK] Generate debugging challenges in Dart Concurrency &amp; Asynchrony | | [TOPIC] Implement Callback Bridging with Completers using Completer(), .complete(), .completeError() and .future.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#10 | Stage 2 🐛 Debug | Dart Concurrency &amp; Asynchrony | 📊 Level: Advanced | 🌐 Coding5s.com
Concept: Callback Bridging with Completers (Completer(), .complete(), .completeError(), .future)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8" s="103" t="str">
        <f t="shared" si="5"/>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Callback Bridging with Completers using Completer(), .complete(), .completeError() and .future.. Topic details: Callback Bridging with Completers (Completer(), .complete(), .completeError(), .future)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Dart Concurrency &amp; Asynchrony | 📊 Level: Advanced
**Topic:** Implement Callback Bridging with Completers using Completer(), .complete(), .completeError() and .future.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8" s="52">
        <v>0</v>
      </c>
      <c r="Q18" s="102" t="str">
        <f t="shared" si="6"/>
        <v>[ROLE] Tech Lead | [TASK] Assign incomplete Dart Concurrency &amp; Asynchrony script challenges | [TOPIC] Implement Callback Bridging with Completers using Completer(), .complete(), .completeError() and .future.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#10 | Stage 3 🧩 Complete | Dart Concurrency &amp; Asynchrony | 📊 Level: Advanced | 🌐 Coding5s.com
**Concept:** Callback Bridging with Completers (Completer(), .complete(), .completeError(), .future)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Callback Bridging with Completers using Completer(), .complete(), .completeError() and .future..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8" s="103" t="str">
        <f t="shared" si="7"/>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Callback Bridging with Completers using Completer(), .complete(), .completeError() and .future.. Topic details: Callback Bridging with Completers (Completer(), .complete(), .completeError(), .future)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Dart Concurrency &amp; Asynchrony | 📊 Level: Advanced
**Topic:** Implement Callback Bridging with Completers using Completer(), .complete(), .completeError() and .future.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8" s="52">
        <v>0</v>
      </c>
      <c r="T18" s="102" t="str">
        <f t="shared" si="8"/>
        <v>[ROLE] Tech Lead | [TASK] Provide intentionally messy but functional code for learning debugging and improvement | [TOPIC] Implement Callback Bridging with Completers using Completer(), .complete(), .completeError() and .future.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Dart Concurrency &amp; Asynchrony | 📊 Level: Advanced | 🌐 Coding5s.com
**Concept:** Callback Bridging with Completers (Completer(), .complete(), .completeError(), .future)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Callback Bridging with Completers using Completer(), .complete(), .completeError() and .future.. Topic details: Callback Bridging with Completers (Completer(), .complete(), .completeError(), .future)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Dart Concurrency &amp; Asynchrony | 📊 Level: Advanced
**Topic:** Implement Callback Bridging with Completers using Completer(), .complete(), .completeError() and .future.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8" s="52">
        <v>0</v>
      </c>
      <c r="W18" s="87" t="str">
        <f t="shared" si="10"/>
        <v>[ROLE] Tech Product Manager assigning a Dart Concurrency &amp; Asynchrony Jira Ticket | [TASK] Provide a guided implementation exercise with full solution for learning purposes | [TOPIC] Implement Callback Bridging with Completers using Completer(), .complete(), .completeError() and .future.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Dart Concurrency &amp; Asynchrony | 📊 Level: Advanced | 🌐 Coding5s.com
**Concept:** Callback Bridging with Completers (Completer(), .complete(), .completeError(), .future)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Callback Bridging with Completers using Completer(), .complete(), .completeError() and .future.. Goal: Callback Bridging with Completers (Completer(), .complete(), .completeError(), .future)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Dart Concurrency &amp; Asynchrony | 📊 Level: Advanced
**Topic:** Implement Callback Bridging with Completers using Completer(), .complete(), .completeError() and .future.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8" s="52">
        <v>0</v>
      </c>
      <c r="Z18" s="56" t="str">
        <f t="shared" si="12"/>
        <v/>
      </c>
      <c r="AA18" s="56" t="str">
        <f t="shared" si="13"/>
        <v/>
      </c>
      <c r="AB18" s="56" t="str">
        <f t="shared" si="14"/>
        <v/>
      </c>
      <c r="AC18" s="56" t="str">
        <f t="shared" si="15"/>
        <v/>
      </c>
      <c r="AD18" s="56" t="str">
        <f t="shared" si="16"/>
        <v/>
      </c>
      <c r="AE18" s="40" t="s">
        <v>98</v>
      </c>
      <c r="AF18" s="40" t="s">
        <v>99</v>
      </c>
      <c r="AG18" s="40" t="s">
        <v>100</v>
      </c>
      <c r="AH18" s="56" t="str">
        <f t="shared" si="0"/>
        <v/>
      </c>
      <c r="AI18" s="54"/>
      <c r="AJ18" s="54"/>
      <c r="AK18" s="54">
        <v>10</v>
      </c>
      <c r="AL18" s="54" t="s">
        <v>101</v>
      </c>
      <c r="AM18" s="54" t="s">
        <v>102</v>
      </c>
    </row>
    <row r="19" spans="1:39">
      <c r="A19" s="45" t="str" cm="1">
        <f t="array" ref="A19">IF(H19="PROJECT", CHAR(10) &amp; "- " &amp; _xlfn.TEXTJOIN(CHAR(10) &amp; "- ", TRUE, _xlfn._xlws.FILTER($I$9:$I$1000, ($B$9:$B$1000=B19) * ($H$9:$H$1000="Topic"))), "")</f>
        <v/>
      </c>
      <c r="B19" s="45">
        <f t="shared" si="1"/>
        <v>2</v>
      </c>
      <c r="C19" s="95">
        <v>18</v>
      </c>
      <c r="D19" s="46">
        <v>4</v>
      </c>
      <c r="E19" s="58" t="s">
        <v>46</v>
      </c>
      <c r="F19" s="48">
        <v>11</v>
      </c>
      <c r="G19" s="49" t="s">
        <v>159</v>
      </c>
      <c r="H19" s="49" t="s">
        <v>48</v>
      </c>
      <c r="I19" s="50" t="s">
        <v>791</v>
      </c>
      <c r="J19" s="51" t="s">
        <v>792</v>
      </c>
      <c r="K19" s="129" t="str">
        <f t="shared" si="2"/>
        <v xml:space="preserve">[ROLE] Friendly tutor specializing in Dart Concurrency &amp; Asynchrony | [TOPIC] Implement Timer Operations using Timer(), Timer.periodic(), .cancel() and .isActive.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Dart Concurrency &amp; Asynchrony | 📊 Level: Advanced | 🌐 Coding5s.com
**Concept:** Timer Operations (Timer(), Timer.periodic(), .cancel(), .isActive)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9" s="103" t="str">
        <f t="shared" si="3"/>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Timer Operations using Timer(), Timer.periodic(), .cancel() and .isActive.. Topic details: Timer Operations (Timer(), Timer.periodic(), .cancel(), .isActive)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Dart Concurrency &amp; Asynchrony | 📊 Level: Advanced
**Topic:** Implement Timer Operations using Timer(), Timer.periodic(), .cancel() and .isActive.
---
 | [FOOTER RULE - STRICT] End your response with: '--- ⚡ *Coding5s Mentor System — Eliminating Epistemic Debt*' | </v>
      </c>
      <c r="M19" s="53">
        <v>0</v>
      </c>
      <c r="N19" s="102" t="str">
        <f t="shared" si="4"/>
        <v>[ROLE] Careless Dart Concurrency &amp; Asynchrony Developer | [TASK] Generate debugging challenges in Dart Concurrency &amp; Asynchrony | | [TOPIC] Implement Timer Operations using Timer(), Timer.periodic(), .cancel() and .isActive.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#11 | Stage 2 🐛 Debug | Dart Concurrency &amp; Asynchrony | 📊 Level: Advanced | 🌐 Coding5s.com
Concept: Timer Operations (Timer(), Timer.periodic(), .cancel(), .isActive)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9" s="103" t="str">
        <f t="shared" si="5"/>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Timer Operations using Timer(), Timer.periodic(), .cancel() and .isActive.. Topic details: Timer Operations (Timer(), Timer.periodic(), .cancel(), .isActive)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Dart Concurrency &amp; Asynchrony | 📊 Level: Advanced
**Topic:** Implement Timer Operations using Timer(), Timer.periodic(), .cancel() and .isActive.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9" s="53">
        <v>0</v>
      </c>
      <c r="Q19" s="102" t="str">
        <f t="shared" si="6"/>
        <v>[ROLE] Tech Lead | [TASK] Assign incomplete Dart Concurrency &amp; Asynchrony script challenges | [TOPIC] Implement Timer Operations using Timer(), Timer.periodic(), .cancel() and .isActive.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#11 | Stage 3 🧩 Complete | Dart Concurrency &amp; Asynchrony | 📊 Level: Advanced | 🌐 Coding5s.com
**Concept:** Timer Operations (Timer(), Timer.periodic(), .cancel(), .isActive)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Timer Operations using Timer(), Timer.periodic(), .cancel() and .isActive..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9" s="103" t="str">
        <f t="shared" si="7"/>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Timer Operations using Timer(), Timer.periodic(), .cancel() and .isActive.. Topic details: Timer Operations (Timer(), Timer.periodic(), .cancel(), .isActive)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Dart Concurrency &amp; Asynchrony | 📊 Level: Advanced
**Topic:** Implement Timer Operations using Timer(), Timer.periodic(), .cancel() and .isActive.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9" s="53">
        <v>0</v>
      </c>
      <c r="T19" s="102" t="str">
        <f t="shared" si="8"/>
        <v>[ROLE] Tech Lead | [TASK] Provide intentionally messy but functional code for learning debugging and improvement | [TOPIC] Implement Timer Operations using Timer(), Timer.periodic(), .cancel() and .isActive.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Dart Concurrency &amp; Asynchrony | 📊 Level: Advanced | 🌐 Coding5s.com
**Concept:** Timer Operations (Timer(), Timer.periodic(), .cancel(), .isActive)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Timer Operations using Timer(), Timer.periodic(), .cancel() and .isActive.. Topic details: Timer Operations (Timer(), Timer.periodic(), .cancel(), .isActive)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Dart Concurrency &amp; Asynchrony | 📊 Level: Advanced
**Topic:** Implement Timer Operations using Timer(), Timer.periodic(), .cancel() and .isActive.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9" s="53">
        <v>0</v>
      </c>
      <c r="W19" s="87" t="str">
        <f t="shared" si="10"/>
        <v>[ROLE] Tech Product Manager assigning a Dart Concurrency &amp; Asynchrony Jira Ticket | [TASK] Provide a guided implementation exercise with full solution for learning purposes | [TOPIC] Implement Timer Operations using Timer(), Timer.periodic(), .cancel() and .isActive.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Dart Concurrency &amp; Asynchrony | 📊 Level: Advanced | 🌐 Coding5s.com
**Concept:** Timer Operations (Timer(), Timer.periodic(), .cancel(), .isActive)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Timer Operations using Timer(), Timer.periodic(), .cancel() and .isActive.. Goal: Timer Operations (Timer(), Timer.periodic(), .cancel(), .isActive)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Dart Concurrency &amp; Asynchrony | 📊 Level: Advanced
**Topic:** Implement Timer Operations using Timer(), Timer.periodic(), .cancel() and .isActive.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9" s="53">
        <v>0</v>
      </c>
      <c r="Z19" s="56" t="str">
        <f t="shared" si="12"/>
        <v/>
      </c>
      <c r="AA19" s="56" t="str">
        <f t="shared" si="13"/>
        <v/>
      </c>
      <c r="AB19" s="56" t="str">
        <f t="shared" si="14"/>
        <v/>
      </c>
      <c r="AC19" s="56" t="str">
        <f t="shared" si="15"/>
        <v/>
      </c>
      <c r="AD19" s="56" t="str">
        <f t="shared" si="16"/>
        <v/>
      </c>
      <c r="AE19" s="40" t="s">
        <v>103</v>
      </c>
      <c r="AF19" s="40" t="s">
        <v>104</v>
      </c>
      <c r="AG19" s="40" t="s">
        <v>105</v>
      </c>
      <c r="AH19" s="56" t="str">
        <f t="shared" si="0"/>
        <v/>
      </c>
      <c r="AI19" s="54"/>
      <c r="AJ19" s="54"/>
      <c r="AK19" s="54">
        <v>11</v>
      </c>
      <c r="AL19" s="54" t="s">
        <v>106</v>
      </c>
      <c r="AM19" s="54" t="s">
        <v>107</v>
      </c>
    </row>
    <row r="20" spans="1:39">
      <c r="A20" s="45" t="str" cm="1">
        <f t="array" ref="A20">IF(H20="PROJECT", CHAR(10) &amp; "- " &amp; _xlfn.TEXTJOIN(CHAR(10) &amp; "- ", TRUE, _xlfn._xlws.FILTER($I$9:$I$1000, ($B$9:$B$1000=B20) * ($H$9:$H$1000="Topic"))), "")</f>
        <v/>
      </c>
      <c r="B20" s="45">
        <f t="shared" si="1"/>
        <v>2</v>
      </c>
      <c r="C20" s="95">
        <v>20</v>
      </c>
      <c r="D20" s="57">
        <v>4</v>
      </c>
      <c r="E20" s="58" t="s">
        <v>46</v>
      </c>
      <c r="F20" s="59">
        <v>12</v>
      </c>
      <c r="G20" s="60" t="s">
        <v>159</v>
      </c>
      <c r="H20" s="60" t="s">
        <v>48</v>
      </c>
      <c r="I20" s="61" t="s">
        <v>793</v>
      </c>
      <c r="J20" s="62" t="s">
        <v>794</v>
      </c>
      <c r="K20" s="129" t="str">
        <f t="shared" si="2"/>
        <v xml:space="preserve">[ROLE] Friendly tutor specializing in Dart Concurrency &amp; Asynchrony | [TOPIC] Implement Stream Listening using Stream.listen(), onData, onError and onDone.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Dart Concurrency &amp; Asynchrony | 📊 Level: Advanced | 🌐 Coding5s.com
**Concept:** Stream Listening (Stream.listen(), onData, onError, onDone)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0" s="103" t="str">
        <f t="shared" si="3"/>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Stream Listening using Stream.listen(), onData, onError and onDone.. Topic details: Stream Listening (Stream.listen(), onData, onError, onDone)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Dart Concurrency &amp; Asynchrony | 📊 Level: Advanced
**Topic:** Implement Stream Listening using Stream.listen(), onData, onError and onDone.
---
 | [FOOTER RULE - STRICT] End your response with: '--- ⚡ *Coding5s Mentor System — Eliminating Epistemic Debt*' | </v>
      </c>
      <c r="M20" s="52">
        <v>0</v>
      </c>
      <c r="N20" s="102" t="str">
        <f t="shared" si="4"/>
        <v>[ROLE] Careless Dart Concurrency &amp; Asynchrony Developer | [TASK] Generate debugging challenges in Dart Concurrency &amp; Asynchrony | | [TOPIC] Implement Stream Listening using Stream.listen(), onData, onError and onDone.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#12 | Stage 2 🐛 Debug | Dart Concurrency &amp; Asynchrony | 📊 Level: Advanced | 🌐 Coding5s.com
Concept: Stream Listening (Stream.listen(), onData, onError, onDone)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0" s="103" t="str">
        <f t="shared" si="5"/>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Stream Listening using Stream.listen(), onData, onError and onDone.. Topic details: Stream Listening (Stream.listen(), onData, onError, onDone)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Dart Concurrency &amp; Asynchrony | 📊 Level: Advanced
**Topic:** Implement Stream Listening using Stream.listen(), onData, onError and onDone.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0" s="52">
        <v>0</v>
      </c>
      <c r="Q20" s="102" t="str">
        <f t="shared" si="6"/>
        <v>[ROLE] Tech Lead | [TASK] Assign incomplete Dart Concurrency &amp; Asynchrony script challenges | [TOPIC] Implement Stream Listening using Stream.listen(), onData, onError and onDone.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#12 | Stage 3 🧩 Complete | Dart Concurrency &amp; Asynchrony | 📊 Level: Advanced | 🌐 Coding5s.com
**Concept:** Stream Listening (Stream.listen(), onData, onError, onDone)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Stream Listening using Stream.listen(), onData, onError and onDone..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0" s="103" t="str">
        <f t="shared" si="7"/>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Stream Listening using Stream.listen(), onData, onError and onDone.. Topic details: Stream Listening (Stream.listen(), onData, onError, onDone)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Dart Concurrency &amp; Asynchrony | 📊 Level: Advanced
**Topic:** Implement Stream Listening using Stream.listen(), onData, onError and onDone.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0" s="52">
        <v>0</v>
      </c>
      <c r="T20" s="102" t="str">
        <f t="shared" si="8"/>
        <v>[ROLE] Tech Lead | [TASK] Provide intentionally messy but functional code for learning debugging and improvement | [TOPIC] Implement Stream Listening using Stream.listen(), onData, onError and onDone.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#12 | Stage 4 🧹 Refactor | Dart Concurrency &amp; Asynchrony | 📊 Level: Advanced | 🌐 Coding5s.com
**Concept:** Stream Listening (Stream.listen(), onData, onError, onDone)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Stream Listening using Stream.listen(), onData, onError and onDone.. Topic details: Stream Listening (Stream.listen(), onData, onError, onDone)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Dart Concurrency &amp; Asynchrony | 📊 Level: Advanced
**Topic:** Implement Stream Listening using Stream.listen(), onData, onError and onDone.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0" s="52">
        <v>0</v>
      </c>
      <c r="W20" s="87" t="str">
        <f t="shared" si="10"/>
        <v>[ROLE] Tech Product Manager assigning a Dart Concurrency &amp; Asynchrony Jira Ticket | [TASK] Provide a guided implementation exercise with full solution for learning purposes | [TOPIC] Implement Stream Listening using Stream.listen(), onData, onError and onDone.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#12 | Stage 5 | Dart Concurrency &amp; Asynchrony | 📊 Level: Advanced | 🌐 Coding5s.com
**Concept:** Stream Listening (Stream.listen(), onData, onError, onDone)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Stream Listening using Stream.listen(), onData, onError and onDone.. Goal: Stream Listening (Stream.listen(), onData, onError, onDone)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Dart Concurrency &amp; Asynchrony | 📊 Level: Advanced
**Topic:** Implement Stream Listening using Stream.listen(), onData, onError and onDone.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0" s="52">
        <v>0</v>
      </c>
      <c r="Z20" s="56" t="str">
        <f t="shared" si="12"/>
        <v/>
      </c>
      <c r="AA20" s="56" t="str">
        <f t="shared" si="13"/>
        <v/>
      </c>
      <c r="AB20" s="56" t="str">
        <f t="shared" si="14"/>
        <v/>
      </c>
      <c r="AC20" s="56" t="str">
        <f t="shared" si="15"/>
        <v/>
      </c>
      <c r="AD20" s="56" t="str">
        <f t="shared" si="16"/>
        <v/>
      </c>
      <c r="AE20" s="40" t="s">
        <v>108</v>
      </c>
      <c r="AF20" s="40" t="s">
        <v>109</v>
      </c>
      <c r="AG20" s="40" t="s">
        <v>110</v>
      </c>
      <c r="AH20" s="56" t="str">
        <f t="shared" si="0"/>
        <v/>
      </c>
      <c r="AI20" s="54"/>
      <c r="AJ20" s="54"/>
      <c r="AK20" s="54">
        <v>12</v>
      </c>
      <c r="AL20" s="54" t="s">
        <v>111</v>
      </c>
      <c r="AM20" s="54" t="s">
        <v>112</v>
      </c>
    </row>
    <row r="21" spans="1:39">
      <c r="A21" s="45" t="str" cm="1">
        <f t="array" ref="A21">IF(H21="PROJECT", CHAR(10) &amp; "- " &amp; _xlfn.TEXTJOIN(CHAR(10) &amp; "- ", TRUE, _xlfn._xlws.FILTER($I$9:$I$1000, ($B$9:$B$1000=B21) * ($H$9:$H$1000="Topic"))), "")</f>
        <v/>
      </c>
      <c r="B21" s="45">
        <f t="shared" si="1"/>
        <v>2</v>
      </c>
      <c r="C21" s="95">
        <v>20</v>
      </c>
      <c r="D21" s="46">
        <v>4</v>
      </c>
      <c r="E21" s="58" t="s">
        <v>46</v>
      </c>
      <c r="F21" s="48">
        <v>13</v>
      </c>
      <c r="G21" s="49" t="s">
        <v>159</v>
      </c>
      <c r="H21" s="49" t="s">
        <v>48</v>
      </c>
      <c r="I21" s="50" t="s">
        <v>795</v>
      </c>
      <c r="J21" s="51" t="s">
        <v>796</v>
      </c>
      <c r="K21" s="129" t="str">
        <f t="shared" si="2"/>
        <v xml:space="preserve">[ROLE] Friendly tutor specializing in Dart Concurrency &amp; Asynchrony | [TOPIC] Implement Stream Consumption using await for and asynchronous loops.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Dart Concurrency &amp; Asynchrony | 📊 Level: Advanced | 🌐 Coding5s.com
**Concept:** Stream Consumption (await for, asynchronous loops)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1" s="103" t="str">
        <f t="shared" si="3"/>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Stream Consumption using await for and asynchronous loops.. Topic details: Stream Consumption (await for, asynchronous loops)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Dart Concurrency &amp; Asynchrony | 📊 Level: Advanced
**Topic:** Implement Stream Consumption using await for and asynchronous loops.
---
 | [FOOTER RULE - STRICT] End your response with: '--- ⚡ *Coding5s Mentor System — Eliminating Epistemic Debt*' | </v>
      </c>
      <c r="M21" s="53">
        <v>0</v>
      </c>
      <c r="N21" s="102" t="str">
        <f t="shared" si="4"/>
        <v>[ROLE] Careless Dart Concurrency &amp; Asynchrony Developer | [TASK] Generate debugging challenges in Dart Concurrency &amp; Asynchrony | | [TOPIC] Implement Stream Consumption using await for and asynchronous loops.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#13 | Stage 2 🐛 Debug | Dart Concurrency &amp; Asynchrony | 📊 Level: Advanced | 🌐 Coding5s.com
Concept: Stream Consumption (await for, asynchronous loops)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1" s="103" t="str">
        <f t="shared" si="5"/>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Stream Consumption using await for and asynchronous loops.. Topic details: Stream Consumption (await for, asynchronous loops)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Dart Concurrency &amp; Asynchrony | 📊 Level: Advanced
**Topic:** Implement Stream Consumption using await for and asynchronous loops.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1" s="53">
        <v>0</v>
      </c>
      <c r="Q21" s="102" t="str">
        <f t="shared" si="6"/>
        <v>[ROLE] Tech Lead | [TASK] Assign incomplete Dart Concurrency &amp; Asynchrony script challenges | [TOPIC] Implement Stream Consumption using await for and asynchronous loops.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#13 | Stage 3 🧩 Complete | Dart Concurrency &amp; Asynchrony | 📊 Level: Advanced | 🌐 Coding5s.com
**Concept:** Stream Consumption (await for, asynchronous loops)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Stream Consumption using await for and asynchronous loops..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1" s="103" t="str">
        <f t="shared" si="7"/>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Stream Consumption using await for and asynchronous loops.. Topic details: Stream Consumption (await for, asynchronous loops)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Dart Concurrency &amp; Asynchrony | 📊 Level: Advanced
**Topic:** Implement Stream Consumption using await for and asynchronous loops.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1" s="53">
        <v>0</v>
      </c>
      <c r="T21" s="102" t="str">
        <f t="shared" si="8"/>
        <v>[ROLE] Tech Lead | [TASK] Provide intentionally messy but functional code for learning debugging and improvement | [TOPIC] Implement Stream Consumption using await for and asynchronous loops.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Dart Concurrency &amp; Asynchrony | 📊 Level: Advanced | 🌐 Coding5s.com
**Concept:** Stream Consumption (await for, asynchronous loops)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Stream Consumption using await for and asynchronous loops.. Topic details: Stream Consumption (await for, asynchronous loops)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Dart Concurrency &amp; Asynchrony | 📊 Level: Advanced
**Topic:** Implement Stream Consumption using await for and asynchronous loops.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1" s="53">
        <v>0</v>
      </c>
      <c r="W21" s="87" t="str">
        <f t="shared" si="10"/>
        <v>[ROLE] Tech Product Manager assigning a Dart Concurrency &amp; Asynchrony Jira Ticket | [TASK] Provide a guided implementation exercise with full solution for learning purposes | [TOPIC] Implement Stream Consumption using await for and asynchronous loops.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Dart Concurrency &amp; Asynchrony | 📊 Level: Advanced | 🌐 Coding5s.com
**Concept:** Stream Consumption (await for, asynchronous loops)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Stream Consumption using await for and asynchronous loops.. Goal: Stream Consumption (await for, asynchronous loops)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Dart Concurrency &amp; Asynchrony | 📊 Level: Advanced
**Topic:** Implement Stream Consumption using await for and asynchronous loops.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1" s="53">
        <v>0</v>
      </c>
      <c r="Z21" s="56" t="str">
        <f t="shared" si="12"/>
        <v/>
      </c>
      <c r="AA21" s="56" t="str">
        <f t="shared" si="13"/>
        <v/>
      </c>
      <c r="AB21" s="56" t="str">
        <f t="shared" si="14"/>
        <v/>
      </c>
      <c r="AC21" s="56" t="str">
        <f t="shared" si="15"/>
        <v/>
      </c>
      <c r="AD21" s="56" t="str">
        <f t="shared" si="16"/>
        <v/>
      </c>
      <c r="AE21" s="40" t="s">
        <v>113</v>
      </c>
      <c r="AF21" s="40" t="s">
        <v>114</v>
      </c>
      <c r="AG21" s="40" t="s">
        <v>115</v>
      </c>
      <c r="AH21" s="56" t="str">
        <f t="shared" si="0"/>
        <v/>
      </c>
      <c r="AI21" s="54"/>
      <c r="AJ21" s="54"/>
      <c r="AK21" s="54">
        <v>13</v>
      </c>
      <c r="AL21" s="54" t="s">
        <v>116</v>
      </c>
      <c r="AM21" s="54" t="s">
        <v>117</v>
      </c>
    </row>
    <row r="22" spans="1:39">
      <c r="A22" s="45" t="str" cm="1">
        <f t="array" ref="A22">IF(H22="PROJECT", CHAR(10) &amp; "- " &amp; _xlfn.TEXTJOIN(CHAR(10) &amp; "- ", TRUE, _xlfn._xlws.FILTER($I$9:$I$1000, ($B$9:$B$1000=B22) * ($H$9:$H$1000="Topic"))), "")</f>
        <v/>
      </c>
      <c r="B22" s="45">
        <f t="shared" si="1"/>
        <v>2</v>
      </c>
      <c r="C22" s="95">
        <v>18</v>
      </c>
      <c r="D22" s="57">
        <v>4</v>
      </c>
      <c r="E22" s="58" t="s">
        <v>46</v>
      </c>
      <c r="F22" s="59">
        <v>14</v>
      </c>
      <c r="G22" s="60" t="s">
        <v>159</v>
      </c>
      <c r="H22" s="60" t="s">
        <v>48</v>
      </c>
      <c r="I22" s="61" t="s">
        <v>797</v>
      </c>
      <c r="J22" s="62" t="s">
        <v>798</v>
      </c>
      <c r="K22" s="129" t="str">
        <f t="shared" si="2"/>
        <v xml:space="preserve">[ROLE] Friendly tutor specializing in Dart Concurrency &amp; Asynchrony | [TOPIC] Implement StreamSubscription Control using .pause(), .resume(), .cancel() and .isPaused.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Dart Concurrency &amp; Asynchrony | 📊 Level: Advanced | 🌐 Coding5s.com
**Concept:** StreamSubscription Control (.pause(), .resume(), .cancel(), .isPaused)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2" s="103" t="str">
        <f t="shared" si="3"/>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StreamSubscription Control using .pause(), .resume(), .cancel() and .isPaused.. Topic details: StreamSubscription Control (.pause(), .resume(), .cancel(), .isPaused)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Dart Concurrency &amp; Asynchrony | 📊 Level: Advanced
**Topic:** Implement StreamSubscription Control using .pause(), .resume(), .cancel() and .isPaused.
---
 | [FOOTER RULE - STRICT] End your response with: '--- ⚡ *Coding5s Mentor System — Eliminating Epistemic Debt*' | </v>
      </c>
      <c r="M22" s="52">
        <v>0</v>
      </c>
      <c r="N22" s="102" t="str">
        <f t="shared" si="4"/>
        <v>[ROLE] Careless Dart Concurrency &amp; Asynchrony Developer | [TASK] Generate debugging challenges in Dart Concurrency &amp; Asynchrony | | [TOPIC] Implement StreamSubscription Control using .pause(), .resume(), .cancel() and .isPaused.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#14 | Stage 2 🐛 Debug | Dart Concurrency &amp; Asynchrony | 📊 Level: Advanced | 🌐 Coding5s.com
Concept: StreamSubscription Control (.pause(), .resume(), .cancel(), .isPaused)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2" s="103" t="str">
        <f t="shared" si="5"/>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StreamSubscription Control using .pause(), .resume(), .cancel() and .isPaused.. Topic details: StreamSubscription Control (.pause(), .resume(), .cancel(), .isPaused)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Dart Concurrency &amp; Asynchrony | 📊 Level: Advanced
**Topic:** Implement StreamSubscription Control using .pause(), .resume(), .cancel() and .isPaused.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2" s="52">
        <v>0</v>
      </c>
      <c r="Q22" s="102" t="str">
        <f t="shared" si="6"/>
        <v>[ROLE] Tech Lead | [TASK] Assign incomplete Dart Concurrency &amp; Asynchrony script challenges | [TOPIC] Implement StreamSubscription Control using .pause(), .resume(), .cancel() and .isPaused.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#14 | Stage 3 🧩 Complete | Dart Concurrency &amp; Asynchrony | 📊 Level: Advanced | 🌐 Coding5s.com
**Concept:** StreamSubscription Control (.pause(), .resume(), .cancel(), .isPaused)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StreamSubscription Control using .pause(), .resume(), .cancel() and .isPaused..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2" s="103" t="str">
        <f t="shared" si="7"/>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StreamSubscription Control using .pause(), .resume(), .cancel() and .isPaused.. Topic details: StreamSubscription Control (.pause(), .resume(), .cancel(), .isPaused)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Dart Concurrency &amp; Asynchrony | 📊 Level: Advanced
**Topic:** Implement StreamSubscription Control using .pause(), .resume(), .cancel() and .isPaused.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2" s="52">
        <v>0</v>
      </c>
      <c r="T22" s="102" t="str">
        <f t="shared" si="8"/>
        <v>[ROLE] Tech Lead | [TASK] Provide intentionally messy but functional code for learning debugging and improvement | [TOPIC] Implement StreamSubscription Control using .pause(), .resume(), .cancel() and .isPaused.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Dart Concurrency &amp; Asynchrony | 📊 Level: Advanced | 🌐 Coding5s.com
**Concept:** StreamSubscription Control (.pause(), .resume(), .cancel(), .isPaused)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StreamSubscription Control using .pause(), .resume(), .cancel() and .isPaused.. Topic details: StreamSubscription Control (.pause(), .resume(), .cancel(), .isPaused)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Dart Concurrency &amp; Asynchrony | 📊 Level: Advanced
**Topic:** Implement StreamSubscription Control using .pause(), .resume(), .cancel() and .isPaused.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2" s="52">
        <v>0</v>
      </c>
      <c r="W22" s="87" t="str">
        <f t="shared" si="10"/>
        <v>[ROLE] Tech Product Manager assigning a Dart Concurrency &amp; Asynchrony Jira Ticket | [TASK] Provide a guided implementation exercise with full solution for learning purposes | [TOPIC] Implement StreamSubscription Control using .pause(), .resume(), .cancel() and .isPaused.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Dart Concurrency &amp; Asynchrony | 📊 Level: Advanced | 🌐 Coding5s.com
**Concept:** StreamSubscription Control (.pause(), .resume(), .cancel(), .isPaused)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StreamSubscription Control using .pause(), .resume(), .cancel() and .isPaused.. Goal: StreamSubscription Control (.pause(), .resume(), .cancel(), .isPaused)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Dart Concurrency &amp; Asynchrony | 📊 Level: Advanced
**Topic:** Implement StreamSubscription Control using .pause(), .resume(), .cancel() and .isPaused.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2" s="52">
        <v>0</v>
      </c>
      <c r="Z22" s="56" t="str">
        <f t="shared" si="12"/>
        <v/>
      </c>
      <c r="AA22" s="56" t="str">
        <f t="shared" si="13"/>
        <v/>
      </c>
      <c r="AB22" s="56" t="str">
        <f t="shared" si="14"/>
        <v/>
      </c>
      <c r="AC22" s="56" t="str">
        <f t="shared" si="15"/>
        <v/>
      </c>
      <c r="AD22" s="56" t="str">
        <f t="shared" si="16"/>
        <v/>
      </c>
      <c r="AE22" s="40" t="s">
        <v>118</v>
      </c>
      <c r="AF22" s="40" t="s">
        <v>119</v>
      </c>
      <c r="AG22" s="40" t="s">
        <v>120</v>
      </c>
      <c r="AH22" s="56" t="str">
        <f t="shared" si="0"/>
        <v/>
      </c>
      <c r="AI22" s="54"/>
      <c r="AJ22" s="54"/>
      <c r="AK22" s="54">
        <v>14</v>
      </c>
      <c r="AL22" s="54" t="s">
        <v>121</v>
      </c>
      <c r="AM22" s="54" t="s">
        <v>122</v>
      </c>
    </row>
    <row r="23" spans="1:39">
      <c r="A23" s="45" t="str" cm="1">
        <f t="array" ref="A23">IF(H23="PROJECT", CHAR(10) &amp; "- " &amp; _xlfn.TEXTJOIN(CHAR(10) &amp; "- ", TRUE, _xlfn._xlws.FILTER($I$9:$I$1000, ($B$9:$B$1000=B23) * ($H$9:$H$1000="Topic"))), "")</f>
        <v/>
      </c>
      <c r="B23" s="45">
        <f t="shared" si="1"/>
        <v>2</v>
      </c>
      <c r="C23" s="95">
        <v>20</v>
      </c>
      <c r="D23" s="46">
        <v>5</v>
      </c>
      <c r="E23" s="58" t="s">
        <v>46</v>
      </c>
      <c r="F23" s="48">
        <v>15</v>
      </c>
      <c r="G23" s="49" t="s">
        <v>159</v>
      </c>
      <c r="H23" s="49" t="s">
        <v>48</v>
      </c>
      <c r="I23" s="50" t="s">
        <v>799</v>
      </c>
      <c r="J23" s="51" t="s">
        <v>800</v>
      </c>
      <c r="K23" s="129" t="str">
        <f t="shared" si="2"/>
        <v xml:space="preserve">[ROLE] Friendly tutor specializing in Dart Concurrency &amp; Asynchrony | [TOPIC] Implement Asynchronous Generators using async*, yield and yield*. | [LEVEL] Advanced | [COUNT] 5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Dart Concurrency &amp; Asynchrony | 📊 Level: Advanced | 🌐 Coding5s.com
**Concept:** Asynchronous Generators (async*, yield, yield*)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3" s="103" t="str">
        <f t="shared" si="3"/>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Asynchronous Generators using async*, yield and yield*.. Topic details: Asynchronous Generators (async*, yield, yield*)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Dart Concurrency &amp; Asynchrony | 📊 Level: Advanced
**Topic:** Implement Asynchronous Generators using async*, yield and yield*.
---
 | [FOOTER RULE - STRICT] End your response with: '--- ⚡ *Coding5s Mentor System — Eliminating Epistemic Debt*' | </v>
      </c>
      <c r="M23" s="53">
        <v>0</v>
      </c>
      <c r="N23" s="102" t="str">
        <f t="shared" si="4"/>
        <v>[ROLE] Careless Dart Concurrency &amp; Asynchrony Developer | [TASK] Generate debugging challenges in Dart Concurrency &amp; Asynchrony | | [TOPIC] Implement Asynchronous Generators using async*, yield and yield*. | | [LEVEL] Advanced | | [COUNT] 5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#15 | Stage 2 🐛 Debug | Dart Concurrency &amp; Asynchrony | 📊 Level: Advanced | 🌐 Coding5s.com
Concept: Asynchronous Generators (async*, yield, yield*)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3" s="103" t="str">
        <f t="shared" si="5"/>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Asynchronous Generators using async*, yield and yield*.. Topic details: Asynchronous Generators (async*, yield, yield*)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Dart Concurrency &amp; Asynchrony | 📊 Level: Advanced
**Topic:** Implement Asynchronous Generators using async*, yield and yield*.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3" s="53">
        <v>0</v>
      </c>
      <c r="Q23" s="102" t="str">
        <f t="shared" si="6"/>
        <v>[ROLE] Tech Lead | [TASK] Assign incomplete Dart Concurrency &amp; Asynchrony script challenges | [TOPIC] Implement Asynchronous Generators using async*, yield and yield*. | [LEVEL] Advanced | [COUNT] 5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#15 | Stage 3 🧩 Complete | Dart Concurrency &amp; Asynchrony | 📊 Level: Advanced | 🌐 Coding5s.com
**Concept:** Asynchronous Generators (async*, yield, yield*)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Asynchronous Generators using async*, yield and yield*..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3" s="103" t="str">
        <f t="shared" si="7"/>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Asynchronous Generators using async*, yield and yield*.. Topic details: Asynchronous Generators (async*, yield, yield*)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Dart Concurrency &amp; Asynchrony | 📊 Level: Advanced
**Topic:** Implement Asynchronous Generators using async*, yield and yield*.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3" s="53">
        <v>0</v>
      </c>
      <c r="T23" s="102" t="str">
        <f t="shared" si="8"/>
        <v>[ROLE] Tech Lead | [TASK] Provide intentionally messy but functional code for learning debugging and improvement | [TOPIC] Implement Asynchronous Generators using async*, yield and yield*. | [LEVEL] Advanced | [COUNT] 5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Dart Concurrency &amp; Asynchrony | 📊 Level: Advanced | 🌐 Coding5s.com
**Concept:** Asynchronous Generators (async*, yield, yield*)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Asynchronous Generators using async*, yield and yield*.. Topic details: Asynchronous Generators (async*, yield, yield*)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Dart Concurrency &amp; Asynchrony | 📊 Level: Advanced
**Topic:** Implement Asynchronous Generators using async*, yield and yield*.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3" s="53">
        <v>0</v>
      </c>
      <c r="W23" s="87" t="str">
        <f t="shared" si="10"/>
        <v>[ROLE] Tech Product Manager assigning a Dart Concurrency &amp; Asynchrony Jira Ticket | [TASK] Provide a guided implementation exercise with full solution for learning purposes | [TOPIC] Implement Asynchronous Generators using async*, yield and yield*.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Dart Concurrency &amp; Asynchrony | 📊 Level: Advanced | 🌐 Coding5s.com
**Concept:** Asynchronous Generators (async*, yield, yield*)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Asynchronous Generators using async*, yield and yield*.. Goal: Asynchronous Generators (async*, yield, yield*)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Dart Concurrency &amp; Asynchrony | 📊 Level: Advanced
**Topic:** Implement Asynchronous Generators using async*, yield and yield*.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3" s="53">
        <v>0</v>
      </c>
      <c r="Z23" s="56" t="str">
        <f t="shared" si="12"/>
        <v/>
      </c>
      <c r="AA23" s="56" t="str">
        <f t="shared" si="13"/>
        <v/>
      </c>
      <c r="AB23" s="56" t="str">
        <f t="shared" si="14"/>
        <v/>
      </c>
      <c r="AC23" s="56" t="str">
        <f t="shared" si="15"/>
        <v/>
      </c>
      <c r="AD23" s="56" t="str">
        <f t="shared" si="16"/>
        <v/>
      </c>
      <c r="AE23" s="40" t="s">
        <v>123</v>
      </c>
      <c r="AF23" s="40" t="s">
        <v>124</v>
      </c>
      <c r="AG23" s="40" t="s">
        <v>125</v>
      </c>
      <c r="AH23" s="56" t="str">
        <f t="shared" si="0"/>
        <v/>
      </c>
      <c r="AI23" s="54"/>
      <c r="AJ23" s="54"/>
      <c r="AK23" s="54">
        <v>15</v>
      </c>
      <c r="AL23" s="54" t="s">
        <v>126</v>
      </c>
      <c r="AM23" s="54" t="s">
        <v>127</v>
      </c>
    </row>
    <row r="24" spans="1:39">
      <c r="A24" s="45" t="str" cm="1">
        <f t="array" ref="A24">IF(H24="PROJECT", CHAR(10) &amp; "- " &amp; _xlfn.TEXTJOIN(CHAR(10) &amp; "- ", TRUE, _xlfn._xlws.FILTER($I$9:$I$1000, ($B$9:$B$1000=B24) * ($H$9:$H$1000="Topic"))), "")</f>
        <v xml:space="preserve">
- Implement Future Racing and Timeouts using Future.any() and .timeout().
- Implement Callback Bridging with Completers using Completer(), .complete(), .completeError() and .future.
- Implement Timer Operations using Timer(), Timer.periodic(), .cancel() and .isActive.
- Implement Stream Listening using Stream.listen(), onData, onError and onDone.
- Implement Stream Consumption using await for and asynchronous loops.
- Implement StreamSubscription Control using .pause(), .resume(), .cancel() and .isPaused.
- Implement Asynchronous Generators using async*, yield and yield*.</v>
      </c>
      <c r="B24" s="45">
        <f t="shared" si="1"/>
        <v>2</v>
      </c>
      <c r="C24" s="95">
        <v>32</v>
      </c>
      <c r="D24" s="57">
        <v>0</v>
      </c>
      <c r="E24" s="58" t="s">
        <v>46</v>
      </c>
      <c r="F24" s="59">
        <v>16</v>
      </c>
      <c r="G24" s="60" t="s">
        <v>159</v>
      </c>
      <c r="H24" s="60" t="s">
        <v>77</v>
      </c>
      <c r="I24" s="61" t="s">
        <v>801</v>
      </c>
      <c r="J24" s="62" t="s">
        <v>802</v>
      </c>
      <c r="K24" s="129" t="str">
        <f t="shared" si="2"/>
        <v>[TASK] Teach through a practical Dart Concurrency &amp; Asynchrony -  project following the micro-learning methodology, acting as a supportive tutor, creating a project about  Develop a CLI event processor consolidating Future Racing, Completers, Timers, Stream Listening, Stream Consumption, StreamSubscription Control and Asynchronous Generators. | [TOPICS USED] 
- Implement Future Racing and Timeouts using Future.any() and .timeout().
- Implement Callback Bridging with Completers using Completer(), .complete(), .completeError() and .future.
- Implement Timer Operations using Timer(), Timer.periodic(), .cancel() and .isActive.
- Implement Stream Listening using Stream.listen(), onData, onError and onDone.
- Implement Stream Consumption using await for and asynchronous loops.
- Implement StreamSubscription Control using .pause(), .resume(), .cancel() and .isPaused.
- Implement Asynchronous Generators using async*, yield and yield*.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asynchronous primitives, Futures, Streams, async/await flows, and isolate execution models utilizing top-level main(). at the top of the code block. Assume no project configuration file exists. | [CODE_CONSTRAINTS_RULE] Standard basic logic validation using native assert statements. | [VISUAL_ARCHITECTURE_COMMENTS] 1. Use visual block tags separating script sections (e.g., '// --- BLOQUE 1: [NAME] ---') to map code to the planning phase. 2. Use comprehensive doc comments using triple slashes ('///') explaining asynchronous parameters, Future return types, and exceptions. 3. CRITICAL: NO comment or docstring line may exceed 80 characters (Effective Dart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#16 | Stage 1 | Dart Concurrency &amp; Asynchrony | 📊 Level: Advanced | 🌐 Coding5s.com
**Project:** Future Racing, Timers, Streams Basics and Generators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4" s="103" t="str">
        <f t="shared" si="3"/>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CLI event processor consolidating Future Racing, Completers, Timers, Stream Listening, Stream Consumption, StreamSubscription Control and Asynchronous Generators.. Topics applied in this project: 
- Implement Future Racing and Timeouts using Future.any() and .timeout().
- Implement Callback Bridging with Completers using Completer(), .complete(), .completeError() and .future.
- Implement Timer Operations using Timer(), Timer.periodic(), .cancel() and .isActive.
- Implement Stream Listening using Stream.listen(), onData, onError and onDone.
- Implement Stream Consumption using await for and asynchronous loops.
- Implement StreamSubscription Control using .pause(), .resume(), .cancel() and .isPaused.
- Implement Asynchronous Generators using async*, yield and yield*.. Project objective: Future Racing, Timers, Streams Basics and Generators Project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#16 | Practice | Dart Concurrency &amp; Asynchrony | 📊 Level: Advanced
**Project:** Develop a CLI event processor consolidating Future Racing, Completers, Timers, Stream Listening, Stream Consumption, StreamSubscription Control and Asynchronous Generators.
---
 | [FOOTER RULE - STRICT] End your response with: '--- ⚡ *Coding5s Mentor System — Eliminating Epistemic Debt*' | </v>
      </c>
      <c r="M24" s="52">
        <v>0</v>
      </c>
      <c r="N24" s="102" t="str">
        <f t="shared" si="4"/>
        <v>[ROLE] Careless Dart Concurrency &amp; Asynchrony Developer | [TASK] Generate debugging project in Dart Concurrency &amp; Asynchrony | [PROJECT] Develop a CLI event processor consolidating Future Racing, Completers, Timers, Stream Listening, Stream Consumption, StreamSubscription Control and Asynchronous Generators. | [TOPICS USED] 
- Implement Future Racing and Timeouts using Future.any() and .timeout().
- Implement Callback Bridging with Completers using Completer(), .complete(), .completeError() and .future.
- Implement Timer Operations using Timer(), Timer.periodic(), .cancel() and .isActive.
- Implement Stream Listening using Stream.listen(), onData, onError and onDone.
- Implement Stream Consumption using await for and asynchronous loops.
- Implement StreamSubscription Control using .pause(), .resume(), .cancel() and .isPaused.
- Implement Asynchronous Generators using async*, yield and yield*. | [LEVEL] Advanced | [OUTPUT] Only header, dataset summary or statement (if any), email intro, objective, expected output, broken code, and footer | [HEADER RULE - STRICT] You MUST start your entire response EXACTLY with this markdown block (do not print anything before it):
### 🚀 Project #16 | Stage 2 | Dart Concurrency &amp; Asynchrony | 📊 Level: Advanced | 🌐 Coding5s.com
Project: Future Racing, Timers, Streams Basics and Generators Project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Telugu | [LANGUAGE SEED CONTEXT] Language Seed Not Necessary | [BUG RULE] Simulate a messy Dart concurrency script. The project MUST contain EXACTLY 2-5 bugs mixing unawaited futures, missing async/await keywords, concurrency logic errors, and runtime exceptions. 1. Syntax &amp; Type Errors (e.g., missing semicolons/brackets, returning raw values instead of Futures, unhandled null safety exceptions in streams), 2. Logic Errors (e.g., unawaited async calls causing race conditions, incorrect stream subscription logic, deadlock states), AND 3. Runtime Exceptions (e.g., TimeoutException, StateError on closed controllers, IsolateSpawnException, FormatException).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Concurrency &amp; Asynchrony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4" s="103" t="str">
        <f t="shared" si="5"/>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CLI event processor consolidating Future Racing, Completers, Timers, Stream Listening, Stream Consumption, StreamSubscription Control and Asynchronous Generators.. Topics involved: 
- Implement Future Racing and Timeouts using Future.any() and .timeout().
- Implement Callback Bridging with Completers using Completer(), .complete(), .completeError() and .future.
- Implement Timer Operations using Timer(), Timer.periodic(), .cancel() and .isActive.
- Implement Stream Listening using Stream.listen(), onData, onError and onDone.
- Implement Stream Consumption using await for and asynchronous loops.
- Implement StreamSubscription Control using .pause(), .resume(), .cancel() and .isPaused.
- Implement Asynchronous Generators using async*, yield and yield*.. Project objective: Future Racing, Timers, Streams Basics and Generators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#16 | Debug | Dart Concurrency &amp; Asynchrony | 📊 Level: Advanced
**Project:** Develop a CLI event processor consolidating Future Racing, Completers, Timers, Stream Listening, Stream Consumption, StreamSubscription Control and Asynchronous Generators.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4" s="52">
        <v>0</v>
      </c>
      <c r="Q24" s="102" t="str">
        <f t="shared" si="6"/>
        <v>[ROLE] Tech Lead | [TASK] Assign incomplete project script | [PROJECT] Develop a CLI event processor consolidating Future Racing, Completers, Timers, Stream Listening, Stream Consumption, StreamSubscription Control and Asynchronous Generators. | [TOPICS USED] 
- Implement Future Racing and Timeouts using Future.any() and .timeout().
- Implement Callback Bridging with Completers using Completer(), .complete(), .completeError() and .future.
- Implement Timer Operations using Timer(), Timer.periodic(), .cancel() and .isActive.
- Implement Stream Listening using Stream.listen(), onData, onError and onDone.
- Implement Stream Consumption using await for and asynchronous loops.
- Implement StreamSubscription Control using .pause(), .resume(), .cancel() and .isPaused.
- Implement Asynchronous Generators using async*, yield and yield*. | [LEVEL] Advanced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#16 | Stage 3 | Dart Concurrency &amp; Asynchrony | 📊 Level: Advanced | 🌐 Coding5s.com
**Project:** Future Racing, Timers, Streams Basics and Generators Project
---
 | [EXTERNAL_PACKAGE_PROTOCOL] Require standard dart pub tooling and pubspec.yaml file for external dependencies when applicable. | [CHALLENGE_CONSTRAINTS_POLICY] MUST be between 25-40 lines of EXECUTABLE base Dart code (STRICT: Do NOT count comments or // TODO blocks). 40–100 Asynchronous and concurrent script flow. Require at least 1 async worker or stream pipeline.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Concurrency &amp; Asynchrony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4" s="103" t="str">
        <f t="shared" si="7"/>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CLI event processor consolidating Future Racing, Completers, Timers, Stream Listening, Stream Consumption, StreamSubscription Control and Asynchronous Generators.. Topics involved: 
- Implement Future Racing and Timeouts using Future.any() and .timeout().
- Implement Callback Bridging with Completers using Completer(), .complete(), .completeError() and .future.
- Implement Timer Operations using Timer(), Timer.periodic(), .cancel() and .isActive.
- Implement Stream Listening using Stream.listen(), onData, onError and onDone.
- Implement Stream Consumption using await for and asynchronous loops.
- Implement StreamSubscription Control using .pause(), .resume(), .cancel() and .isPaused.
- Implement Asynchronous Generators using async*, yield and yield*.. Project objective: Future Racing, Timers, Streams Basics and Generators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#16 | Complete | Dart Concurrency &amp; Asynchrony | 📊 Level: Advanced
**Project:** Develop a CLI event processor consolidating Future Racing, Completers, Timers, Stream Listening, Stream Consumption, StreamSubscription Control and Asynchronous Generators.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4" s="52">
        <v>0</v>
      </c>
      <c r="T24" s="102" t="str">
        <f t="shared" si="8"/>
        <v>[ROLE] Tech Lead | [TASK] Provide a messy but functional project for refactoring | [PROJECT] Develop a CLI event processor consolidating Future Racing, Completers, Timers, Stream Listening, Stream Consumption, StreamSubscription Control and Asynchronous Generators. | [TOPICS USED] 
- Implement Future Racing and Timeouts using Future.any() and .timeout().
- Implement Callback Bridging with Completers using Completer(), .complete(), .completeError() and .future.
- Implement Timer Operations using Timer(), Timer.periodic(), .cancel() and .isActive.
- Implement Stream Listening using Stream.listen(), onData, onError and onDone.
- Implement Stream Consumption using await for and asynchronous loops.
- Implement StreamSubscription Control using .pause(), .resume(), .cancel() and .isPaused.
- Implement Asynchronous Generators using async*, yield and yield*. | [LEVEL] Advanced | [PERSONA RULE] Act as a Tech Lead. A junior wrote this working but messy code. Tone: professional but exhausted | [HEADER RULE - STRICT] You MUST start your entire response EXACTLY with this markdown block (do not print anything before it):
### 🚀 Project #16 | Stage 4 | Dart Concurrency &amp; Asynchrony | 📊 Level: Advanced | 🌐 Coding5s.com
**Project:** Future Racing, Timers, Streams Basics and Generators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Concurrency &amp; Asynchrony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PROJECT: Develop a CLI event processor consolidating Future Racing, Completers, Timers, Stream Listening, Stream Consumption, StreamSubscription Control and Asynchronous Generators.. Topics involved: 
- Implement Future Racing and Timeouts using Future.any() and .timeout().
- Implement Callback Bridging with Completers using Completer(), .complete(), .completeError() and .future.
- Implement Timer Operations using Timer(), Timer.periodic(), .cancel() and .isActive.
- Implement Stream Listening using Stream.listen(), onData, onError and onDone.
- Implement Stream Consumption using await for and asynchronous loops.
- Implement StreamSubscription Control using .pause(), .resume(), .cancel() and .isPaused.
- Implement Asynchronous Generators using async*, yield and yield*.. Project objective: Future Racing, Timers, Streams Basics and Generators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#16 | Refactor | Dart Concurrency &amp; Asynchrony | 📊 Level: Advanced
**Project:** Develop a CLI event processor consolidating Future Racing, Completers, Timers, Stream Listening, Stream Consumption, StreamSubscription Control and Asynchronous Generators.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4" s="52">
        <v>0</v>
      </c>
      <c r="W24" s="87" t="str">
        <f t="shared" si="10"/>
        <v>[ROLE] Tech Product Manager assigning a Dart Concurrency &amp; Asynchrony Jira Ticket | [TASK] Provide a guided project implementation with full solution | [PROJECT] Develop a CLI event processor consolidating Future Racing, Completers, Timers, Stream Listening, Stream Consumption, StreamSubscription Control and Asynchronous Generators. | [TOPICS USED] 
- Implement Future Racing and Timeouts using Future.any() and .timeout().
- Implement Callback Bridging with Completers using Completer(), .complete(), .completeError() and .future.
- Implement Timer Operations using Timer(), Timer.periodic(), .cancel() and .isActive.
- Implement Stream Listening using Stream.listen(), onData, onError and onDone.
- Implement Stream Consumption using await for and asynchronous loops.
- Implement StreamSubscription Control using .pause(), .resume(), .cancel() and .isPaused.
- Implement Asynchronous Generators using async*, yield and yield*. | [LEVEL] Advanced | [PERSONA RULE] Act as a professional Tech Product Manager defining a project ticket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[HEADER RULE - STRICT] You MUST start your entire response EXACTLY with this markdown block (do not print anything before it):
### 🚀 Project #16 | Stage 5 | Dart Concurrency &amp; Asynchrony | 📊 Level: Advanced | 🌐 Coding5s.com
**Project:** Future Racing, Timers, Streams Basics and Generators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Concurrency &amp; Asynchrony Dev']
Subject: Assignment Details
Hello [Insert my user name if known, otherwise use 'Dart Concurrency &amp; Asynchrony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CLI event processor consolidating Future Racing, Completers, Timers, Stream Listening, Stream Consumption, StreamSubscription Control and Asynchronous Generators.. Topics integrated: 
- Implement Future Racing and Timeouts using Future.any() and .timeout().
- Implement Callback Bridging with Completers using Completer(), .complete(), .completeError() and .future.
- Implement Timer Operations using Timer(), Timer.periodic(), .cancel() and .isActive.
- Implement Stream Listening using Stream.listen(), onData, onError and onDone.
- Implement Stream Consumption using await for and asynchronous loops.
- Implement StreamSubscription Control using .pause(), .resume(), .cancel() and .isPaused.
- Implement Asynchronous Generators using async*, yield and yield*.. Business Goal: Future Racing, Timers, Streams Basics and Generators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#16 | Extend | Dart Concurrency &amp; Asynchrony | 📊 Level: Advanced
**Project:** Develop a CLI event processor consolidating Future Racing, Completers, Timers, Stream Listening, Stream Consumption, StreamSubscription Control and Asynchronous Generators.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4" s="52">
        <v>0</v>
      </c>
      <c r="Z24" s="56" t="str">
        <f t="shared" si="12"/>
        <v>[TASK] Teach through a practical Dart Concurrency &amp; Asynchrony -  project following the micro-learning methodology, acting as a supportive tutor, creating a project about  Develop a CLI event processor consolidating Future Racing, Completers, Timers, Stream Listening, Stream Consumption, StreamSubscription Control and Asynchronous Generators. | [TOPICS USED] 
- Implement Future Racing and Timeouts using Future.any() and .timeout().
- Implement Callback Bridging with Completers using Completer(), .complete(), .completeError() and .future.
- Implement Timer Operations using Timer(), Timer.periodic(), .cancel() and .isActive.
- Implement Stream Listening using Stream.listen(), onData, onError and onDone.
- Implement Stream Consumption using await for and asynchronous loops.
- Implement StreamSubscription Control using .pause(), .resume(), .cancel() and .isPaused.
- Implement Asynchronous Generators using async*, yield and yield*.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asynchronous primitives, Futures, Streams, async/await flows, and isolate execution models utilizing top-level main(). at the top of the code block. Assume no project configuration file exists. | [CODE_CONSTRAINTS_RULE] Standard basic logic validation using native assert statements. | [VISUAL_ARCHITECTURE_COMMENTS] 1. Use visual block tags separating script sections (e.g., '// --- BLOQUE 1: [NAME] ---') to map code to the planning phase. 2. Use comprehensive doc comments using triple slashes ('///') explaining asynchronous parameters, Future return types, and exceptions. 3. CRITICAL: NO comment or docstring line may exceed 80 characters (Effective Dart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#16 | Stage 1 | Dart Concurrency &amp; Asynchrony | 📊 Level: Advanced | 🌐 Coding5s.com
**Project:** Future Racing, Timers, Streams Basics and Generators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4" s="56" t="str">
        <f t="shared" si="13"/>
        <v>[ROLE] Careless Dart Concurrency &amp; Asynchrony Developer | [TASK] Generate debugging project in Dart Concurrency &amp; Asynchrony | [PROJECT] Develop a CLI event processor consolidating Future Racing, Completers, Timers, Stream Listening, Stream Consumption, StreamSubscription Control and Asynchronous Generators. | [TOPICS USED] 
- Implement Future Racing and Timeouts using Future.any() and .timeout().
- Implement Callback Bridging with Completers using Completer(), .complete(), .completeError() and .future.
- Implement Timer Operations using Timer(), Timer.periodic(), .cancel() and .isActive.
- Implement Stream Listening using Stream.listen(), onData, onError and onDone.
- Implement Stream Consumption using await for and asynchronous loops.
- Implement StreamSubscription Control using .pause(), .resume(), .cancel() and .isPaused.
- Implement Asynchronous Generators using async*, yield and yield*. | [LEVEL] Advanced | [OUTPUT] Only header, dataset summary or statement (if any), email intro, objective, expected output, broken code, and footer | [HEADER RULE - STRICT] You MUST start your entire response EXACTLY with this markdown block (do not print anything before it):
### 🚀 Project #16 | Stage 2 | Dart Concurrency &amp; Asynchrony | 📊 Level: Advanced | 🌐 Coding5s.com
Project: Future Racing, Timers, Streams Basics and Generators Project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Telugu | [LANGUAGE SEED CONTEXT] Language Seed Not Necessary | [BUG RULE] Simulate a messy Dart concurrency script. The project MUST contain EXACTLY 2-5 bugs mixing unawaited futures, missing async/await keywords, concurrency logic errors, and runtime exceptions. 1. Syntax &amp; Type Errors (e.g., missing semicolons/brackets, returning raw values instead of Futures, unhandled null safety exceptions in streams), 2. Logic Errors (e.g., unawaited async calls causing race conditions, incorrect stream subscription logic, deadlock states), AND 3. Runtime Exceptions (e.g., TimeoutException, StateError on closed controllers, IsolateSpawnException, FormatException).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Concurrency &amp; Asynchrony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4" s="56" t="str">
        <f t="shared" si="14"/>
        <v>[ROLE] Tech Lead | [TASK] Assign incomplete project script | [PROJECT] Develop a CLI event processor consolidating Future Racing, Completers, Timers, Stream Listening, Stream Consumption, StreamSubscription Control and Asynchronous Generators. | [TOPICS USED] 
- Implement Future Racing and Timeouts using Future.any() and .timeout().
- Implement Callback Bridging with Completers using Completer(), .complete(), .completeError() and .future.
- Implement Timer Operations using Timer(), Timer.periodic(), .cancel() and .isActive.
- Implement Stream Listening using Stream.listen(), onData, onError and onDone.
- Implement Stream Consumption using await for and asynchronous loops.
- Implement StreamSubscription Control using .pause(), .resume(), .cancel() and .isPaused.
- Implement Asynchronous Generators using async*, yield and yield*. | [LEVEL] Advanced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#16 | Stage 3 | Dart Concurrency &amp; Asynchrony | 📊 Level: Advanced | 🌐 Coding5s.com
**Project:** Future Racing, Timers, Streams Basics and Generators Project
---
 | [EXTERNAL_PACKAGE_PROTOCOL] Require standard dart pub tooling and pubspec.yaml file for external dependencies when applicable. | [CHALLENGE_CONSTRAINTS_POLICY] MUST be between 25-40 lines of EXECUTABLE base Dart code (STRICT: Do NOT count comments or // TODO blocks). 40–100 Asynchronous and concurrent script flow. Require at least 1 async worker or stream pipeline.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Concurrency &amp; Asynchrony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4" s="56" t="str">
        <f t="shared" si="15"/>
        <v>[ROLE] Tech Lead | [TASK] Provide a messy but functional project for refactoring | [PROJECT] Develop a CLI event processor consolidating Future Racing, Completers, Timers, Stream Listening, Stream Consumption, StreamSubscription Control and Asynchronous Generators. | [TOPICS USED] 
- Implement Future Racing and Timeouts using Future.any() and .timeout().
- Implement Callback Bridging with Completers using Completer(), .complete(), .completeError() and .future.
- Implement Timer Operations using Timer(), Timer.periodic(), .cancel() and .isActive.
- Implement Stream Listening using Stream.listen(), onData, onError and onDone.
- Implement Stream Consumption using await for and asynchronous loops.
- Implement StreamSubscription Control using .pause(), .resume(), .cancel() and .isPaused.
- Implement Asynchronous Generators using async*, yield and yield*. | [LEVEL] Advanced | [PERSONA RULE] Act as a Tech Lead. A junior wrote this working but messy code. Tone: professional but exhausted | [HEADER RULE - STRICT] You MUST start your entire response EXACTLY with this markdown block (do not print anything before it):
### 🚀 Project #16 | Stage 4 | Dart Concurrency &amp; Asynchrony | 📊 Level: Advanced | 🌐 Coding5s.com
**Project:** Future Racing, Timers, Streams Basics and Generators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Concurrency &amp; Asynchrony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4" s="56" t="str">
        <f t="shared" si="16"/>
        <v>[ROLE] Tech Product Manager assigning a Dart Concurrency &amp; Asynchrony Jira Ticket | [TASK] Provide a guided project implementation with full solution | [PROJECT] Develop a CLI event processor consolidating Future Racing, Completers, Timers, Stream Listening, Stream Consumption, StreamSubscription Control and Asynchronous Generators. | [TOPICS USED] 
- Implement Future Racing and Timeouts using Future.any() and .timeout().
- Implement Callback Bridging with Completers using Completer(), .complete(), .completeError() and .future.
- Implement Timer Operations using Timer(), Timer.periodic(), .cancel() and .isActive.
- Implement Stream Listening using Stream.listen(), onData, onError and onDone.
- Implement Stream Consumption using await for and asynchronous loops.
- Implement StreamSubscription Control using .pause(), .resume(), .cancel() and .isPaused.
- Implement Asynchronous Generators using async*, yield and yield*. | [LEVEL] Advanced | [PERSONA RULE] Act as a professional Tech Product Manager defining a project ticket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[HEADER RULE - STRICT] You MUST start your entire response EXACTLY with this markdown block (do not print anything before it):
### 🚀 Project #16 | Stage 5 | Dart Concurrency &amp; Asynchrony | 📊 Level: Advanced | 🌐 Coding5s.com
**Project:** Future Racing, Timers, Streams Basics and Generators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Concurrency &amp; Asynchrony Dev']
Subject: Assignment Details
Hello [Insert my user name if known, otherwise use 'Dart Concurrency &amp; Asynchrony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4" s="40" t="s">
        <v>128</v>
      </c>
      <c r="AF24" s="40" t="s">
        <v>129</v>
      </c>
      <c r="AG24" s="40" t="s">
        <v>130</v>
      </c>
      <c r="AH24" s="56" t="str">
        <f t="shared" si="0"/>
        <v/>
      </c>
      <c r="AI24" s="54"/>
      <c r="AJ24" s="54"/>
      <c r="AK24" s="54">
        <v>16</v>
      </c>
      <c r="AL24" s="54" t="s">
        <v>131</v>
      </c>
      <c r="AM24" s="54" t="s">
        <v>132</v>
      </c>
    </row>
    <row r="25" spans="1:39">
      <c r="A25" s="45" t="str" cm="1">
        <f t="array" ref="A25">IF(H25="PROJECT", CHAR(10) &amp; "- " &amp; _xlfn.TEXTJOIN(CHAR(10) &amp; "- ", TRUE, _xlfn._xlws.FILTER($I$9:$I$1000, ($B$9:$B$1000=B25) * ($H$9:$H$1000="Topic"))), "")</f>
        <v/>
      </c>
      <c r="B25" s="45">
        <f t="shared" si="1"/>
        <v>3</v>
      </c>
      <c r="C25" s="95">
        <v>20</v>
      </c>
      <c r="D25" s="46">
        <v>4</v>
      </c>
      <c r="E25" s="58" t="s">
        <v>46</v>
      </c>
      <c r="F25" s="48">
        <v>17</v>
      </c>
      <c r="G25" s="49" t="s">
        <v>159</v>
      </c>
      <c r="H25" s="49" t="s">
        <v>48</v>
      </c>
      <c r="I25" s="50" t="s">
        <v>803</v>
      </c>
      <c r="J25" s="51" t="s">
        <v>804</v>
      </c>
      <c r="K25" s="129" t="str">
        <f t="shared" si="2"/>
        <v xml:space="preserve">[ROLE] Friendly tutor specializing in Dart Concurrency &amp; Asynchrony | [TOPIC] Implement StreamController Operations using StreamController(), .add(), .addError() and .close().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Dart Concurrency &amp; Asynchrony | 📊 Level: Advanced | 🌐 Coding5s.com
**Concept:** StreamController Operations (StreamController(), .add(), .addError(), .close())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5" s="103" t="str">
        <f t="shared" si="3"/>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StreamController Operations using StreamController(), .add(), .addError() and .close().. Topic details: StreamController Operations (StreamController(), .add(), .addError(), .close())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Dart Concurrency &amp; Asynchrony | 📊 Level: Advanced
**Topic:** Implement StreamController Operations using StreamController(), .add(), .addError() and .close().
---
 | [FOOTER RULE - STRICT] End your response with: '--- ⚡ *Coding5s Mentor System — Eliminating Epistemic Debt*' | </v>
      </c>
      <c r="M25" s="53">
        <v>0</v>
      </c>
      <c r="N25" s="102" t="str">
        <f t="shared" si="4"/>
        <v>[ROLE] Careless Dart Concurrency &amp; Asynchrony Developer | [TASK] Generate debugging challenges in Dart Concurrency &amp; Asynchrony | | [TOPIC] Implement StreamController Operations using StreamController(), .add(), .addError() and .close().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#17 | Stage 2 🐛 Debug | Dart Concurrency &amp; Asynchrony | 📊 Level: Advanced | 🌐 Coding5s.com
Concept: StreamController Operations (StreamController(), .add(), .addError(), .close())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5" s="103" t="str">
        <f t="shared" si="5"/>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StreamController Operations using StreamController(), .add(), .addError() and .close().. Topic details: StreamController Operations (StreamController(), .add(), .addError(), .close())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Dart Concurrency &amp; Asynchrony | 📊 Level: Advanced
**Topic:** Implement StreamController Operations using StreamController(), .add(), .addError() and .close().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5" s="53">
        <v>0</v>
      </c>
      <c r="Q25" s="102" t="str">
        <f t="shared" si="6"/>
        <v>[ROLE] Tech Lead | [TASK] Assign incomplete Dart Concurrency &amp; Asynchrony script challenges | [TOPIC] Implement StreamController Operations using StreamController(), .add(), .addError() and .close().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#17 | Stage 3 🧩 Complete | Dart Concurrency &amp; Asynchrony | 📊 Level: Advanced | 🌐 Coding5s.com
**Concept:** StreamController Operations (StreamController(), .add(), .addError(), .close())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StreamController Operations using StreamController(), .add(), .addError() and .close()..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5" s="103" t="str">
        <f t="shared" si="7"/>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StreamController Operations using StreamController(), .add(), .addError() and .close().. Topic details: StreamController Operations (StreamController(), .add(), .addError(), .close())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Dart Concurrency &amp; Asynchrony | 📊 Level: Advanced
**Topic:** Implement StreamController Operations using StreamController(), .add(), .addError() and .close().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5" s="53">
        <v>0</v>
      </c>
      <c r="T25" s="102" t="str">
        <f t="shared" si="8"/>
        <v>[ROLE] Tech Lead | [TASK] Provide intentionally messy but functional code for learning debugging and improvement | [TOPIC] Implement StreamController Operations using StreamController(), .add(), .addError() and .close().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Dart Concurrency &amp; Asynchrony | 📊 Level: Advanced | 🌐 Coding5s.com
**Concept:** StreamController Operations (StreamController(), .add(), .addError(), .close())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StreamController Operations using StreamController(), .add(), .addError() and .close().. Topic details: StreamController Operations (StreamController(), .add(), .addError(), .close())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Dart Concurrency &amp; Asynchrony | 📊 Level: Advanced
**Topic:** Implement StreamController Operations using StreamController(), .add(), .addError() and .close().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5" s="53">
        <v>0</v>
      </c>
      <c r="W25" s="87" t="str">
        <f t="shared" si="10"/>
        <v>[ROLE] Tech Product Manager assigning a Dart Concurrency &amp; Asynchrony Jira Ticket | [TASK] Provide a guided implementation exercise with full solution for learning purposes | [TOPIC] Implement StreamController Operations using StreamController(), .add(), .addError() and .close().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Dart Concurrency &amp; Asynchrony | 📊 Level: Advanced | 🌐 Coding5s.com
**Concept:** StreamController Operations (StreamController(), .add(), .addError(), .close())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StreamController Operations using StreamController(), .add(), .addError() and .close().. Goal: StreamController Operations (StreamController(), .add(), .addError(), .close())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Dart Concurrency &amp; Asynchrony | 📊 Level: Advanced
**Topic:** Implement StreamController Operations using StreamController(), .add(), .addError() and .close().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5" s="53">
        <v>0</v>
      </c>
      <c r="Z25" s="56" t="str">
        <f t="shared" si="12"/>
        <v/>
      </c>
      <c r="AA25" s="56" t="str">
        <f t="shared" si="13"/>
        <v/>
      </c>
      <c r="AB25" s="56" t="str">
        <f t="shared" si="14"/>
        <v/>
      </c>
      <c r="AC25" s="56" t="str">
        <f t="shared" si="15"/>
        <v/>
      </c>
      <c r="AD25" s="56" t="str">
        <f t="shared" si="16"/>
        <v/>
      </c>
      <c r="AE25" s="40" t="s">
        <v>133</v>
      </c>
      <c r="AF25" s="40" t="s">
        <v>134</v>
      </c>
      <c r="AG25" s="40" t="s">
        <v>135</v>
      </c>
      <c r="AH25" s="56" t="str">
        <f t="shared" si="0"/>
        <v/>
      </c>
      <c r="AI25" s="54"/>
      <c r="AJ25" s="54"/>
      <c r="AK25" s="54">
        <v>17</v>
      </c>
      <c r="AL25" s="54" t="s">
        <v>136</v>
      </c>
      <c r="AM25" s="54" t="s">
        <v>137</v>
      </c>
    </row>
    <row r="26" spans="1:39">
      <c r="A26" s="45" t="str" cm="1">
        <f t="array" ref="A26">IF(H26="PROJECT", CHAR(10) &amp; "- " &amp; _xlfn.TEXTJOIN(CHAR(10) &amp; "- ", TRUE, _xlfn._xlws.FILTER($I$9:$I$1000, ($B$9:$B$1000=B26) * ($H$9:$H$1000="Topic"))), "")</f>
        <v/>
      </c>
      <c r="B26" s="45">
        <f t="shared" si="1"/>
        <v>3</v>
      </c>
      <c r="C26" s="95">
        <v>18</v>
      </c>
      <c r="D26" s="57">
        <v>4</v>
      </c>
      <c r="E26" s="58" t="s">
        <v>46</v>
      </c>
      <c r="F26" s="59">
        <v>18</v>
      </c>
      <c r="G26" s="60" t="s">
        <v>159</v>
      </c>
      <c r="H26" s="60" t="s">
        <v>48</v>
      </c>
      <c r="I26" s="61" t="s">
        <v>805</v>
      </c>
      <c r="J26" s="62" t="s">
        <v>806</v>
      </c>
      <c r="K26" s="129" t="str">
        <f t="shared" si="2"/>
        <v xml:space="preserve">[ROLE] Friendly tutor specializing in Dart Concurrency &amp; Asynchrony | [TOPIC] Implement StreamController Subscription Callbacks using onListen, onPause, onResume and onCancel.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Dart Concurrency &amp; Asynchrony | 📊 Level: Advanced | 🌐 Coding5s.com
**Concept:** StreamController Subscription Callbacks (onListen, onPause, onResume, onCancel)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6" s="103" t="str">
        <f t="shared" si="3"/>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StreamController Subscription Callbacks using onListen, onPause, onResume and onCancel.. Topic details: StreamController Subscription Callbacks (onListen, onPause, onResume, onCancel)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Dart Concurrency &amp; Asynchrony | 📊 Level: Advanced
**Topic:** Implement StreamController Subscription Callbacks using onListen, onPause, onResume and onCancel.
---
 | [FOOTER RULE - STRICT] End your response with: '--- ⚡ *Coding5s Mentor System — Eliminating Epistemic Debt*' | </v>
      </c>
      <c r="M26" s="52">
        <v>0</v>
      </c>
      <c r="N26" s="102" t="str">
        <f t="shared" si="4"/>
        <v>[ROLE] Careless Dart Concurrency &amp; Asynchrony Developer | [TASK] Generate debugging challenges in Dart Concurrency &amp; Asynchrony | | [TOPIC] Implement StreamController Subscription Callbacks using onListen, onPause, onResume and onCancel.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#18 | Stage 2 🐛 Debug | Dart Concurrency &amp; Asynchrony | 📊 Level: Advanced | 🌐 Coding5s.com
Concept: StreamController Subscription Callbacks (onListen, onPause, onResume, onCancel)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6" s="103" t="str">
        <f t="shared" si="5"/>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StreamController Subscription Callbacks using onListen, onPause, onResume and onCancel.. Topic details: StreamController Subscription Callbacks (onListen, onPause, onResume, onCancel)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Dart Concurrency &amp; Asynchrony | 📊 Level: Advanced
**Topic:** Implement StreamController Subscription Callbacks using onListen, onPause, onResume and onCancel.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6" s="52">
        <v>0</v>
      </c>
      <c r="Q26" s="102" t="str">
        <f t="shared" si="6"/>
        <v>[ROLE] Tech Lead | [TASK] Assign incomplete Dart Concurrency &amp; Asynchrony script challenges | [TOPIC] Implement StreamController Subscription Callbacks using onListen, onPause, onResume and onCancel.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#18 | Stage 3 🧩 Complete | Dart Concurrency &amp; Asynchrony | 📊 Level: Advanced | 🌐 Coding5s.com
**Concept:** StreamController Subscription Callbacks (onListen, onPause, onResume, onCancel)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StreamController Subscription Callbacks using onListen, onPause, onResume and onCancel..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6" s="103" t="str">
        <f t="shared" si="7"/>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StreamController Subscription Callbacks using onListen, onPause, onResume and onCancel.. Topic details: StreamController Subscription Callbacks (onListen, onPause, onResume, onCancel)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Dart Concurrency &amp; Asynchrony | 📊 Level: Advanced
**Topic:** Implement StreamController Subscription Callbacks using onListen, onPause, onResume and onCancel.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6" s="52">
        <v>0</v>
      </c>
      <c r="T26" s="102" t="str">
        <f t="shared" si="8"/>
        <v>[ROLE] Tech Lead | [TASK] Provide intentionally messy but functional code for learning debugging and improvement | [TOPIC] Implement StreamController Subscription Callbacks using onListen, onPause, onResume and onCancel.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Dart Concurrency &amp; Asynchrony | 📊 Level: Advanced | 🌐 Coding5s.com
**Concept:** StreamController Subscription Callbacks (onListen, onPause, onResume, onCancel)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StreamController Subscription Callbacks using onListen, onPause, onResume and onCancel.. Topic details: StreamController Subscription Callbacks (onListen, onPause, onResume, onCancel)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Dart Concurrency &amp; Asynchrony | 📊 Level: Advanced
**Topic:** Implement StreamController Subscription Callbacks using onListen, onPause, onResume and onCancel.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6" s="52">
        <v>0</v>
      </c>
      <c r="W26" s="87" t="str">
        <f t="shared" si="10"/>
        <v>[ROLE] Tech Product Manager assigning a Dart Concurrency &amp; Asynchrony Jira Ticket | [TASK] Provide a guided implementation exercise with full solution for learning purposes | [TOPIC] Implement StreamController Subscription Callbacks using onListen, onPause, onResume and onCancel.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Dart Concurrency &amp; Asynchrony | 📊 Level: Advanced | 🌐 Coding5s.com
**Concept:** StreamController Subscription Callbacks (onListen, onPause, onResume, onCancel)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StreamController Subscription Callbacks using onListen, onPause, onResume and onCancel.. Goal: StreamController Subscription Callbacks (onListen, onPause, onResume, onCancel)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Dart Concurrency &amp; Asynchrony | 📊 Level: Advanced
**Topic:** Implement StreamController Subscription Callbacks using onListen, onPause, onResume and onCancel.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6" s="52">
        <v>0</v>
      </c>
      <c r="Z26" s="56" t="str">
        <f t="shared" si="12"/>
        <v/>
      </c>
      <c r="AA26" s="56" t="str">
        <f t="shared" si="13"/>
        <v/>
      </c>
      <c r="AB26" s="56" t="str">
        <f t="shared" si="14"/>
        <v/>
      </c>
      <c r="AC26" s="56" t="str">
        <f t="shared" si="15"/>
        <v/>
      </c>
      <c r="AD26" s="56" t="str">
        <f t="shared" si="16"/>
        <v/>
      </c>
      <c r="AE26" s="40" t="s">
        <v>138</v>
      </c>
      <c r="AF26" s="40" t="s">
        <v>139</v>
      </c>
      <c r="AG26" s="40" t="s">
        <v>140</v>
      </c>
      <c r="AH26" s="56" t="str">
        <f t="shared" si="0"/>
        <v/>
      </c>
      <c r="AI26" s="54"/>
      <c r="AJ26" s="54"/>
      <c r="AK26" s="54">
        <v>18</v>
      </c>
      <c r="AL26" s="54" t="s">
        <v>141</v>
      </c>
      <c r="AM26" s="54" t="s">
        <v>142</v>
      </c>
    </row>
    <row r="27" spans="1:39">
      <c r="A27" s="45" t="str" cm="1">
        <f t="array" ref="A27">IF(H27="PROJECT", CHAR(10) &amp; "- " &amp; _xlfn.TEXTJOIN(CHAR(10) &amp; "- ", TRUE, _xlfn._xlws.FILTER($I$9:$I$1000, ($B$9:$B$1000=B27) * ($H$9:$H$1000="Topic"))), "")</f>
        <v/>
      </c>
      <c r="B27" s="45">
        <f t="shared" si="1"/>
        <v>3</v>
      </c>
      <c r="C27" s="95">
        <v>20</v>
      </c>
      <c r="D27" s="46">
        <v>5</v>
      </c>
      <c r="E27" s="58" t="s">
        <v>46</v>
      </c>
      <c r="F27" s="48">
        <v>19</v>
      </c>
      <c r="G27" s="49" t="s">
        <v>159</v>
      </c>
      <c r="H27" s="49" t="s">
        <v>48</v>
      </c>
      <c r="I27" s="50" t="s">
        <v>807</v>
      </c>
      <c r="J27" s="51" t="s">
        <v>808</v>
      </c>
      <c r="K27" s="129" t="str">
        <f t="shared" si="2"/>
        <v xml:space="preserve">[ROLE] Friendly tutor specializing in Dart Concurrency &amp; Asynchrony | [TOPIC] Implement Synchronous Transformations using .map(), .where(), .expand() and .cast(). | [LEVEL] Advanced | [COUNT] 5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Dart Concurrency &amp; Asynchrony | 📊 Level: Advanced | 🌐 Coding5s.com
**Concept:** Synchronous Transformations (.map(), .where(), .expand(), .cast())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7" s="103" t="str">
        <f t="shared" si="3"/>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Synchronous Transformations using .map(), .where(), .expand() and .cast().. Topic details: Synchronous Transformations (.map(), .where(), .expand(), .cast())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Dart Concurrency &amp; Asynchrony | 📊 Level: Advanced
**Topic:** Implement Synchronous Transformations using .map(), .where(), .expand() and .cast().
---
 | [FOOTER RULE - STRICT] End your response with: '--- ⚡ *Coding5s Mentor System — Eliminating Epistemic Debt*' | </v>
      </c>
      <c r="M27" s="53">
        <v>0</v>
      </c>
      <c r="N27" s="102" t="str">
        <f t="shared" si="4"/>
        <v>[ROLE] Careless Dart Concurrency &amp; Asynchrony Developer | [TASK] Generate debugging challenges in Dart Concurrency &amp; Asynchrony | | [TOPIC] Implement Synchronous Transformations using .map(), .where(), .expand() and .cast(). | | [LEVEL] Advanced | | [COUNT] 5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#19 | Stage 2 🐛 Debug | Dart Concurrency &amp; Asynchrony | 📊 Level: Advanced | 🌐 Coding5s.com
Concept: Synchronous Transformations (.map(), .where(), .expand(), .cast())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7" s="103" t="str">
        <f t="shared" si="5"/>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Synchronous Transformations using .map(), .where(), .expand() and .cast().. Topic details: Synchronous Transformations (.map(), .where(), .expand(), .cast())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Dart Concurrency &amp; Asynchrony | 📊 Level: Advanced
**Topic:** Implement Synchronous Transformations using .map(), .where(), .expand() and .cast().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7" s="53">
        <v>0</v>
      </c>
      <c r="Q27" s="102" t="str">
        <f t="shared" si="6"/>
        <v>[ROLE] Tech Lead | [TASK] Assign incomplete Dart Concurrency &amp; Asynchrony script challenges | [TOPIC] Implement Synchronous Transformations using .map(), .where(), .expand() and .cast(). | [LEVEL] Advanced | [COUNT] 5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#19 | Stage 3 🧩 Complete | Dart Concurrency &amp; Asynchrony | 📊 Level: Advanced | 🌐 Coding5s.com
**Concept:** Synchronous Transformations (.map(), .where(), .expand(), .cast())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Synchronous Transformations using .map(), .where(), .expand() and .cast()..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7" s="103" t="str">
        <f t="shared" si="7"/>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Synchronous Transformations using .map(), .where(), .expand() and .cast().. Topic details: Synchronous Transformations (.map(), .where(), .expand(), .cast())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Dart Concurrency &amp; Asynchrony | 📊 Level: Advanced
**Topic:** Implement Synchronous Transformations using .map(), .where(), .expand() and .cast().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7" s="53">
        <v>0</v>
      </c>
      <c r="T27" s="102" t="str">
        <f t="shared" si="8"/>
        <v>[ROLE] Tech Lead | [TASK] Provide intentionally messy but functional code for learning debugging and improvement | [TOPIC] Implement Synchronous Transformations using .map(), .where(), .expand() and .cast(). | [LEVEL] Advanced | [COUNT] 5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Dart Concurrency &amp; Asynchrony | 📊 Level: Advanced | 🌐 Coding5s.com
**Concept:** Synchronous Transformations (.map(), .where(), .expand(), .cast())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Synchronous Transformations using .map(), .where(), .expand() and .cast().. Topic details: Synchronous Transformations (.map(), .where(), .expand(), .cast())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Dart Concurrency &amp; Asynchrony | 📊 Level: Advanced
**Topic:** Implement Synchronous Transformations using .map(), .where(), .expand() and .cast().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7" s="53">
        <v>0</v>
      </c>
      <c r="W27" s="87" t="str">
        <f t="shared" si="10"/>
        <v>[ROLE] Tech Product Manager assigning a Dart Concurrency &amp; Asynchrony Jira Ticket | [TASK] Provide a guided implementation exercise with full solution for learning purposes | [TOPIC] Implement Synchronous Transformations using .map(), .where(), .expand() and .cast().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Dart Concurrency &amp; Asynchrony | 📊 Level: Advanced | 🌐 Coding5s.com
**Concept:** Synchronous Transformations (.map(), .where(), .expand(), .cast())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Synchronous Transformations using .map(), .where(), .expand() and .cast().. Goal: Synchronous Transformations (.map(), .where(), .expand(), .cast())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Dart Concurrency &amp; Asynchrony | 📊 Level: Advanced
**Topic:** Implement Synchronous Transformations using .map(), .where(), .expand() and .cast().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7" s="53">
        <v>0</v>
      </c>
      <c r="Z27" s="56" t="str">
        <f t="shared" si="12"/>
        <v/>
      </c>
      <c r="AA27" s="56" t="str">
        <f t="shared" si="13"/>
        <v/>
      </c>
      <c r="AB27" s="56" t="str">
        <f t="shared" si="14"/>
        <v/>
      </c>
      <c r="AC27" s="56" t="str">
        <f t="shared" si="15"/>
        <v/>
      </c>
      <c r="AD27" s="56" t="str">
        <f t="shared" si="16"/>
        <v/>
      </c>
      <c r="AE27" s="40" t="s">
        <v>143</v>
      </c>
      <c r="AF27" s="40" t="s">
        <v>144</v>
      </c>
      <c r="AG27" s="40" t="s">
        <v>145</v>
      </c>
      <c r="AH27" s="56" t="str">
        <f t="shared" si="0"/>
        <v/>
      </c>
      <c r="AI27" s="54"/>
      <c r="AJ27" s="54"/>
      <c r="AK27" s="54">
        <v>19</v>
      </c>
      <c r="AL27" s="54" t="s">
        <v>103</v>
      </c>
      <c r="AM27" s="54" t="s">
        <v>104</v>
      </c>
    </row>
    <row r="28" spans="1:39">
      <c r="A28" s="45" t="str" cm="1">
        <f t="array" ref="A28">IF(H28="PROJECT", CHAR(10) &amp; "- " &amp; _xlfn.TEXTJOIN(CHAR(10) &amp; "- ", TRUE, _xlfn._xlws.FILTER($I$9:$I$1000, ($B$9:$B$1000=B28) * ($H$9:$H$1000="Topic"))), "")</f>
        <v/>
      </c>
      <c r="B28" s="45">
        <f t="shared" si="1"/>
        <v>3</v>
      </c>
      <c r="C28" s="95">
        <v>22</v>
      </c>
      <c r="D28" s="57">
        <v>5</v>
      </c>
      <c r="E28" s="58" t="s">
        <v>46</v>
      </c>
      <c r="F28" s="59">
        <v>20</v>
      </c>
      <c r="G28" s="60" t="s">
        <v>159</v>
      </c>
      <c r="H28" s="60" t="s">
        <v>48</v>
      </c>
      <c r="I28" s="61" t="s">
        <v>809</v>
      </c>
      <c r="J28" s="62" t="s">
        <v>810</v>
      </c>
      <c r="K28" s="129" t="str">
        <f t="shared" si="2"/>
        <v xml:space="preserve">[ROLE] Friendly tutor specializing in Dart Concurrency &amp; Asynchrony | [TOPIC] Implement Asynchronous Transformations using .asyncMap(), .asyncExpand(), .take() and .skip(). | [LEVEL] Advanced | [COUNT] 5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Dart Concurrency &amp; Asynchrony | 📊 Level: Advanced | 🌐 Coding5s.com
**Concept:** Asynchronous Transformations (.asyncMap(), .asyncExpand(), .take(), .skip())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8" s="103" t="str">
        <f t="shared" si="3"/>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Asynchronous Transformations using .asyncMap(), .asyncExpand(), .take() and .skip().. Topic details: Asynchronous Transformations (.asyncMap(), .asyncExpand(), .take(), .skip())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Dart Concurrency &amp; Asynchrony | 📊 Level: Advanced
**Topic:** Implement Asynchronous Transformations using .asyncMap(), .asyncExpand(), .take() and .skip().
---
 | [FOOTER RULE - STRICT] End your response with: '--- ⚡ *Coding5s Mentor System — Eliminating Epistemic Debt*' | </v>
      </c>
      <c r="M28" s="52">
        <v>0</v>
      </c>
      <c r="N28" s="102" t="str">
        <f t="shared" si="4"/>
        <v>[ROLE] Careless Dart Concurrency &amp; Asynchrony Developer | [TASK] Generate debugging challenges in Dart Concurrency &amp; Asynchrony | | [TOPIC] Implement Asynchronous Transformations using .asyncMap(), .asyncExpand(), .take() and .skip(). | | [LEVEL] Advanced | | [COUNT] 5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#20 | Stage 2 🐛 Debug | Dart Concurrency &amp; Asynchrony | 📊 Level: Advanced | 🌐 Coding5s.com
Concept: Asynchronous Transformations (.asyncMap(), .asyncExpand(), .take(), .skip())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8" s="103" t="str">
        <f t="shared" si="5"/>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Asynchronous Transformations using .asyncMap(), .asyncExpand(), .take() and .skip().. Topic details: Asynchronous Transformations (.asyncMap(), .asyncExpand(), .take(), .skip())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Dart Concurrency &amp; Asynchrony | 📊 Level: Advanced
**Topic:** Implement Asynchronous Transformations using .asyncMap(), .asyncExpand(), .take() and .skip().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8" s="52">
        <v>0</v>
      </c>
      <c r="Q28" s="102" t="str">
        <f t="shared" si="6"/>
        <v>[ROLE] Tech Lead | [TASK] Assign incomplete Dart Concurrency &amp; Asynchrony script challenges | [TOPIC] Implement Asynchronous Transformations using .asyncMap(), .asyncExpand(), .take() and .skip(). | [LEVEL] Advanced | [COUNT] 5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#20 | Stage 3 🧩 Complete | Dart Concurrency &amp; Asynchrony | 📊 Level: Advanced | 🌐 Coding5s.com
**Concept:** Asynchronous Transformations (.asyncMap(), .asyncExpand(), .take(), .skip())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Asynchronous Transformations using .asyncMap(), .asyncExpand(), .take() and .skip()..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8" s="103" t="str">
        <f t="shared" si="7"/>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Asynchronous Transformations using .asyncMap(), .asyncExpand(), .take() and .skip().. Topic details: Asynchronous Transformations (.asyncMap(), .asyncExpand(), .take(), .skip())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Dart Concurrency &amp; Asynchrony | 📊 Level: Advanced
**Topic:** Implement Asynchronous Transformations using .asyncMap(), .asyncExpand(), .take() and .skip().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8" s="52">
        <v>0</v>
      </c>
      <c r="T28" s="102" t="str">
        <f t="shared" si="8"/>
        <v>[ROLE] Tech Lead | [TASK] Provide intentionally messy but functional code for learning debugging and improvement | [TOPIC] Implement Asynchronous Transformations using .asyncMap(), .asyncExpand(), .take() and .skip(). | [LEVEL] Advanced | [COUNT] 5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Dart Concurrency &amp; Asynchrony | 📊 Level: Advanced | 🌐 Coding5s.com
**Concept:** Asynchronous Transformations (.asyncMap(), .asyncExpand(), .take(), .skip())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Asynchronous Transformations using .asyncMap(), .asyncExpand(), .take() and .skip().. Topic details: Asynchronous Transformations (.asyncMap(), .asyncExpand(), .take(), .skip())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Dart Concurrency &amp; Asynchrony | 📊 Level: Advanced
**Topic:** Implement Asynchronous Transformations using .asyncMap(), .asyncExpand(), .take() and .skip().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8" s="52">
        <v>0</v>
      </c>
      <c r="W28" s="87" t="str">
        <f t="shared" si="10"/>
        <v>[ROLE] Tech Product Manager assigning a Dart Concurrency &amp; Asynchrony Jira Ticket | [TASK] Provide a guided implementation exercise with full solution for learning purposes | [TOPIC] Implement Asynchronous Transformations using .asyncMap(), .asyncExpand(), .take() and .skip().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Dart Concurrency &amp; Asynchrony | 📊 Level: Advanced | 🌐 Coding5s.com
**Concept:** Asynchronous Transformations (.asyncMap(), .asyncExpand(), .take(), .skip())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Asynchronous Transformations using .asyncMap(), .asyncExpand(), .take() and .skip().. Goal: Asynchronous Transformations (.asyncMap(), .asyncExpand(), .take(), .skip())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Dart Concurrency &amp; Asynchrony | 📊 Level: Advanced
**Topic:** Implement Asynchronous Transformations using .asyncMap(), .asyncExpand(), .take() and .skip().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8" s="52">
        <v>0</v>
      </c>
      <c r="Z28" s="56" t="str">
        <f t="shared" si="12"/>
        <v/>
      </c>
      <c r="AA28" s="56" t="str">
        <f t="shared" si="13"/>
        <v/>
      </c>
      <c r="AB28" s="56" t="str">
        <f t="shared" si="14"/>
        <v/>
      </c>
      <c r="AC28" s="56" t="str">
        <f t="shared" si="15"/>
        <v/>
      </c>
      <c r="AD28" s="56" t="str">
        <f t="shared" si="16"/>
        <v/>
      </c>
      <c r="AE28" s="40" t="s">
        <v>146</v>
      </c>
      <c r="AF28" s="40" t="s">
        <v>147</v>
      </c>
      <c r="AG28" s="40" t="s">
        <v>148</v>
      </c>
      <c r="AH28" s="56" t="str">
        <f t="shared" si="0"/>
        <v/>
      </c>
      <c r="AI28" s="54"/>
      <c r="AJ28" s="54"/>
      <c r="AK28" s="54">
        <v>20</v>
      </c>
      <c r="AL28" s="54" t="s">
        <v>108</v>
      </c>
      <c r="AM28" s="54" t="s">
        <v>109</v>
      </c>
    </row>
    <row r="29" spans="1:39">
      <c r="A29" s="45" t="str" cm="1">
        <f t="array" ref="A29">IF(H29="PROJECT", CHAR(10) &amp; "- " &amp; _xlfn.TEXTJOIN(CHAR(10) &amp; "- ", TRUE, _xlfn._xlws.FILTER($I$9:$I$1000, ($B$9:$B$1000=B29) * ($H$9:$H$1000="Topic"))), "")</f>
        <v/>
      </c>
      <c r="B29" s="45">
        <f t="shared" si="1"/>
        <v>3</v>
      </c>
      <c r="C29" s="95">
        <v>18</v>
      </c>
      <c r="D29" s="46">
        <v>4</v>
      </c>
      <c r="E29" s="58" t="s">
        <v>46</v>
      </c>
      <c r="F29" s="48">
        <v>21</v>
      </c>
      <c r="G29" s="49" t="s">
        <v>159</v>
      </c>
      <c r="H29" s="49" t="s">
        <v>48</v>
      </c>
      <c r="I29" s="50" t="s">
        <v>811</v>
      </c>
      <c r="J29" s="51" t="s">
        <v>812</v>
      </c>
      <c r="K29" s="129" t="str">
        <f t="shared" si="2"/>
        <v xml:space="preserve">[ROLE] Friendly tutor specializing in Dart Concurrency &amp; Asynchrony | [TOPIC] Implement Stream Error and Timing Operators using .handleError() and .timeout().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Dart Concurrency &amp; Asynchrony | 📊 Level: Advanced | 🌐 Coding5s.com
**Concept:** Stream Error &amp; Timing Operators (.handleError(), .timeout())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9" s="103" t="str">
        <f t="shared" si="3"/>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Stream Error and Timing Operators using .handleError() and .timeout().. Topic details: Stream Error &amp; Timing Operators (.handleError(), .timeout())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Dart Concurrency &amp; Asynchrony | 📊 Level: Advanced
**Topic:** Implement Stream Error and Timing Operators using .handleError() and .timeout().
---
 | [FOOTER RULE - STRICT] End your response with: '--- ⚡ *Coding5s Mentor System — Eliminating Epistemic Debt*' | </v>
      </c>
      <c r="M29" s="53">
        <v>0</v>
      </c>
      <c r="N29" s="102" t="str">
        <f t="shared" si="4"/>
        <v>[ROLE] Careless Dart Concurrency &amp; Asynchrony Developer | [TASK] Generate debugging challenges in Dart Concurrency &amp; Asynchrony | | [TOPIC] Implement Stream Error and Timing Operators using .handleError() and .timeout().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#21 | Stage 2 🐛 Debug | Dart Concurrency &amp; Asynchrony | 📊 Level: Advanced | 🌐 Coding5s.com
Concept: Stream Error &amp; Timing Operators (.handleError(), .timeout())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9" s="103" t="str">
        <f t="shared" si="5"/>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Stream Error and Timing Operators using .handleError() and .timeout().. Topic details: Stream Error &amp; Timing Operators (.handleError(), .timeout())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Dart Concurrency &amp; Asynchrony | 📊 Level: Advanced
**Topic:** Implement Stream Error and Timing Operators using .handleError() and .timeout().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9" s="53">
        <v>0</v>
      </c>
      <c r="Q29" s="102" t="str">
        <f t="shared" si="6"/>
        <v>[ROLE] Tech Lead | [TASK] Assign incomplete Dart Concurrency &amp; Asynchrony script challenges | [TOPIC] Implement Stream Error and Timing Operators using .handleError() and .timeout().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#21 | Stage 3 🧩 Complete | Dart Concurrency &amp; Asynchrony | 📊 Level: Advanced | 🌐 Coding5s.com
**Concept:** Stream Error &amp; Timing Operators (.handleError(), .timeout())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Stream Error and Timing Operators using .handleError() and .timeout()..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9" s="103" t="str">
        <f t="shared" si="7"/>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Stream Error and Timing Operators using .handleError() and .timeout().. Topic details: Stream Error &amp; Timing Operators (.handleError(), .timeout())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Dart Concurrency &amp; Asynchrony | 📊 Level: Advanced
**Topic:** Implement Stream Error and Timing Operators using .handleError() and .timeout().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9" s="53">
        <v>0</v>
      </c>
      <c r="T29" s="102" t="str">
        <f t="shared" si="8"/>
        <v>[ROLE] Tech Lead | [TASK] Provide intentionally messy but functional code for learning debugging and improvement | [TOPIC] Implement Stream Error and Timing Operators using .handleError() and .timeout().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Dart Concurrency &amp; Asynchrony | 📊 Level: Advanced | 🌐 Coding5s.com
**Concept:** Stream Error &amp; Timing Operators (.handleError(), .timeout())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Stream Error and Timing Operators using .handleError() and .timeout().. Topic details: Stream Error &amp; Timing Operators (.handleError(), .timeout())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Dart Concurrency &amp; Asynchrony | 📊 Level: Advanced
**Topic:** Implement Stream Error and Timing Operators using .handleError() and .timeout().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9" s="53">
        <v>0</v>
      </c>
      <c r="W29" s="87" t="str">
        <f t="shared" si="10"/>
        <v>[ROLE] Tech Product Manager assigning a Dart Concurrency &amp; Asynchrony Jira Ticket | [TASK] Provide a guided implementation exercise with full solution for learning purposes | [TOPIC] Implement Stream Error and Timing Operators using .handleError() and .timeout().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Dart Concurrency &amp; Asynchrony | 📊 Level: Advanced | 🌐 Coding5s.com
**Concept:** Stream Error &amp; Timing Operators (.handleError(), .timeout())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Stream Error and Timing Operators using .handleError() and .timeout().. Goal: Stream Error &amp; Timing Operators (.handleError(), .timeout())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Dart Concurrency &amp; Asynchrony | 📊 Level: Advanced
**Topic:** Implement Stream Error and Timing Operators using .handleError() and .timeout().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9" s="53">
        <v>0</v>
      </c>
      <c r="Z29" s="56" t="str">
        <f t="shared" si="12"/>
        <v/>
      </c>
      <c r="AA29" s="56" t="str">
        <f t="shared" si="13"/>
        <v/>
      </c>
      <c r="AB29" s="56" t="str">
        <f t="shared" si="14"/>
        <v/>
      </c>
      <c r="AC29" s="56" t="str">
        <f t="shared" si="15"/>
        <v/>
      </c>
      <c r="AD29" s="56" t="str">
        <f t="shared" si="16"/>
        <v/>
      </c>
      <c r="AE29" s="40" t="s">
        <v>149</v>
      </c>
      <c r="AF29" s="40" t="s">
        <v>150</v>
      </c>
      <c r="AG29" s="40" t="s">
        <v>151</v>
      </c>
      <c r="AH29" s="56" t="str">
        <f t="shared" si="0"/>
        <v/>
      </c>
      <c r="AI29" s="54"/>
      <c r="AJ29" s="54"/>
      <c r="AK29" s="54">
        <v>21</v>
      </c>
      <c r="AL29" s="54" t="s">
        <v>113</v>
      </c>
      <c r="AM29" s="54" t="s">
        <v>114</v>
      </c>
    </row>
    <row r="30" spans="1:39">
      <c r="A30" s="45" t="str" cm="1">
        <f t="array" ref="A30">IF(H30="PROJECT", CHAR(10) &amp; "- " &amp; _xlfn.TEXTJOIN(CHAR(10) &amp; "- ", TRUE, _xlfn._xlws.FILTER($I$9:$I$1000, ($B$9:$B$1000=B30) * ($H$9:$H$1000="Topic"))), "")</f>
        <v/>
      </c>
      <c r="B30" s="45">
        <f t="shared" si="1"/>
        <v>3</v>
      </c>
      <c r="C30" s="95">
        <v>20</v>
      </c>
      <c r="D30" s="57">
        <v>5</v>
      </c>
      <c r="E30" s="58" t="s">
        <v>46</v>
      </c>
      <c r="F30" s="59">
        <v>22</v>
      </c>
      <c r="G30" s="60" t="s">
        <v>159</v>
      </c>
      <c r="H30" s="60" t="s">
        <v>48</v>
      </c>
      <c r="I30" s="61" t="s">
        <v>813</v>
      </c>
      <c r="J30" s="62" t="s">
        <v>814</v>
      </c>
      <c r="K30" s="129" t="str">
        <f t="shared" si="2"/>
        <v xml:space="preserve">[ROLE] Friendly tutor specializing in Dart Concurrency &amp; Asynchrony | [TOPIC] Implement Stream Aggregation using .toList(), .fold(), .reduce() and .length. | [LEVEL] Advanced | [COUNT] 5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Dart Concurrency &amp; Asynchrony | 📊 Level: Advanced | 🌐 Coding5s.com
**Concept:** Stream Aggregation (.toList(), .fold(), .reduce(), .length)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0" s="103" t="str">
        <f t="shared" si="3"/>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Stream Aggregation using .toList(), .fold(), .reduce() and .length.. Topic details: Stream Aggregation (.toList(), .fold(), .reduce(), .length)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Dart Concurrency &amp; Asynchrony | 📊 Level: Advanced
**Topic:** Implement Stream Aggregation using .toList(), .fold(), .reduce() and .length.
---
 | [FOOTER RULE - STRICT] End your response with: '--- ⚡ *Coding5s Mentor System — Eliminating Epistemic Debt*' | </v>
      </c>
      <c r="M30" s="52">
        <v>0</v>
      </c>
      <c r="N30" s="102" t="str">
        <f t="shared" si="4"/>
        <v>[ROLE] Careless Dart Concurrency &amp; Asynchrony Developer | [TASK] Generate debugging challenges in Dart Concurrency &amp; Asynchrony | | [TOPIC] Implement Stream Aggregation using .toList(), .fold(), .reduce() and .length. | | [LEVEL] Advanced | | [COUNT] 5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#22 | Stage 2 🐛 Debug | Dart Concurrency &amp; Asynchrony | 📊 Level: Advanced | 🌐 Coding5s.com
Concept: Stream Aggregation (.toList(), .fold(), .reduce(), .length)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0" s="103" t="str">
        <f t="shared" si="5"/>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Stream Aggregation using .toList(), .fold(), .reduce() and .length.. Topic details: Stream Aggregation (.toList(), .fold(), .reduce(), .length)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Dart Concurrency &amp; Asynchrony | 📊 Level: Advanced
**Topic:** Implement Stream Aggregation using .toList(), .fold(), .reduce() and .length.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0" s="52">
        <v>0</v>
      </c>
      <c r="Q30" s="102" t="str">
        <f t="shared" si="6"/>
        <v>[ROLE] Tech Lead | [TASK] Assign incomplete Dart Concurrency &amp; Asynchrony script challenges | [TOPIC] Implement Stream Aggregation using .toList(), .fold(), .reduce() and .length. | [LEVEL] Advanced | [COUNT] 5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#22 | Stage 3 🧩 Complete | Dart Concurrency &amp; Asynchrony | 📊 Level: Advanced | 🌐 Coding5s.com
**Concept:** Stream Aggregation (.toList(), .fold(), .reduce(), .length)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Stream Aggregation using .toList(), .fold(), .reduce() and .length..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0" s="103" t="str">
        <f t="shared" si="7"/>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Stream Aggregation using .toList(), .fold(), .reduce() and .length.. Topic details: Stream Aggregation (.toList(), .fold(), .reduce(), .length)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Dart Concurrency &amp; Asynchrony | 📊 Level: Advanced
**Topic:** Implement Stream Aggregation using .toList(), .fold(), .reduce() and .length.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0" s="52">
        <v>0</v>
      </c>
      <c r="T30" s="102" t="str">
        <f t="shared" si="8"/>
        <v>[ROLE] Tech Lead | [TASK] Provide intentionally messy but functional code for learning debugging and improvement | [TOPIC] Implement Stream Aggregation using .toList(), .fold(), .reduce() and .length. | [LEVEL] Advanced | [COUNT] 5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Dart Concurrency &amp; Asynchrony | 📊 Level: Advanced | 🌐 Coding5s.com
**Concept:** Stream Aggregation (.toList(), .fold(), .reduce(), .length)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Stream Aggregation using .toList(), .fold(), .reduce() and .length.. Topic details: Stream Aggregation (.toList(), .fold(), .reduce(), .length)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Dart Concurrency &amp; Asynchrony | 📊 Level: Advanced
**Topic:** Implement Stream Aggregation using .toList(), .fold(), .reduce() and .length.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0" s="52">
        <v>0</v>
      </c>
      <c r="W30" s="87" t="str">
        <f t="shared" si="10"/>
        <v>[ROLE] Tech Product Manager assigning a Dart Concurrency &amp; Asynchrony Jira Ticket | [TASK] Provide a guided implementation exercise with full solution for learning purposes | [TOPIC] Implement Stream Aggregation using .toList(), .fold(), .reduce() and .length.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Dart Concurrency &amp; Asynchrony | 📊 Level: Advanced | 🌐 Coding5s.com
**Concept:** Stream Aggregation (.toList(), .fold(), .reduce(), .length)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Stream Aggregation using .toList(), .fold(), .reduce() and .length.. Goal: Stream Aggregation (.toList(), .fold(), .reduce(), .length)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Dart Concurrency &amp; Asynchrony | 📊 Level: Advanced
**Topic:** Implement Stream Aggregation using .toList(), .fold(), .reduce() and .length.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0" s="52">
        <v>0</v>
      </c>
      <c r="Z30" s="56" t="str">
        <f t="shared" si="12"/>
        <v/>
      </c>
      <c r="AA30" s="56" t="str">
        <f t="shared" si="13"/>
        <v/>
      </c>
      <c r="AB30" s="56" t="str">
        <f t="shared" si="14"/>
        <v/>
      </c>
      <c r="AC30" s="56" t="str">
        <f t="shared" si="15"/>
        <v/>
      </c>
      <c r="AD30" s="56" t="str">
        <f t="shared" si="16"/>
        <v/>
      </c>
      <c r="AE30" s="40" t="s">
        <v>152</v>
      </c>
      <c r="AF30" s="40" t="s">
        <v>153</v>
      </c>
      <c r="AG30" s="40" t="s">
        <v>154</v>
      </c>
      <c r="AH30" s="56" t="str">
        <f t="shared" si="0"/>
        <v/>
      </c>
      <c r="AI30" s="54"/>
      <c r="AJ30" s="54"/>
      <c r="AK30" s="54">
        <v>22</v>
      </c>
      <c r="AL30" s="54" t="s">
        <v>118</v>
      </c>
      <c r="AM30" s="54" t="s">
        <v>119</v>
      </c>
    </row>
    <row r="31" spans="1:39">
      <c r="A31" s="45" t="str" cm="1">
        <f t="array" ref="A31">IF(H31="PROJECT", CHAR(10) &amp; "- " &amp; _xlfn.TEXTJOIN(CHAR(10) &amp; "- ", TRUE, _xlfn._xlws.FILTER($I$9:$I$1000, ($B$9:$B$1000=B31) * ($H$9:$H$1000="Topic"))), "")</f>
        <v/>
      </c>
      <c r="B31" s="45">
        <f t="shared" si="1"/>
        <v>3</v>
      </c>
      <c r="C31" s="95">
        <v>18</v>
      </c>
      <c r="D31" s="46">
        <v>4</v>
      </c>
      <c r="E31" s="58" t="s">
        <v>46</v>
      </c>
      <c r="F31" s="48">
        <v>23</v>
      </c>
      <c r="G31" s="49" t="s">
        <v>159</v>
      </c>
      <c r="H31" s="49" t="s">
        <v>48</v>
      </c>
      <c r="I31" s="50" t="s">
        <v>815</v>
      </c>
      <c r="J31" s="51" t="s">
        <v>816</v>
      </c>
      <c r="K31" s="129" t="str">
        <f t="shared" si="2"/>
        <v xml:space="preserve">[ROLE] Friendly tutor specializing in Dart Concurrency &amp; Asynchrony | [TOPIC] Implement Broadcast Streams Initialization using .asBroadcastStream() and StreamController.broadcast().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Dart Concurrency &amp; Asynchrony | 📊 Level: Advanced | 🌐 Coding5s.com
**Concept:** Broadcast Streams Initialization (.asBroadcastStream(), StreamController.broadcast())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1" s="103" t="str">
        <f t="shared" si="3"/>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Broadcast Streams Initialization using .asBroadcastStream() and StreamController.broadcast().. Topic details: Broadcast Streams Initialization (.asBroadcastStream(), StreamController.broadcast())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Dart Concurrency &amp; Asynchrony | 📊 Level: Advanced
**Topic:** Implement Broadcast Streams Initialization using .asBroadcastStream() and StreamController.broadcast().
---
 | [FOOTER RULE - STRICT] End your response with: '--- ⚡ *Coding5s Mentor System — Eliminating Epistemic Debt*' | </v>
      </c>
      <c r="M31" s="53">
        <v>0</v>
      </c>
      <c r="N31" s="102" t="str">
        <f t="shared" si="4"/>
        <v>[ROLE] Careless Dart Concurrency &amp; Asynchrony Developer | [TASK] Generate debugging challenges in Dart Concurrency &amp; Asynchrony | | [TOPIC] Implement Broadcast Streams Initialization using .asBroadcastStream() and StreamController.broadcast().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#23 | Stage 2 🐛 Debug | Dart Concurrency &amp; Asynchrony | 📊 Level: Advanced | 🌐 Coding5s.com
Concept: Broadcast Streams Initialization (.asBroadcastStream(), StreamController.broadcast())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1" s="103" t="str">
        <f t="shared" si="5"/>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Broadcast Streams Initialization using .asBroadcastStream() and StreamController.broadcast().. Topic details: Broadcast Streams Initialization (.asBroadcastStream(), StreamController.broadcast())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Dart Concurrency &amp; Asynchrony | 📊 Level: Advanced
**Topic:** Implement Broadcast Streams Initialization using .asBroadcastStream() and StreamController.broadcast().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1" s="53">
        <v>0</v>
      </c>
      <c r="Q31" s="102" t="str">
        <f t="shared" si="6"/>
        <v>[ROLE] Tech Lead | [TASK] Assign incomplete Dart Concurrency &amp; Asynchrony script challenges | [TOPIC] Implement Broadcast Streams Initialization using .asBroadcastStream() and StreamController.broadcast().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#23 | Stage 3 🧩 Complete | Dart Concurrency &amp; Asynchrony | 📊 Level: Advanced | 🌐 Coding5s.com
**Concept:** Broadcast Streams Initialization (.asBroadcastStream(), StreamController.broadcast())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Broadcast Streams Initialization using .asBroadcastStream() and StreamController.broadcast()..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1" s="103" t="str">
        <f t="shared" si="7"/>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Broadcast Streams Initialization using .asBroadcastStream() and StreamController.broadcast().. Topic details: Broadcast Streams Initialization (.asBroadcastStream(), StreamController.broadcast())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Dart Concurrency &amp; Asynchrony | 📊 Level: Advanced
**Topic:** Implement Broadcast Streams Initialization using .asBroadcastStream() and StreamController.broadcast().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1" s="53">
        <v>0</v>
      </c>
      <c r="T31" s="102" t="str">
        <f t="shared" si="8"/>
        <v>[ROLE] Tech Lead | [TASK] Provide intentionally messy but functional code for learning debugging and improvement | [TOPIC] Implement Broadcast Streams Initialization using .asBroadcastStream() and StreamController.broadcast().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Dart Concurrency &amp; Asynchrony | 📊 Level: Advanced | 🌐 Coding5s.com
**Concept:** Broadcast Streams Initialization (.asBroadcastStream(), StreamController.broadcast())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Broadcast Streams Initialization using .asBroadcastStream() and StreamController.broadcast().. Topic details: Broadcast Streams Initialization (.asBroadcastStream(), StreamController.broadcast())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Dart Concurrency &amp; Asynchrony | 📊 Level: Advanced
**Topic:** Implement Broadcast Streams Initialization using .asBroadcastStream() and StreamController.broadcast().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1" s="53">
        <v>0</v>
      </c>
      <c r="W31" s="87" t="str">
        <f t="shared" si="10"/>
        <v>[ROLE] Tech Product Manager assigning a Dart Concurrency &amp; Asynchrony Jira Ticket | [TASK] Provide a guided implementation exercise with full solution for learning purposes | [TOPIC] Implement Broadcast Streams Initialization using .asBroadcastStream() and StreamController.broadcast().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Dart Concurrency &amp; Asynchrony | 📊 Level: Advanced | 🌐 Coding5s.com
**Concept:** Broadcast Streams Initialization (.asBroadcastStream(), StreamController.broadcast())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Broadcast Streams Initialization using .asBroadcastStream() and StreamController.broadcast().. Goal: Broadcast Streams Initialization (.asBroadcastStream(), StreamController.broadcast())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Dart Concurrency &amp; Asynchrony | 📊 Level: Advanced
**Topic:** Implement Broadcast Streams Initialization using .asBroadcastStream() and StreamController.broadcast().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1" s="53">
        <v>0</v>
      </c>
      <c r="Z31" s="56" t="str">
        <f t="shared" si="12"/>
        <v/>
      </c>
      <c r="AA31" s="56" t="str">
        <f t="shared" si="13"/>
        <v/>
      </c>
      <c r="AB31" s="56" t="str">
        <f t="shared" si="14"/>
        <v/>
      </c>
      <c r="AC31" s="56" t="str">
        <f t="shared" si="15"/>
        <v/>
      </c>
      <c r="AD31" s="56" t="str">
        <f t="shared" si="16"/>
        <v/>
      </c>
      <c r="AE31" s="40" t="s">
        <v>155</v>
      </c>
      <c r="AF31" s="40" t="s">
        <v>156</v>
      </c>
      <c r="AG31" s="40" t="s">
        <v>157</v>
      </c>
      <c r="AH31" s="56" t="str">
        <f t="shared" si="0"/>
        <v/>
      </c>
      <c r="AI31" s="54"/>
      <c r="AJ31" s="54"/>
      <c r="AK31" s="54">
        <v>23</v>
      </c>
      <c r="AL31" s="54" t="s">
        <v>123</v>
      </c>
      <c r="AM31" s="54" t="s">
        <v>124</v>
      </c>
    </row>
    <row r="32" spans="1:39">
      <c r="A32" s="45" t="str" cm="1">
        <f t="array" ref="A32">IF(H32="PROJECT", CHAR(10) &amp; "- " &amp; _xlfn.TEXTJOIN(CHAR(10) &amp; "- ", TRUE, _xlfn._xlws.FILTER($I$9:$I$1000, ($B$9:$B$1000=B32) * ($H$9:$H$1000="Topic"))), "")</f>
        <v xml:space="preserve">
- Implement StreamController Operations using StreamController(), .add(), .addError() and .close().
- Implement StreamController Subscription Callbacks using onListen, onPause, onResume and onCancel.
- Implement Synchronous Transformations using .map(), .where(), .expand() and .cast().
- Implement Asynchronous Transformations using .asyncMap(), .asyncExpand(), .take() and .skip().
- Implement Stream Error and Timing Operators using .handleError() and .timeout().
- Implement Stream Aggregation using .toList(), .fold(), .reduce() and .length.
- Implement Broadcast Streams Initialization using .asBroadcastStream() and StreamController.broadcast().</v>
      </c>
      <c r="B32" s="45">
        <f t="shared" si="1"/>
        <v>3</v>
      </c>
      <c r="C32" s="95">
        <v>32</v>
      </c>
      <c r="D32" s="57">
        <v>0</v>
      </c>
      <c r="E32" s="58" t="s">
        <v>46</v>
      </c>
      <c r="F32" s="59">
        <v>24</v>
      </c>
      <c r="G32" s="60" t="s">
        <v>159</v>
      </c>
      <c r="H32" s="60" t="s">
        <v>77</v>
      </c>
      <c r="I32" s="61" t="s">
        <v>817</v>
      </c>
      <c r="J32" s="62" t="s">
        <v>818</v>
      </c>
      <c r="K32" s="129" t="str">
        <f t="shared" si="2"/>
        <v>[TASK] Teach through a practical Dart Concurrency &amp; Asynchrony -  project following the micro-learning methodology, acting as a supportive tutor, creating a project about  Develop a multi-subscriber data pipeline consolidating StreamController Operations, Subscription Callbacks, Synchronous Transformations, Asynchronous Transformations, Error Operators, Aggregation and Broadcast Streams. | [TOPICS USED] 
- Implement StreamController Operations using StreamController(), .add(), .addError() and .close().
- Implement StreamController Subscription Callbacks using onListen, onPause, onResume and onCancel.
- Implement Synchronous Transformations using .map(), .where(), .expand() and .cast().
- Implement Asynchronous Transformations using .asyncMap(), .asyncExpand(), .take() and .skip().
- Implement Stream Error and Timing Operators using .handleError() and .timeout().
- Implement Stream Aggregation using .toList(), .fold(), .reduce() and .length.
- Implement Broadcast Streams Initialization using .asBroadcastStream() and StreamController.broadcast().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asynchronous primitives, Futures, Streams, async/await flows, and isolate execution models utilizing top-level main(). at the top of the code block. Assume no project configuration file exists. | [CODE_CONSTRAINTS_RULE] Standard basic logic validation using native assert statements. | [VISUAL_ARCHITECTURE_COMMENTS] 1. Use visual block tags separating script sections (e.g., '// --- BLOQUE 1: [NAME] ---') to map code to the planning phase. 2. Use comprehensive doc comments using triple slashes ('///') explaining asynchronous parameters, Future return types, and exceptions. 3. CRITICAL: NO comment or docstring line may exceed 80 characters (Effective Dart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Dart Concurrency &amp; Asynchrony | 📊 Level: Advanced | 🌐 Coding5s.com
**Project:** Stream Controllers, Transformations, Aggregation and Broadcast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2" s="103" t="str">
        <f t="shared" si="3"/>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multi-subscriber data pipeline consolidating StreamController Operations, Subscription Callbacks, Synchronous Transformations, Asynchronous Transformations, Error Operators, Aggregation and Broadcast Streams.. Topics applied in this project: 
- Implement StreamController Operations using StreamController(), .add(), .addError() and .close().
- Implement StreamController Subscription Callbacks using onListen, onPause, onResume and onCancel.
- Implement Synchronous Transformations using .map(), .where(), .expand() and .cast().
- Implement Asynchronous Transformations using .asyncMap(), .asyncExpand(), .take() and .skip().
- Implement Stream Error and Timing Operators using .handleError() and .timeout().
- Implement Stream Aggregation using .toList(), .fold(), .reduce() and .length.
- Implement Broadcast Streams Initialization using .asBroadcastStream() and StreamController.broadcast().. Project objective: Stream Controllers, Transformations, Aggregation and Broadcast Project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#24 | Practice | Dart Concurrency &amp; Asynchrony | 📊 Level: Advanced
**Project:** Develop a multi-subscriber data pipeline consolidating StreamController Operations, Subscription Callbacks, Synchronous Transformations, Asynchronous Transformations, Error Operators, Aggregation and Broadcast Streams.
---
 | [FOOTER RULE - STRICT] End your response with: '--- ⚡ *Coding5s Mentor System — Eliminating Epistemic Debt*' | </v>
      </c>
      <c r="M32" s="52">
        <v>0</v>
      </c>
      <c r="N32" s="102" t="str">
        <f t="shared" si="4"/>
        <v>[ROLE] Careless Dart Concurrency &amp; Asynchrony Developer | [TASK] Generate debugging project in Dart Concurrency &amp; Asynchrony | [PROJECT] Develop a multi-subscriber data pipeline consolidating StreamController Operations, Subscription Callbacks, Synchronous Transformations, Asynchronous Transformations, Error Operators, Aggregation and Broadcast Streams. | [TOPICS USED] 
- Implement StreamController Operations using StreamController(), .add(), .addError() and .close().
- Implement StreamController Subscription Callbacks using onListen, onPause, onResume and onCancel.
- Implement Synchronous Transformations using .map(), .where(), .expand() and .cast().
- Implement Asynchronous Transformations using .asyncMap(), .asyncExpand(), .take() and .skip().
- Implement Stream Error and Timing Operators using .handleError() and .timeout().
- Implement Stream Aggregation using .toList(), .fold(), .reduce() and .length.
- Implement Broadcast Streams Initialization using .asBroadcastStream() and StreamController.broadcast(). | [LEVEL] Advanced | [OUTPUT] Only header, dataset summary or statement (if any), email intro, objective, expected output, broken code, and footer | [HEADER RULE - STRICT] You MUST start your entire response EXACTLY with this markdown block (do not print anything before it):
### 🚀 Project #24 | Stage 2 | Dart Concurrency &amp; Asynchrony | 📊 Level: Advanced | 🌐 Coding5s.com
Project: Stream Controllers, Transformations, Aggregation and Broadcast Project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Oromo | [LANGUAGE SEED CONTEXT] Language Seed Not Necessary | [BUG RULE] Simulate a messy Dart concurrency script. The project MUST contain EXACTLY 2-5 bugs mixing unawaited futures, missing async/await keywords, concurrency logic errors, and runtime exceptions. 1. Syntax &amp; Type Errors (e.g., missing semicolons/brackets, returning raw values instead of Futures, unhandled null safety exceptions in streams), 2. Logic Errors (e.g., unawaited async calls causing race conditions, incorrect stream subscription logic, deadlock states), AND 3. Runtime Exceptions (e.g., TimeoutException, StateError on closed controllers, IsolateSpawnException, FormatException).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Concurrency &amp; Asynchrony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2" s="103" t="str">
        <f t="shared" si="5"/>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multi-subscriber data pipeline consolidating StreamController Operations, Subscription Callbacks, Synchronous Transformations, Asynchronous Transformations, Error Operators, Aggregation and Broadcast Streams.. Topics involved: 
- Implement StreamController Operations using StreamController(), .add(), .addError() and .close().
- Implement StreamController Subscription Callbacks using onListen, onPause, onResume and onCancel.
- Implement Synchronous Transformations using .map(), .where(), .expand() and .cast().
- Implement Asynchronous Transformations using .asyncMap(), .asyncExpand(), .take() and .skip().
- Implement Stream Error and Timing Operators using .handleError() and .timeout().
- Implement Stream Aggregation using .toList(), .fold(), .reduce() and .length.
- Implement Broadcast Streams Initialization using .asBroadcastStream() and StreamController.broadcast().. Project objective: Stream Controllers, Transformations, Aggregation and Broadcast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#24 | Debug | Dart Concurrency &amp; Asynchrony | 📊 Level: Advanced
**Project:** Develop a multi-subscriber data pipeline consolidating StreamController Operations, Subscription Callbacks, Synchronous Transformations, Asynchronous Transformations, Error Operators, Aggregation and Broadcast Streams.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2" s="52">
        <v>0</v>
      </c>
      <c r="Q32" s="102" t="str">
        <f t="shared" si="6"/>
        <v>[ROLE] Tech Lead | [TASK] Assign incomplete project script | [PROJECT] Develop a multi-subscriber data pipeline consolidating StreamController Operations, Subscription Callbacks, Synchronous Transformations, Asynchronous Transformations, Error Operators, Aggregation and Broadcast Streams. | [TOPICS USED] 
- Implement StreamController Operations using StreamController(), .add(), .addError() and .close().
- Implement StreamController Subscription Callbacks using onListen, onPause, onResume and onCancel.
- Implement Synchronous Transformations using .map(), .where(), .expand() and .cast().
- Implement Asynchronous Transformations using .asyncMap(), .asyncExpand(), .take() and .skip().
- Implement Stream Error and Timing Operators using .handleError() and .timeout().
- Implement Stream Aggregation using .toList(), .fold(), .reduce() and .length.
- Implement Broadcast Streams Initialization using .asBroadcastStream() and StreamController.broadcast(). | [LEVEL] Advanced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#24 | Stage 3 | Dart Concurrency &amp; Asynchrony | 📊 Level: Advanced | 🌐 Coding5s.com
**Project:** Stream Controllers, Transformations, Aggregation and Broadcast Project
---
 | [EXTERNAL_PACKAGE_PROTOCOL] Require standard dart pub tooling and pubspec.yaml file for external dependencies when applicable. | [CHALLENGE_CONSTRAINTS_POLICY] MUST be between 25-40 lines of EXECUTABLE base Dart code (STRICT: Do NOT count comments or // TODO blocks). 40–100 Asynchronous and concurrent script flow. Require at least 1 async worker or stream pipeline.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Concurrency &amp; Asynchrony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2" s="103" t="str">
        <f t="shared" si="7"/>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multi-subscriber data pipeline consolidating StreamController Operations, Subscription Callbacks, Synchronous Transformations, Asynchronous Transformations, Error Operators, Aggregation and Broadcast Streams.. Topics involved: 
- Implement StreamController Operations using StreamController(), .add(), .addError() and .close().
- Implement StreamController Subscription Callbacks using onListen, onPause, onResume and onCancel.
- Implement Synchronous Transformations using .map(), .where(), .expand() and .cast().
- Implement Asynchronous Transformations using .asyncMap(), .asyncExpand(), .take() and .skip().
- Implement Stream Error and Timing Operators using .handleError() and .timeout().
- Implement Stream Aggregation using .toList(), .fold(), .reduce() and .length.
- Implement Broadcast Streams Initialization using .asBroadcastStream() and StreamController.broadcast().. Project objective: Stream Controllers, Transformations, Aggregation and Broadcast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#24 | Complete | Dart Concurrency &amp; Asynchrony | 📊 Level: Advanced
**Project:** Develop a multi-subscriber data pipeline consolidating StreamController Operations, Subscription Callbacks, Synchronous Transformations, Asynchronous Transformations, Error Operators, Aggregation and Broadcast Streams.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2" s="52">
        <v>0</v>
      </c>
      <c r="T32" s="102" t="str">
        <f t="shared" si="8"/>
        <v>[ROLE] Tech Lead | [TASK] Provide a messy but functional project for refactoring | [PROJECT] Develop a multi-subscriber data pipeline consolidating StreamController Operations, Subscription Callbacks, Synchronous Transformations, Asynchronous Transformations, Error Operators, Aggregation and Broadcast Streams. | [TOPICS USED] 
- Implement StreamController Operations using StreamController(), .add(), .addError() and .close().
- Implement StreamController Subscription Callbacks using onListen, onPause, onResume and onCancel.
- Implement Synchronous Transformations using .map(), .where(), .expand() and .cast().
- Implement Asynchronous Transformations using .asyncMap(), .asyncExpand(), .take() and .skip().
- Implement Stream Error and Timing Operators using .handleError() and .timeout().
- Implement Stream Aggregation using .toList(), .fold(), .reduce() and .length.
- Implement Broadcast Streams Initialization using .asBroadcastStream() and StreamController.broadcast(). | [LEVEL] Advanced | [PERSONA RULE] Act as a Tech Lead. A junior wrote this working but messy code. Tone: professional but exhausted | [HEADER RULE - STRICT] You MUST start your entire response EXACTLY with this markdown block (do not print anything before it):
### 🚀 Project #24 | Stage 4 | Dart Concurrency &amp; Asynchrony | 📊 Level: Advanced | 🌐 Coding5s.com
**Project:** Stream Controllers, Transformations, Aggregation and Broadcast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Concurrency &amp; Asynchrony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PROJECT: Develop a multi-subscriber data pipeline consolidating StreamController Operations, Subscription Callbacks, Synchronous Transformations, Asynchronous Transformations, Error Operators, Aggregation and Broadcast Streams.. Topics involved: 
- Implement StreamController Operations using StreamController(), .add(), .addError() and .close().
- Implement StreamController Subscription Callbacks using onListen, onPause, onResume and onCancel.
- Implement Synchronous Transformations using .map(), .where(), .expand() and .cast().
- Implement Asynchronous Transformations using .asyncMap(), .asyncExpand(), .take() and .skip().
- Implement Stream Error and Timing Operators using .handleError() and .timeout().
- Implement Stream Aggregation using .toList(), .fold(), .reduce() and .length.
- Implement Broadcast Streams Initialization using .asBroadcastStream() and StreamController.broadcast().. Project objective: Stream Controllers, Transformations, Aggregation and Broadcast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#24 | Refactor | Dart Concurrency &amp; Asynchrony | 📊 Level: Advanced
**Project:** Develop a multi-subscriber data pipeline consolidating StreamController Operations, Subscription Callbacks, Synchronous Transformations, Asynchronous Transformations, Error Operators, Aggregation and Broadcast Streams.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2" s="52">
        <v>0</v>
      </c>
      <c r="W32" s="87" t="str">
        <f t="shared" si="10"/>
        <v>[ROLE] Tech Product Manager assigning a Dart Concurrency &amp; Asynchrony Jira Ticket | [TASK] Provide a guided project implementation with full solution | [PROJECT] Develop a multi-subscriber data pipeline consolidating StreamController Operations, Subscription Callbacks, Synchronous Transformations, Asynchronous Transformations, Error Operators, Aggregation and Broadcast Streams. | [TOPICS USED] 
- Implement StreamController Operations using StreamController(), .add(), .addError() and .close().
- Implement StreamController Subscription Callbacks using onListen, onPause, onResume and onCancel.
- Implement Synchronous Transformations using .map(), .where(), .expand() and .cast().
- Implement Asynchronous Transformations using .asyncMap(), .asyncExpand(), .take() and .skip().
- Implement Stream Error and Timing Operators using .handleError() and .timeout().
- Implement Stream Aggregation using .toList(), .fold(), .reduce() and .length.
- Implement Broadcast Streams Initialization using .asBroadcastStream() and StreamController.broadcast(). | [LEVEL] Advanced | [PERSONA RULE] Act as a professional Tech Product Manager defining a project ticket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[HEADER RULE - STRICT] You MUST start your entire response EXACTLY with this markdown block (do not print anything before it):
### 🚀 Project #24 | Stage 5 | Dart Concurrency &amp; Asynchrony | 📊 Level: Advanced | 🌐 Coding5s.com
**Project:** Stream Controllers, Transformations, Aggregation and Broadcast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Concurrency &amp; Asynchrony Dev']
Subject: Assignment Details
Hello [Insert my user name if known, otherwise use 'Dart Concurrency &amp; Asynchrony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multi-subscriber data pipeline consolidating StreamController Operations, Subscription Callbacks, Synchronous Transformations, Asynchronous Transformations, Error Operators, Aggregation and Broadcast Streams.. Topics integrated: 
- Implement StreamController Operations using StreamController(), .add(), .addError() and .close().
- Implement StreamController Subscription Callbacks using onListen, onPause, onResume and onCancel.
- Implement Synchronous Transformations using .map(), .where(), .expand() and .cast().
- Implement Asynchronous Transformations using .asyncMap(), .asyncExpand(), .take() and .skip().
- Implement Stream Error and Timing Operators using .handleError() and .timeout().
- Implement Stream Aggregation using .toList(), .fold(), .reduce() and .length.
- Implement Broadcast Streams Initialization using .asBroadcastStream() and StreamController.broadcast().. Business Goal: Stream Controllers, Transformations, Aggregation and Broadcast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#24 | Extend | Dart Concurrency &amp; Asynchrony | 📊 Level: Advanced
**Project:** Develop a multi-subscriber data pipeline consolidating StreamController Operations, Subscription Callbacks, Synchronous Transformations, Asynchronous Transformations, Error Operators, Aggregation and Broadcast Streams.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2" s="52">
        <v>0</v>
      </c>
      <c r="Z32" s="56" t="str">
        <f t="shared" si="12"/>
        <v>[TASK] Teach through a practical Dart Concurrency &amp; Asynchrony -  project following the micro-learning methodology, acting as a supportive tutor, creating a project about  Develop a multi-subscriber data pipeline consolidating StreamController Operations, Subscription Callbacks, Synchronous Transformations, Asynchronous Transformations, Error Operators, Aggregation and Broadcast Streams. | [TOPICS USED] 
- Implement StreamController Operations using StreamController(), .add(), .addError() and .close().
- Implement StreamController Subscription Callbacks using onListen, onPause, onResume and onCancel.
- Implement Synchronous Transformations using .map(), .where(), .expand() and .cast().
- Implement Asynchronous Transformations using .asyncMap(), .asyncExpand(), .take() and .skip().
- Implement Stream Error and Timing Operators using .handleError() and .timeout().
- Implement Stream Aggregation using .toList(), .fold(), .reduce() and .length.
- Implement Broadcast Streams Initialization using .asBroadcastStream() and StreamController.broadcast().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asynchronous primitives, Futures, Streams, async/await flows, and isolate execution models utilizing top-level main(). at the top of the code block. Assume no project configuration file exists. | [CODE_CONSTRAINTS_RULE] Standard basic logic validation using native assert statements. | [VISUAL_ARCHITECTURE_COMMENTS] 1. Use visual block tags separating script sections (e.g., '// --- BLOQUE 1: [NAME] ---') to map code to the planning phase. 2. Use comprehensive doc comments using triple slashes ('///') explaining asynchronous parameters, Future return types, and exceptions. 3. CRITICAL: NO comment or docstring line may exceed 80 characters (Effective Dart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Dart Concurrency &amp; Asynchrony | 📊 Level: Advanced | 🌐 Coding5s.com
**Project:** Stream Controllers, Transformations, Aggregation and Broadcast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2" s="56" t="str">
        <f t="shared" si="13"/>
        <v>[ROLE] Careless Dart Concurrency &amp; Asynchrony Developer | [TASK] Generate debugging project in Dart Concurrency &amp; Asynchrony | [PROJECT] Develop a multi-subscriber data pipeline consolidating StreamController Operations, Subscription Callbacks, Synchronous Transformations, Asynchronous Transformations, Error Operators, Aggregation and Broadcast Streams. | [TOPICS USED] 
- Implement StreamController Operations using StreamController(), .add(), .addError() and .close().
- Implement StreamController Subscription Callbacks using onListen, onPause, onResume and onCancel.
- Implement Synchronous Transformations using .map(), .where(), .expand() and .cast().
- Implement Asynchronous Transformations using .asyncMap(), .asyncExpand(), .take() and .skip().
- Implement Stream Error and Timing Operators using .handleError() and .timeout().
- Implement Stream Aggregation using .toList(), .fold(), .reduce() and .length.
- Implement Broadcast Streams Initialization using .asBroadcastStream() and StreamController.broadcast(). | [LEVEL] Advanced | [OUTPUT] Only header, dataset summary or statement (if any), email intro, objective, expected output, broken code, and footer | [HEADER RULE - STRICT] You MUST start your entire response EXACTLY with this markdown block (do not print anything before it):
### 🚀 Project #24 | Stage 2 | Dart Concurrency &amp; Asynchrony | 📊 Level: Advanced | 🌐 Coding5s.com
Project: Stream Controllers, Transformations, Aggregation and Broadcast Project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Oromo | [LANGUAGE SEED CONTEXT] Language Seed Not Necessary | [BUG RULE] Simulate a messy Dart concurrency script. The project MUST contain EXACTLY 2-5 bugs mixing unawaited futures, missing async/await keywords, concurrency logic errors, and runtime exceptions. 1. Syntax &amp; Type Errors (e.g., missing semicolons/brackets, returning raw values instead of Futures, unhandled null safety exceptions in streams), 2. Logic Errors (e.g., unawaited async calls causing race conditions, incorrect stream subscription logic, deadlock states), AND 3. Runtime Exceptions (e.g., TimeoutException, StateError on closed controllers, IsolateSpawnException, FormatException).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Concurrency &amp; Asynchrony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2" s="56" t="str">
        <f t="shared" si="14"/>
        <v>[ROLE] Tech Lead | [TASK] Assign incomplete project script | [PROJECT] Develop a multi-subscriber data pipeline consolidating StreamController Operations, Subscription Callbacks, Synchronous Transformations, Asynchronous Transformations, Error Operators, Aggregation and Broadcast Streams. | [TOPICS USED] 
- Implement StreamController Operations using StreamController(), .add(), .addError() and .close().
- Implement StreamController Subscription Callbacks using onListen, onPause, onResume and onCancel.
- Implement Synchronous Transformations using .map(), .where(), .expand() and .cast().
- Implement Asynchronous Transformations using .asyncMap(), .asyncExpand(), .take() and .skip().
- Implement Stream Error and Timing Operators using .handleError() and .timeout().
- Implement Stream Aggregation using .toList(), .fold(), .reduce() and .length.
- Implement Broadcast Streams Initialization using .asBroadcastStream() and StreamController.broadcast(). | [LEVEL] Advanced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#24 | Stage 3 | Dart Concurrency &amp; Asynchrony | 📊 Level: Advanced | 🌐 Coding5s.com
**Project:** Stream Controllers, Transformations, Aggregation and Broadcast Project
---
 | [EXTERNAL_PACKAGE_PROTOCOL] Require standard dart pub tooling and pubspec.yaml file for external dependencies when applicable. | [CHALLENGE_CONSTRAINTS_POLICY] MUST be between 25-40 lines of EXECUTABLE base Dart code (STRICT: Do NOT count comments or // TODO blocks). 40–100 Asynchronous and concurrent script flow. Require at least 1 async worker or stream pipeline.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Concurrency &amp; Asynchrony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2" s="56" t="str">
        <f t="shared" si="15"/>
        <v>[ROLE] Tech Lead | [TASK] Provide a messy but functional project for refactoring | [PROJECT] Develop a multi-subscriber data pipeline consolidating StreamController Operations, Subscription Callbacks, Synchronous Transformations, Asynchronous Transformations, Error Operators, Aggregation and Broadcast Streams. | [TOPICS USED] 
- Implement StreamController Operations using StreamController(), .add(), .addError() and .close().
- Implement StreamController Subscription Callbacks using onListen, onPause, onResume and onCancel.
- Implement Synchronous Transformations using .map(), .where(), .expand() and .cast().
- Implement Asynchronous Transformations using .asyncMap(), .asyncExpand(), .take() and .skip().
- Implement Stream Error and Timing Operators using .handleError() and .timeout().
- Implement Stream Aggregation using .toList(), .fold(), .reduce() and .length.
- Implement Broadcast Streams Initialization using .asBroadcastStream() and StreamController.broadcast(). | [LEVEL] Advanced | [PERSONA RULE] Act as a Tech Lead. A junior wrote this working but messy code. Tone: professional but exhausted | [HEADER RULE - STRICT] You MUST start your entire response EXACTLY with this markdown block (do not print anything before it):
### 🚀 Project #24 | Stage 4 | Dart Concurrency &amp; Asynchrony | 📊 Level: Advanced | 🌐 Coding5s.com
**Project:** Stream Controllers, Transformations, Aggregation and Broadcast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Concurrency &amp; Asynchrony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2" s="56" t="str">
        <f t="shared" si="16"/>
        <v>[ROLE] Tech Product Manager assigning a Dart Concurrency &amp; Asynchrony Jira Ticket | [TASK] Provide a guided project implementation with full solution | [PROJECT] Develop a multi-subscriber data pipeline consolidating StreamController Operations, Subscription Callbacks, Synchronous Transformations, Asynchronous Transformations, Error Operators, Aggregation and Broadcast Streams. | [TOPICS USED] 
- Implement StreamController Operations using StreamController(), .add(), .addError() and .close().
- Implement StreamController Subscription Callbacks using onListen, onPause, onResume and onCancel.
- Implement Synchronous Transformations using .map(), .where(), .expand() and .cast().
- Implement Asynchronous Transformations using .asyncMap(), .asyncExpand(), .take() and .skip().
- Implement Stream Error and Timing Operators using .handleError() and .timeout().
- Implement Stream Aggregation using .toList(), .fold(), .reduce() and .length.
- Implement Broadcast Streams Initialization using .asBroadcastStream() and StreamController.broadcast(). | [LEVEL] Advanced | [PERSONA RULE] Act as a professional Tech Product Manager defining a project ticket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[HEADER RULE - STRICT] You MUST start your entire response EXACTLY with this markdown block (do not print anything before it):
### 🚀 Project #24 | Stage 5 | Dart Concurrency &amp; Asynchrony | 📊 Level: Advanced | 🌐 Coding5s.com
**Project:** Stream Controllers, Transformations, Aggregation and Broadcast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Concurrency &amp; Asynchrony Dev']
Subject: Assignment Details
Hello [Insert my user name if known, otherwise use 'Dart Concurrency &amp; Asynchrony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2" s="40"/>
      <c r="AF32" s="40"/>
      <c r="AG32" s="40"/>
      <c r="AH32" s="56" t="str">
        <f t="shared" si="0"/>
        <v/>
      </c>
      <c r="AI32" s="54"/>
      <c r="AJ32" s="54"/>
      <c r="AK32" s="54">
        <v>24</v>
      </c>
      <c r="AL32" s="54" t="s">
        <v>128</v>
      </c>
      <c r="AM32" s="54" t="s">
        <v>129</v>
      </c>
    </row>
    <row r="33" spans="1:39">
      <c r="A33" s="45" t="str" cm="1">
        <f t="array" ref="A33">IF(H33="PROJECT", CHAR(10) &amp; "- " &amp; _xlfn.TEXTJOIN(CHAR(10) &amp; "- ", TRUE, _xlfn._xlws.FILTER($I$9:$I$1000, ($B$9:$B$1000=B33) * ($H$9:$H$1000="Topic"))), "")</f>
        <v/>
      </c>
      <c r="B33" s="45">
        <f t="shared" si="1"/>
        <v>4</v>
      </c>
      <c r="C33" s="95">
        <v>22</v>
      </c>
      <c r="D33" s="46">
        <v>4</v>
      </c>
      <c r="E33" s="58" t="s">
        <v>710</v>
      </c>
      <c r="F33" s="48">
        <v>25</v>
      </c>
      <c r="G33" s="49" t="s">
        <v>159</v>
      </c>
      <c r="H33" s="49" t="s">
        <v>48</v>
      </c>
      <c r="I33" s="50" t="s">
        <v>819</v>
      </c>
      <c r="J33" s="51" t="s">
        <v>820</v>
      </c>
      <c r="K33" s="129" t="str">
        <f t="shared" si="2"/>
        <v xml:space="preserve">[ROLE] Friendly tutor specializing in Dart Concurrency &amp; Asynchrony | [TOPIC] Implement Asynchronous File Operations using File.readAsString(), File.writeAsString() and File.exists().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Dart Concurrency &amp; Asynchrony | 📊 Level: Advanced | 🌐 Coding5s.com
**Concept:** Asynchronous File Operations (File.readAsString(), File.writeAsString(), File.exists())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3" s="103" t="str">
        <f t="shared" si="3"/>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Asynchronous File Operations using File.readAsString(), File.writeAsString() and File.exists().. Topic details: Asynchronous File Operations (File.readAsString(), File.writeAsString(), File.exists())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Dart Concurrency &amp; Asynchrony | 📊 Level: Advanced
**Topic:** Implement Asynchronous File Operations using File.readAsString(), File.writeAsString() and File.exists().
---
 | [FOOTER RULE - STRICT] End your response with: '--- ⚡ *Coding5s Mentor System — Eliminating Epistemic Debt*' | </v>
      </c>
      <c r="M33" s="53">
        <v>0</v>
      </c>
      <c r="N33" s="102" t="str">
        <f t="shared" si="4"/>
        <v>[ROLE] Careless Dart Concurrency &amp; Asynchrony Developer | [TASK] Generate debugging challenges in Dart Concurrency &amp; Asynchrony | | [TOPIC] Implement Asynchronous File Operations using File.readAsString(), File.writeAsString() and File.exists().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#25 | Stage 2 🐛 Debug | Dart Concurrency &amp; Asynchrony | 📊 Level: Advanced | 🌐 Coding5s.com
Concept: Asynchronous File Operations (File.readAsString(), File.writeAsString(), File.exists())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3" s="103" t="str">
        <f t="shared" si="5"/>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Asynchronous File Operations using File.readAsString(), File.writeAsString() and File.exists().. Topic details: Asynchronous File Operations (File.readAsString(), File.writeAsString(), File.exists())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Dart Concurrency &amp; Asynchrony | 📊 Level: Advanced
**Topic:** Implement Asynchronous File Operations using File.readAsString(), File.writeAsString() and File.exists().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3" s="53">
        <v>0</v>
      </c>
      <c r="Q33" s="102" t="str">
        <f t="shared" si="6"/>
        <v>[ROLE] Tech Lead | [TASK] Assign incomplete Dart Concurrency &amp; Asynchrony script challenges | [TOPIC] Implement Asynchronous File Operations using File.readAsString(), File.writeAsString() and File.exists().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#25 | Stage 3 🧩 Complete | Dart Concurrency &amp; Asynchrony | 📊 Level: Advanced | 🌐 Coding5s.com
**Concept:** Asynchronous File Operations (File.readAsString(), File.writeAsString(), File.exists())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Asynchronous File Operations using File.readAsString(), File.writeAsString() and File.exists()..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3" s="103" t="str">
        <f t="shared" si="7"/>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Asynchronous File Operations using File.readAsString(), File.writeAsString() and File.exists().. Topic details: Asynchronous File Operations (File.readAsString(), File.writeAsString(), File.exists())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Dart Concurrency &amp; Asynchrony | 📊 Level: Advanced
**Topic:** Implement Asynchronous File Operations using File.readAsString(), File.writeAsString() and File.exists().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3" s="53">
        <v>0</v>
      </c>
      <c r="T33" s="102" t="str">
        <f t="shared" si="8"/>
        <v>[ROLE] Tech Lead | [TASK] Provide intentionally messy but functional code for learning debugging and improvement | [TOPIC] Implement Asynchronous File Operations using File.readAsString(), File.writeAsString() and File.exists().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#25 | Stage 4 🧹 Refactor | Dart Concurrency &amp; Asynchrony | 📊 Level: Advanced | 🌐 Coding5s.com
**Concept:** Asynchronous File Operations (File.readAsString(), File.writeAsString(), File.exists())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Asynchronous File Operations using File.readAsString(), File.writeAsString() and File.exists().. Topic details: Asynchronous File Operations (File.readAsString(), File.writeAsString(), File.exists())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Dart Concurrency &amp; Asynchrony | 📊 Level: Advanced
**Topic:** Implement Asynchronous File Operations using File.readAsString(), File.writeAsString() and File.exists().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3" s="53">
        <v>0</v>
      </c>
      <c r="W33" s="87" t="str">
        <f t="shared" si="10"/>
        <v>[ROLE] Tech Product Manager assigning a Dart Concurrency &amp; Asynchrony Jira Ticket | [TASK] Provide a guided implementation exercise with full solution for learning purposes | [TOPIC] Implement Asynchronous File Operations using File.readAsString(), File.writeAsString() and File.exists().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#25 | Stage 5 | Dart Concurrency &amp; Asynchrony | 📊 Level: Advanced | 🌐 Coding5s.com
**Concept:** Asynchronous File Operations (File.readAsString(), File.writeAsString(), File.exists())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Asynchronous File Operations using File.readAsString(), File.writeAsString() and File.exists().. Goal: Asynchronous File Operations (File.readAsString(), File.writeAsString(), File.exists())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Dart Concurrency &amp; Asynchrony | 📊 Level: Advanced
**Topic:** Implement Asynchronous File Operations using File.readAsString(), File.writeAsString() and File.exists().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3" s="53">
        <v>0</v>
      </c>
      <c r="Z33" s="56" t="str">
        <f t="shared" si="12"/>
        <v/>
      </c>
      <c r="AA33" s="56" t="str">
        <f t="shared" si="13"/>
        <v/>
      </c>
      <c r="AB33" s="56" t="str">
        <f t="shared" si="14"/>
        <v/>
      </c>
      <c r="AC33" s="56" t="str">
        <f t="shared" si="15"/>
        <v/>
      </c>
      <c r="AD33" s="56" t="str">
        <f t="shared" si="16"/>
        <v/>
      </c>
      <c r="AE33" s="40"/>
      <c r="AF33" s="40"/>
      <c r="AG33" s="40"/>
      <c r="AH33" s="56" t="str">
        <f t="shared" si="0"/>
        <v/>
      </c>
      <c r="AI33" s="54"/>
      <c r="AJ33" s="54"/>
      <c r="AK33" s="54">
        <v>25</v>
      </c>
      <c r="AL33" s="54" t="s">
        <v>133</v>
      </c>
      <c r="AM33" s="54" t="s">
        <v>134</v>
      </c>
    </row>
    <row r="34" spans="1:39">
      <c r="A34" s="45" t="str" cm="1">
        <f t="array" ref="A34">IF(H34="PROJECT", CHAR(10) &amp; "- " &amp; _xlfn.TEXTJOIN(CHAR(10) &amp; "- ", TRUE, _xlfn._xlws.FILTER($I$9:$I$1000, ($B$9:$B$1000=B34) * ($H$9:$H$1000="Topic"))), "")</f>
        <v/>
      </c>
      <c r="B34" s="45">
        <f t="shared" si="1"/>
        <v>4</v>
      </c>
      <c r="C34" s="95">
        <v>22</v>
      </c>
      <c r="D34" s="57">
        <v>4</v>
      </c>
      <c r="E34" s="58" t="s">
        <v>710</v>
      </c>
      <c r="F34" s="59">
        <v>26</v>
      </c>
      <c r="G34" s="60" t="s">
        <v>159</v>
      </c>
      <c r="H34" s="60" t="s">
        <v>48</v>
      </c>
      <c r="I34" s="61" t="s">
        <v>821</v>
      </c>
      <c r="J34" s="62" t="s">
        <v>822</v>
      </c>
      <c r="K34" s="129" t="str">
        <f t="shared" si="2"/>
        <v xml:space="preserve">[ROLE] Friendly tutor specializing in Dart Concurrency &amp; Asynchrony | [TOPIC] Implement Streaming File I/O using File.openRead() and File.openWrite().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Dart Concurrency &amp; Asynchrony | 📊 Level: Advanced | 🌐 Coding5s.com
**Concept:** Streaming File I/O (File.openRead(), File.openWrite())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4" s="103" t="str">
        <f t="shared" si="3"/>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Streaming File I/O using File.openRead() and File.openWrite().. Topic details: Streaming File I/O (File.openRead(), File.openWrite())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Dart Concurrency &amp; Asynchrony | 📊 Level: Advanced
**Topic:** Implement Streaming File I/O using File.openRead() and File.openWrite().
---
 | [FOOTER RULE - STRICT] End your response with: '--- ⚡ *Coding5s Mentor System — Eliminating Epistemic Debt*' | </v>
      </c>
      <c r="M34" s="52">
        <v>0</v>
      </c>
      <c r="N34" s="102" t="str">
        <f t="shared" si="4"/>
        <v>[ROLE] Careless Dart Concurrency &amp; Asynchrony Developer | [TASK] Generate debugging challenges in Dart Concurrency &amp; Asynchrony | | [TOPIC] Implement Streaming File I/O using File.openRead() and File.openWrite().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#26 | Stage 2 🐛 Debug | Dart Concurrency &amp; Asynchrony | 📊 Level: Advanced | 🌐 Coding5s.com
Concept: Streaming File I/O (File.openRead(), File.openWrite())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4" s="103" t="str">
        <f t="shared" si="5"/>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Streaming File I/O using File.openRead() and File.openWrite().. Topic details: Streaming File I/O (File.openRead(), File.openWrite())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Dart Concurrency &amp; Asynchrony | 📊 Level: Advanced
**Topic:** Implement Streaming File I/O using File.openRead() and File.openWrite().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4" s="52">
        <v>0</v>
      </c>
      <c r="Q34" s="102" t="str">
        <f t="shared" si="6"/>
        <v>[ROLE] Tech Lead | [TASK] Assign incomplete Dart Concurrency &amp; Asynchrony script challenges | [TOPIC] Implement Streaming File I/O using File.openRead() and File.openWrite().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#26 | Stage 3 🧩 Complete | Dart Concurrency &amp; Asynchrony | 📊 Level: Advanced | 🌐 Coding5s.com
**Concept:** Streaming File I/O (File.openRead(), File.openWrite())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Streaming File I/O using File.openRead() and File.openWrite()..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4" s="103" t="str">
        <f t="shared" si="7"/>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Streaming File I/O using File.openRead() and File.openWrite().. Topic details: Streaming File I/O (File.openRead(), File.openWrite())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Dart Concurrency &amp; Asynchrony | 📊 Level: Advanced
**Topic:** Implement Streaming File I/O using File.openRead() and File.openWrite().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4" s="52">
        <v>0</v>
      </c>
      <c r="T34" s="102" t="str">
        <f t="shared" si="8"/>
        <v>[ROLE] Tech Lead | [TASK] Provide intentionally messy but functional code for learning debugging and improvement | [TOPIC] Implement Streaming File I/O using File.openRead() and File.openWrite().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Dart Concurrency &amp; Asynchrony | 📊 Level: Advanced | 🌐 Coding5s.com
**Concept:** Streaming File I/O (File.openRead(), File.openWrite())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Streaming File I/O using File.openRead() and File.openWrite().. Topic details: Streaming File I/O (File.openRead(), File.openWrite())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Dart Concurrency &amp; Asynchrony | 📊 Level: Advanced
**Topic:** Implement Streaming File I/O using File.openRead() and File.openWrite().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4" s="52">
        <v>0</v>
      </c>
      <c r="W34" s="87" t="str">
        <f t="shared" si="10"/>
        <v>[ROLE] Tech Product Manager assigning a Dart Concurrency &amp; Asynchrony Jira Ticket | [TASK] Provide a guided implementation exercise with full solution for learning purposes | [TOPIC] Implement Streaming File I/O using File.openRead() and File.openWrite().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Dart Concurrency &amp; Asynchrony | 📊 Level: Advanced | 🌐 Coding5s.com
**Concept:** Streaming File I/O (File.openRead(), File.openWrite())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Streaming File I/O using File.openRead() and File.openWrite().. Goal: Streaming File I/O (File.openRead(), File.openWrite())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Dart Concurrency &amp; Asynchrony | 📊 Level: Advanced
**Topic:** Implement Streaming File I/O using File.openRead() and File.openWrite().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4" s="52">
        <v>0</v>
      </c>
      <c r="Z34" s="56" t="str">
        <f t="shared" si="12"/>
        <v/>
      </c>
      <c r="AA34" s="56" t="str">
        <f t="shared" si="13"/>
        <v/>
      </c>
      <c r="AB34" s="56" t="str">
        <f t="shared" si="14"/>
        <v/>
      </c>
      <c r="AC34" s="56" t="str">
        <f t="shared" si="15"/>
        <v/>
      </c>
      <c r="AD34" s="56" t="str">
        <f t="shared" si="16"/>
        <v/>
      </c>
      <c r="AE34" s="40"/>
      <c r="AF34" s="40"/>
      <c r="AG34" s="40"/>
      <c r="AH34" s="56" t="str">
        <f t="shared" si="0"/>
        <v/>
      </c>
      <c r="AI34" s="54"/>
      <c r="AJ34" s="54"/>
      <c r="AK34" s="54">
        <v>26</v>
      </c>
      <c r="AL34" s="54" t="s">
        <v>138</v>
      </c>
      <c r="AM34" s="54" t="s">
        <v>139</v>
      </c>
    </row>
    <row r="35" spans="1:39">
      <c r="A35" s="45" t="str" cm="1">
        <f t="array" ref="A35">IF(H35="PROJECT", CHAR(10) &amp; "- " &amp; _xlfn.TEXTJOIN(CHAR(10) &amp; "- ", TRUE, _xlfn._xlws.FILTER($I$9:$I$1000, ($B$9:$B$1000=B35) * ($H$9:$H$1000="Topic"))), "")</f>
        <v/>
      </c>
      <c r="B35" s="45">
        <f t="shared" si="1"/>
        <v>4</v>
      </c>
      <c r="C35" s="95">
        <v>22</v>
      </c>
      <c r="D35" s="46">
        <v>4</v>
      </c>
      <c r="E35" s="58" t="s">
        <v>46</v>
      </c>
      <c r="F35" s="48">
        <v>27</v>
      </c>
      <c r="G35" s="49" t="s">
        <v>159</v>
      </c>
      <c r="H35" s="49" t="s">
        <v>48</v>
      </c>
      <c r="I35" s="50" t="s">
        <v>823</v>
      </c>
      <c r="J35" s="51" t="s">
        <v>824</v>
      </c>
      <c r="K35" s="129" t="str">
        <f t="shared" si="2"/>
        <v xml:space="preserve">[ROLE] Friendly tutor specializing in Dart Concurrency &amp; Asynchrony | [TOPIC] Implement Heavy Computation Offloading using Isolate.run() and background data parsing.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Dart Concurrency &amp; Asynchrony | 📊 Level: Advanced | 🌐 Coding5s.com
**Concept:** Heavy Computation Offloading (Isolate.run(), background data parsing)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5" s="103" t="str">
        <f t="shared" si="3"/>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Heavy Computation Offloading using Isolate.run() and background data parsing.. Topic details: Heavy Computation Offloading (Isolate.run(), background data parsing)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Dart Concurrency &amp; Asynchrony | 📊 Level: Advanced
**Topic:** Implement Heavy Computation Offloading using Isolate.run() and background data parsing.
---
 | [FOOTER RULE - STRICT] End your response with: '--- ⚡ *Coding5s Mentor System — Eliminating Epistemic Debt*' | </v>
      </c>
      <c r="M35" s="53">
        <v>0</v>
      </c>
      <c r="N35" s="102" t="str">
        <f t="shared" si="4"/>
        <v>[ROLE] Careless Dart Concurrency &amp; Asynchrony Developer | [TASK] Generate debugging challenges in Dart Concurrency &amp; Asynchrony | | [TOPIC] Implement Heavy Computation Offloading using Isolate.run() and background data parsing.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#27 | Stage 2 🐛 Debug | Dart Concurrency &amp; Asynchrony | 📊 Level: Advanced | 🌐 Coding5s.com
Concept: Heavy Computation Offloading (Isolate.run(), background data parsing)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5" s="103" t="str">
        <f t="shared" si="5"/>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Heavy Computation Offloading using Isolate.run() and background data parsing.. Topic details: Heavy Computation Offloading (Isolate.run(), background data parsing)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Dart Concurrency &amp; Asynchrony | 📊 Level: Advanced
**Topic:** Implement Heavy Computation Offloading using Isolate.run() and background data parsing.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5" s="53">
        <v>0</v>
      </c>
      <c r="Q35" s="102" t="str">
        <f t="shared" si="6"/>
        <v>[ROLE] Tech Lead | [TASK] Assign incomplete Dart Concurrency &amp; Asynchrony script challenges | [TOPIC] Implement Heavy Computation Offloading using Isolate.run() and background data parsing.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#27 | Stage 3 🧩 Complete | Dart Concurrency &amp; Asynchrony | 📊 Level: Advanced | 🌐 Coding5s.com
**Concept:** Heavy Computation Offloading (Isolate.run(), background data parsing)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Heavy Computation Offloading using Isolate.run() and background data parsing..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5" s="103" t="str">
        <f t="shared" si="7"/>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Heavy Computation Offloading using Isolate.run() and background data parsing.. Topic details: Heavy Computation Offloading (Isolate.run(), background data parsing)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Dart Concurrency &amp; Asynchrony | 📊 Level: Advanced
**Topic:** Implement Heavy Computation Offloading using Isolate.run() and background data parsing.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5" s="53">
        <v>0</v>
      </c>
      <c r="T35" s="102" t="str">
        <f t="shared" si="8"/>
        <v>[ROLE] Tech Lead | [TASK] Provide intentionally messy but functional code for learning debugging and improvement | [TOPIC] Implement Heavy Computation Offloading using Isolate.run() and background data parsing.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Dart Concurrency &amp; Asynchrony | 📊 Level: Advanced | 🌐 Coding5s.com
**Concept:** Heavy Computation Offloading (Isolate.run(), background data parsing)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Heavy Computation Offloading using Isolate.run() and background data parsing.. Topic details: Heavy Computation Offloading (Isolate.run(), background data parsing)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Dart Concurrency &amp; Asynchrony | 📊 Level: Advanced
**Topic:** Implement Heavy Computation Offloading using Isolate.run() and background data parsing.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5" s="53">
        <v>0</v>
      </c>
      <c r="W35" s="87" t="str">
        <f t="shared" si="10"/>
        <v>[ROLE] Tech Product Manager assigning a Dart Concurrency &amp; Asynchrony Jira Ticket | [TASK] Provide a guided implementation exercise with full solution for learning purposes | [TOPIC] Implement Heavy Computation Offloading using Isolate.run() and background data parsing.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Dart Concurrency &amp; Asynchrony | 📊 Level: Advanced | 🌐 Coding5s.com
**Concept:** Heavy Computation Offloading (Isolate.run(), background data parsing)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Heavy Computation Offloading using Isolate.run() and background data parsing.. Goal: Heavy Computation Offloading (Isolate.run(), background data parsing)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Dart Concurrency &amp; Asynchrony | 📊 Level: Advanced
**Topic:** Implement Heavy Computation Offloading using Isolate.run() and background data parsing.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5" s="53">
        <v>0</v>
      </c>
      <c r="Z35" s="56" t="str">
        <f t="shared" si="12"/>
        <v/>
      </c>
      <c r="AA35" s="56" t="str">
        <f t="shared" si="13"/>
        <v/>
      </c>
      <c r="AB35" s="56" t="str">
        <f t="shared" si="14"/>
        <v/>
      </c>
      <c r="AC35" s="56" t="str">
        <f t="shared" si="15"/>
        <v/>
      </c>
      <c r="AD35" s="56" t="str">
        <f t="shared" si="16"/>
        <v/>
      </c>
      <c r="AE35" s="40"/>
      <c r="AF35" s="40"/>
      <c r="AG35" s="40"/>
      <c r="AH35" s="56" t="str">
        <f t="shared" si="0"/>
        <v/>
      </c>
      <c r="AI35" s="54"/>
      <c r="AJ35" s="54"/>
      <c r="AK35" s="54">
        <v>27</v>
      </c>
      <c r="AL35" s="54" t="s">
        <v>143</v>
      </c>
      <c r="AM35" s="54" t="s">
        <v>144</v>
      </c>
    </row>
    <row r="36" spans="1:39">
      <c r="A36" s="45" t="str" cm="1">
        <f t="array" ref="A36">IF(H36="PROJECT", CHAR(10) &amp; "- " &amp; _xlfn.TEXTJOIN(CHAR(10) &amp; "- ", TRUE, _xlfn._xlws.FILTER($I$9:$I$1000, ($B$9:$B$1000=B36) * ($H$9:$H$1000="Topic"))), "")</f>
        <v/>
      </c>
      <c r="B36" s="45">
        <f t="shared" si="1"/>
        <v>4</v>
      </c>
      <c r="C36" s="95">
        <v>22</v>
      </c>
      <c r="D36" s="57">
        <v>4</v>
      </c>
      <c r="E36" s="58" t="s">
        <v>46</v>
      </c>
      <c r="F36" s="59">
        <v>28</v>
      </c>
      <c r="G36" s="60" t="s">
        <v>159</v>
      </c>
      <c r="H36" s="60" t="s">
        <v>48</v>
      </c>
      <c r="I36" s="61" t="s">
        <v>825</v>
      </c>
      <c r="J36" s="62" t="s">
        <v>826</v>
      </c>
      <c r="K36" s="129" t="str">
        <f t="shared" si="2"/>
        <v xml:space="preserve">[ROLE] Friendly tutor specializing in Dart Concurrency &amp; Asynchrony | [TOPIC] Implement Isolate Communication using ReceivePort(), SendPort.send() and .listen().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Dart Concurrency &amp; Asynchrony | 📊 Level: Advanced | 🌐 Coding5s.com
**Concept:** Isolate Communication (ReceivePort(), SendPort.send(), .listen())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6" s="103" t="str">
        <f t="shared" si="3"/>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Isolate Communication using ReceivePort(), SendPort.send() and .listen().. Topic details: Isolate Communication (ReceivePort(), SendPort.send(), .listen())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Dart Concurrency &amp; Asynchrony | 📊 Level: Advanced
**Topic:** Implement Isolate Communication using ReceivePort(), SendPort.send() and .listen().
---
 | [FOOTER RULE - STRICT] End your response with: '--- ⚡ *Coding5s Mentor System — Eliminating Epistemic Debt*' | </v>
      </c>
      <c r="M36" s="52">
        <v>0</v>
      </c>
      <c r="N36" s="102" t="str">
        <f t="shared" si="4"/>
        <v>[ROLE] Careless Dart Concurrency &amp; Asynchrony Developer | [TASK] Generate debugging challenges in Dart Concurrency &amp; Asynchrony | | [TOPIC] Implement Isolate Communication using ReceivePort(), SendPort.send() and .listen().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#28 | Stage 2 🐛 Debug | Dart Concurrency &amp; Asynchrony | 📊 Level: Advanced | 🌐 Coding5s.com
Concept: Isolate Communication (ReceivePort(), SendPort.send(), .listen())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6" s="103" t="str">
        <f t="shared" si="5"/>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Isolate Communication using ReceivePort(), SendPort.send() and .listen().. Topic details: Isolate Communication (ReceivePort(), SendPort.send(), .listen())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Dart Concurrency &amp; Asynchrony | 📊 Level: Advanced
**Topic:** Implement Isolate Communication using ReceivePort(), SendPort.send() and .listen().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6" s="52">
        <v>0</v>
      </c>
      <c r="Q36" s="102" t="str">
        <f t="shared" si="6"/>
        <v>[ROLE] Tech Lead | [TASK] Assign incomplete Dart Concurrency &amp; Asynchrony script challenges | [TOPIC] Implement Isolate Communication using ReceivePort(), SendPort.send() and .listen().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#28 | Stage 3 🧩 Complete | Dart Concurrency &amp; Asynchrony | 📊 Level: Advanced | 🌐 Coding5s.com
**Concept:** Isolate Communication (ReceivePort(), SendPort.send(), .listen())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Isolate Communication using ReceivePort(), SendPort.send() and .listen()..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6" s="103" t="str">
        <f t="shared" si="7"/>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Isolate Communication using ReceivePort(), SendPort.send() and .listen().. Topic details: Isolate Communication (ReceivePort(), SendPort.send(), .listen())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Dart Concurrency &amp; Asynchrony | 📊 Level: Advanced
**Topic:** Implement Isolate Communication using ReceivePort(), SendPort.send() and .listen().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6" s="52">
        <v>0</v>
      </c>
      <c r="T36" s="102" t="str">
        <f t="shared" si="8"/>
        <v>[ROLE] Tech Lead | [TASK] Provide intentionally messy but functional code for learning debugging and improvement | [TOPIC] Implement Isolate Communication using ReceivePort(), SendPort.send() and .listen().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Dart Concurrency &amp; Asynchrony | 📊 Level: Advanced | 🌐 Coding5s.com
**Concept:** Isolate Communication (ReceivePort(), SendPort.send(), .listen())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Isolate Communication using ReceivePort(), SendPort.send() and .listen().. Topic details: Isolate Communication (ReceivePort(), SendPort.send(), .listen())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Dart Concurrency &amp; Asynchrony | 📊 Level: Advanced
**Topic:** Implement Isolate Communication using ReceivePort(), SendPort.send() and .listen().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6" s="52">
        <v>0</v>
      </c>
      <c r="W36" s="87" t="str">
        <f t="shared" si="10"/>
        <v>[ROLE] Tech Product Manager assigning a Dart Concurrency &amp; Asynchrony Jira Ticket | [TASK] Provide a guided implementation exercise with full solution for learning purposes | [TOPIC] Implement Isolate Communication using ReceivePort(), SendPort.send() and .listen().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Dart Concurrency &amp; Asynchrony | 📊 Level: Advanced | 🌐 Coding5s.com
**Concept:** Isolate Communication (ReceivePort(), SendPort.send(), .listen())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Isolate Communication using ReceivePort(), SendPort.send() and .listen().. Goal: Isolate Communication (ReceivePort(), SendPort.send(), .listen())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Dart Concurrency &amp; Asynchrony | 📊 Level: Advanced
**Topic:** Implement Isolate Communication using ReceivePort(), SendPort.send() and .listen().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6" s="52">
        <v>0</v>
      </c>
      <c r="Z36" s="56" t="str">
        <f t="shared" si="12"/>
        <v/>
      </c>
      <c r="AA36" s="56" t="str">
        <f t="shared" si="13"/>
        <v/>
      </c>
      <c r="AB36" s="56" t="str">
        <f t="shared" si="14"/>
        <v/>
      </c>
      <c r="AC36" s="56" t="str">
        <f t="shared" si="15"/>
        <v/>
      </c>
      <c r="AD36" s="56" t="str">
        <f t="shared" si="16"/>
        <v/>
      </c>
      <c r="AE36" s="40"/>
      <c r="AF36" s="40"/>
      <c r="AG36" s="40"/>
      <c r="AH36" s="56" t="str">
        <f t="shared" si="0"/>
        <v/>
      </c>
      <c r="AI36" s="54"/>
      <c r="AJ36" s="54"/>
      <c r="AK36" s="54">
        <v>28</v>
      </c>
      <c r="AL36" s="54" t="s">
        <v>146</v>
      </c>
      <c r="AM36" s="54" t="s">
        <v>147</v>
      </c>
    </row>
    <row r="37" spans="1:39">
      <c r="A37" s="45" t="str" cm="1">
        <f t="array" ref="A37">IF(H37="PROJECT", CHAR(10) &amp; "- " &amp; _xlfn.TEXTJOIN(CHAR(10) &amp; "- ", TRUE, _xlfn._xlws.FILTER($I$9:$I$1000, ($B$9:$B$1000=B37) * ($H$9:$H$1000="Topic"))), "")</f>
        <v/>
      </c>
      <c r="B37" s="45">
        <f t="shared" si="1"/>
        <v>4</v>
      </c>
      <c r="C37" s="95">
        <v>20</v>
      </c>
      <c r="D37" s="46">
        <v>4</v>
      </c>
      <c r="E37" s="58" t="s">
        <v>46</v>
      </c>
      <c r="F37" s="48">
        <v>29</v>
      </c>
      <c r="G37" s="49" t="s">
        <v>159</v>
      </c>
      <c r="H37" s="49" t="s">
        <v>48</v>
      </c>
      <c r="I37" s="50" t="s">
        <v>827</v>
      </c>
      <c r="J37" s="51" t="s">
        <v>828</v>
      </c>
      <c r="K37" s="129" t="str">
        <f t="shared" si="2"/>
        <v xml:space="preserve">[ROLE] Friendly tutor specializing in Dart Concurrency &amp; Asynchrony | [TOPIC] Implement Isolate Control using Isolate.pause(), Isolate.resume() and Isolate.kill().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Dart Concurrency &amp; Asynchrony | 📊 Level: Advanced | 🌐 Coding5s.com
**Concept:** Isolate Control (Isolate.pause(), Isolate.resume(), Isolate.kill())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7" s="103" t="str">
        <f t="shared" si="3"/>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Isolate Control using Isolate.pause(), Isolate.resume() and Isolate.kill().. Topic details: Isolate Control (Isolate.pause(), Isolate.resume(), Isolate.kill())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Dart Concurrency &amp; Asynchrony | 📊 Level: Advanced
**Topic:** Implement Isolate Control using Isolate.pause(), Isolate.resume() and Isolate.kill().
---
 | [FOOTER RULE - STRICT] End your response with: '--- ⚡ *Coding5s Mentor System — Eliminating Epistemic Debt*' | </v>
      </c>
      <c r="M37" s="53">
        <v>0</v>
      </c>
      <c r="N37" s="102" t="str">
        <f t="shared" si="4"/>
        <v>[ROLE] Careless Dart Concurrency &amp; Asynchrony Developer | [TASK] Generate debugging challenges in Dart Concurrency &amp; Asynchrony | | [TOPIC] Implement Isolate Control using Isolate.pause(), Isolate.resume() and Isolate.kill().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#29 | Stage 2 🐛 Debug | Dart Concurrency &amp; Asynchrony | 📊 Level: Advanced | 🌐 Coding5s.com
Concept: Isolate Control (Isolate.pause(), Isolate.resume(), Isolate.kill())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7" s="103" t="str">
        <f t="shared" si="5"/>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Isolate Control using Isolate.pause(), Isolate.resume() and Isolate.kill().. Topic details: Isolate Control (Isolate.pause(), Isolate.resume(), Isolate.kill())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Dart Concurrency &amp; Asynchrony | 📊 Level: Advanced
**Topic:** Implement Isolate Control using Isolate.pause(), Isolate.resume() and Isolate.kill().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7" s="53">
        <v>0</v>
      </c>
      <c r="Q37" s="102" t="str">
        <f t="shared" si="6"/>
        <v>[ROLE] Tech Lead | [TASK] Assign incomplete Dart Concurrency &amp; Asynchrony script challenges | [TOPIC] Implement Isolate Control using Isolate.pause(), Isolate.resume() and Isolate.kill().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#29 | Stage 3 🧩 Complete | Dart Concurrency &amp; Asynchrony | 📊 Level: Advanced | 🌐 Coding5s.com
**Concept:** Isolate Control (Isolate.pause(), Isolate.resume(), Isolate.kill())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Isolate Control using Isolate.pause(), Isolate.resume() and Isolate.kill()..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7" s="103" t="str">
        <f t="shared" si="7"/>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Isolate Control using Isolate.pause(), Isolate.resume() and Isolate.kill().. Topic details: Isolate Control (Isolate.pause(), Isolate.resume(), Isolate.kill())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Dart Concurrency &amp; Asynchrony | 📊 Level: Advanced
**Topic:** Implement Isolate Control using Isolate.pause(), Isolate.resume() and Isolate.kill().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7" s="53">
        <v>0</v>
      </c>
      <c r="T37" s="102" t="str">
        <f t="shared" si="8"/>
        <v>[ROLE] Tech Lead | [TASK] Provide intentionally messy but functional code for learning debugging and improvement | [TOPIC] Implement Isolate Control using Isolate.pause(), Isolate.resume() and Isolate.kill().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Dart Concurrency &amp; Asynchrony | 📊 Level: Advanced | 🌐 Coding5s.com
**Concept:** Isolate Control (Isolate.pause(), Isolate.resume(), Isolate.kill())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Isolate Control using Isolate.pause(), Isolate.resume() and Isolate.kill().. Topic details: Isolate Control (Isolate.pause(), Isolate.resume(), Isolate.kill())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Dart Concurrency &amp; Asynchrony | 📊 Level: Advanced
**Topic:** Implement Isolate Control using Isolate.pause(), Isolate.resume() and Isolate.kill().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7" s="53">
        <v>0</v>
      </c>
      <c r="W37" s="87" t="str">
        <f t="shared" si="10"/>
        <v>[ROLE] Tech Product Manager assigning a Dart Concurrency &amp; Asynchrony Jira Ticket | [TASK] Provide a guided implementation exercise with full solution for learning purposes | [TOPIC] Implement Isolate Control using Isolate.pause(), Isolate.resume() and Isolate.kill().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Dart Concurrency &amp; Asynchrony | 📊 Level: Advanced | 🌐 Coding5s.com
**Concept:** Isolate Control (Isolate.pause(), Isolate.resume(), Isolate.kill())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Isolate Control using Isolate.pause(), Isolate.resume() and Isolate.kill().. Goal: Isolate Control (Isolate.pause(), Isolate.resume(), Isolate.kill())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Dart Concurrency &amp; Asynchrony | 📊 Level: Advanced
**Topic:** Implement Isolate Control using Isolate.pause(), Isolate.resume() and Isolate.kill().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7" s="53">
        <v>0</v>
      </c>
      <c r="Z37" s="56" t="str">
        <f t="shared" si="12"/>
        <v/>
      </c>
      <c r="AA37" s="56" t="str">
        <f t="shared" si="13"/>
        <v/>
      </c>
      <c r="AB37" s="56" t="str">
        <f t="shared" si="14"/>
        <v/>
      </c>
      <c r="AC37" s="56" t="str">
        <f t="shared" si="15"/>
        <v/>
      </c>
      <c r="AD37" s="56" t="str">
        <f t="shared" si="16"/>
        <v/>
      </c>
      <c r="AE37" s="40"/>
      <c r="AF37" s="40"/>
      <c r="AG37" s="40"/>
      <c r="AH37" s="56" t="str">
        <f t="shared" si="0"/>
        <v/>
      </c>
      <c r="AI37" s="54"/>
      <c r="AJ37" s="54"/>
      <c r="AK37" s="54">
        <v>29</v>
      </c>
      <c r="AL37" s="54" t="s">
        <v>149</v>
      </c>
      <c r="AM37" s="54" t="s">
        <v>150</v>
      </c>
    </row>
    <row r="38" spans="1:39">
      <c r="A38" s="45" t="str" cm="1">
        <f t="array" ref="A38">IF(H38="PROJECT", CHAR(10) &amp; "- " &amp; _xlfn.TEXTJOIN(CHAR(10) &amp; "- ", TRUE, _xlfn._xlws.FILTER($I$9:$I$1000, ($B$9:$B$1000=B38) * ($H$9:$H$1000="Topic"))), "")</f>
        <v/>
      </c>
      <c r="B38" s="45">
        <f t="shared" si="1"/>
        <v>4</v>
      </c>
      <c r="C38" s="95">
        <v>20</v>
      </c>
      <c r="D38" s="57">
        <v>4</v>
      </c>
      <c r="E38" s="58" t="s">
        <v>46</v>
      </c>
      <c r="F38" s="59">
        <v>30</v>
      </c>
      <c r="G38" s="60" t="s">
        <v>159</v>
      </c>
      <c r="H38" s="60" t="s">
        <v>48</v>
      </c>
      <c r="I38" s="61" t="s">
        <v>829</v>
      </c>
      <c r="J38" s="62" t="s">
        <v>830</v>
      </c>
      <c r="K38" s="129" t="str">
        <f t="shared" si="2"/>
        <v xml:space="preserve">[ROLE] Friendly tutor specializing in Dart Concurrency &amp; Asynchrony | [TOPIC] Implement Async Testing Utilities using fakeAsync, pumpEventQueue and expectLater.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Dart Concurrency &amp; Asynchrony | 📊 Level: Advanced | 🌐 Coding5s.com
**Concept:** Async Testing Utilities (fakeAsync, pumpEventQueue, expectLater)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8" s="103" t="str">
        <f t="shared" si="3"/>
        <v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Async Testing Utilities using fakeAsync, pumpEventQueue and expectLater.. Topic details: Async Testing Utilities (fakeAsync, pumpEventQueue, expectLater)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Dart Concurrency &amp; Asynchrony | 📊 Level: Advanced
**Topic:** Implement Async Testing Utilities using fakeAsync, pumpEventQueue and expectLater.
---
 | [FOOTER RULE - STRICT] End your response with: '--- ⚡ *Coding5s Mentor System — Eliminating Epistemic Debt*' | </v>
      </c>
      <c r="M38" s="52">
        <v>0</v>
      </c>
      <c r="N38" s="102" t="str">
        <f t="shared" si="4"/>
        <v>[ROLE] Careless Dart Concurrency &amp; Asynchrony Developer | [TASK] Generate debugging challenges in Dart Concurrency &amp; Asynchrony | | [TOPIC] Implement Async Testing Utilities using fakeAsync, pumpEventQueue and expectLater.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#30 | Stage 2 🐛 Debug | Dart Concurrency &amp; Asynchrony | 📊 Level: Advanced | 🌐 Coding5s.com
Concept: Async Testing Utilities (fakeAsync, pumpEventQueue, expectLater)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8" s="103" t="str">
        <f t="shared" si="5"/>
        <v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Async Testing Utilities using fakeAsync, pumpEventQueue and expectLater.. Topic details: Async Testing Utilities (fakeAsync, pumpEventQueue, expectLater)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Dart Concurrency &amp; Asynchrony | 📊 Level: Advanced
**Topic:** Implement Async Testing Utilities using fakeAsync, pumpEventQueue and expectLater.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8" s="52">
        <v>0</v>
      </c>
      <c r="Q38" s="102" t="str">
        <f t="shared" si="6"/>
        <v>[ROLE] Tech Lead | [TASK] Assign incomplete Dart Concurrency &amp; Asynchrony script challenges | [TOPIC] Implement Async Testing Utilities using fakeAsync, pumpEventQueue and expectLater.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#30 | Stage 3 🧩 Complete | Dart Concurrency &amp; Asynchrony | 📊 Level: Advanced | 🌐 Coding5s.com
**Concept:** Async Testing Utilities (fakeAsync, pumpEventQueue, expectLater)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Async Testing Utilities using fakeAsync, pumpEventQueue and expectLater..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8" s="103" t="str">
        <f t="shared" si="7"/>
        <v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Async Testing Utilities using fakeAsync, pumpEventQueue and expectLater.. Topic details: Async Testing Utilities (fakeAsync, pumpEventQueue, expectLater)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Dart Concurrency &amp; Asynchrony | 📊 Level: Advanced
**Topic:** Implement Async Testing Utilities using fakeAsync, pumpEventQueue and expectLater.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8" s="52">
        <v>0</v>
      </c>
      <c r="T38" s="102" t="str">
        <f t="shared" si="8"/>
        <v>[ROLE] Tech Lead | [TASK] Provide intentionally messy but functional code for learning debugging and improvement | [TOPIC] Implement Async Testing Utilities using fakeAsync, pumpEventQueue and expectLater. | [LEVEL] Advanced | [COUNT] 4 challenges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Dart Concurrency &amp; Asynchrony | 📊 Level: Advanced | 🌐 Coding5s.com
**Concept:** Async Testing Utilities (fakeAsync, pumpEventQueue, expectLater)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Async Testing Utilities using fakeAsync, pumpEventQueue and expectLater.. Topic details: Async Testing Utilities (fakeAsync, pumpEventQueue, expectLater)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Dart Concurrency &amp; Asynchrony | 📊 Level: Advanced
**Topic:** Implement Async Testing Utilities using fakeAsync, pumpEventQueue and expectLater.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8" s="52">
        <v>0</v>
      </c>
      <c r="W38" s="87" t="str">
        <f t="shared" si="10"/>
        <v>[ROLE] Tech Product Manager assigning a Dart Concurrency &amp; Asynchrony Jira Ticket | [TASK] Provide a guided implementation exercise with full solution for learning purposes | [TOPIC] Implement Async Testing Utilities using fakeAsync, pumpEventQueue and expectLater. | [LEVEL] Advanced | [LIBRARY BEING LEARNED]  | [ECOSYSTEM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Dart Concurrency &amp; Asynchrony | 📊 Level: Advanced | 🌐 Coding5s.com
**Concept:** Async Testing Utilities (fakeAsync, pumpEventQueue, expectLater)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Async Testing Utilities using fakeAsync, pumpEventQueue and expectLater.. Goal: Async Testing Utilities (fakeAsync, pumpEventQueue, expectLater)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Dart Concurrency &amp; Asynchrony | 📊 Level: Advanced
**Topic:** Implement Async Testing Utilities using fakeAsync, pumpEventQueue and expectLater.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8" s="52">
        <v>0</v>
      </c>
      <c r="Z38" s="56" t="str">
        <f t="shared" si="12"/>
        <v/>
      </c>
      <c r="AA38" s="56" t="str">
        <f t="shared" si="13"/>
        <v/>
      </c>
      <c r="AB38" s="56" t="str">
        <f t="shared" si="14"/>
        <v/>
      </c>
      <c r="AC38" s="56" t="str">
        <f t="shared" si="15"/>
        <v/>
      </c>
      <c r="AD38" s="56" t="str">
        <f t="shared" si="16"/>
        <v/>
      </c>
      <c r="AE38" s="40"/>
      <c r="AF38" s="40"/>
      <c r="AG38" s="40"/>
      <c r="AH38" s="56" t="str">
        <f t="shared" si="0"/>
        <v/>
      </c>
      <c r="AI38" s="54"/>
      <c r="AJ38" s="54"/>
      <c r="AK38" s="54">
        <v>30</v>
      </c>
      <c r="AL38" s="54" t="s">
        <v>152</v>
      </c>
      <c r="AM38" s="54" t="s">
        <v>153</v>
      </c>
    </row>
    <row r="39" spans="1:39">
      <c r="A39" s="45" t="str" cm="1">
        <f t="array" ref="A39">IF(H39="PROJECT", CHAR(10) &amp; "- " &amp; _xlfn.TEXTJOIN(CHAR(10) &amp; "- ", TRUE, _xlfn._xlws.FILTER($I$9:$I$1000, ($B$9:$B$1000=B39) * ($H$9:$H$1000="Topic"))), "")</f>
        <v/>
      </c>
      <c r="B39" s="45" t="str">
        <f t="shared" si="1"/>
        <v/>
      </c>
      <c r="C39" s="95"/>
      <c r="D39" s="46"/>
      <c r="E39" s="58"/>
      <c r="F39" s="48"/>
      <c r="G39" s="49"/>
      <c r="H39" s="49"/>
      <c r="I39" s="50"/>
      <c r="J39" s="51"/>
      <c r="K39" s="129" t="str">
        <f t="shared" si="2"/>
        <v/>
      </c>
      <c r="L39" s="103" t="str">
        <f t="shared" si="3"/>
        <v/>
      </c>
      <c r="M39" s="53">
        <v>0</v>
      </c>
      <c r="N39" s="102" t="str">
        <f t="shared" si="4"/>
        <v/>
      </c>
      <c r="O39" s="103" t="str">
        <f t="shared" si="5"/>
        <v/>
      </c>
      <c r="P39" s="53">
        <v>0</v>
      </c>
      <c r="Q39" s="102" t="str">
        <f t="shared" si="6"/>
        <v/>
      </c>
      <c r="R39" s="103" t="str">
        <f t="shared" si="7"/>
        <v/>
      </c>
      <c r="S39" s="53">
        <v>0</v>
      </c>
      <c r="T39" s="102" t="str">
        <f t="shared" si="8"/>
        <v/>
      </c>
      <c r="U39" s="103" t="str">
        <f t="shared" si="9"/>
        <v/>
      </c>
      <c r="V39" s="53">
        <v>0</v>
      </c>
      <c r="W39" s="87" t="str">
        <f t="shared" si="10"/>
        <v/>
      </c>
      <c r="X39" s="103" t="str">
        <f t="shared" si="11"/>
        <v/>
      </c>
      <c r="Y39" s="53">
        <v>0</v>
      </c>
      <c r="Z39" s="56" t="str">
        <f t="shared" si="12"/>
        <v/>
      </c>
      <c r="AA39" s="56" t="str">
        <f t="shared" si="13"/>
        <v/>
      </c>
      <c r="AB39" s="56" t="str">
        <f t="shared" si="14"/>
        <v/>
      </c>
      <c r="AC39" s="56" t="str">
        <f t="shared" si="15"/>
        <v/>
      </c>
      <c r="AD39" s="56" t="str">
        <f t="shared" si="16"/>
        <v/>
      </c>
      <c r="AE39" s="40"/>
      <c r="AF39" s="40"/>
      <c r="AG39" s="40"/>
      <c r="AH39" s="56" t="str">
        <f t="shared" si="0"/>
        <v/>
      </c>
      <c r="AI39" s="54"/>
      <c r="AJ39" s="54"/>
      <c r="AK39" s="54">
        <v>31</v>
      </c>
      <c r="AL39" s="54" t="s">
        <v>49</v>
      </c>
      <c r="AM39" s="54" t="s">
        <v>50</v>
      </c>
    </row>
    <row r="40" spans="1:39">
      <c r="A40" s="45" t="str" cm="1">
        <f t="array" ref="A40">IF(H40="PROJECT", CHAR(10) &amp; "- " &amp; _xlfn.TEXTJOIN(CHAR(10) &amp; "- ", TRUE, _xlfn._xlws.FILTER($I$9:$I$1000, ($B$9:$B$1000=B40) * ($H$9:$H$1000="Topic"))), "")</f>
        <v/>
      </c>
      <c r="B40" s="45" t="str">
        <f t="shared" si="1"/>
        <v/>
      </c>
      <c r="C40" s="95"/>
      <c r="D40" s="57"/>
      <c r="E40" s="58"/>
      <c r="F40" s="59"/>
      <c r="G40" s="60"/>
      <c r="H40" s="60"/>
      <c r="I40" s="61"/>
      <c r="J40" s="62"/>
      <c r="K40" s="129" t="str">
        <f t="shared" si="2"/>
        <v/>
      </c>
      <c r="L40" s="103" t="str">
        <f t="shared" si="3"/>
        <v/>
      </c>
      <c r="M40" s="52">
        <v>0</v>
      </c>
      <c r="N40" s="102" t="str">
        <f t="shared" si="4"/>
        <v/>
      </c>
      <c r="O40" s="103" t="str">
        <f t="shared" si="5"/>
        <v/>
      </c>
      <c r="P40" s="52">
        <v>0</v>
      </c>
      <c r="Q40" s="102" t="str">
        <f t="shared" si="6"/>
        <v/>
      </c>
      <c r="R40" s="103" t="str">
        <f t="shared" si="7"/>
        <v/>
      </c>
      <c r="S40" s="52">
        <v>0</v>
      </c>
      <c r="T40" s="102" t="str">
        <f t="shared" si="8"/>
        <v/>
      </c>
      <c r="U40" s="103" t="str">
        <f t="shared" si="9"/>
        <v/>
      </c>
      <c r="V40" s="52">
        <v>0</v>
      </c>
      <c r="W40" s="87" t="str">
        <f t="shared" si="10"/>
        <v/>
      </c>
      <c r="X40" s="103" t="str">
        <f t="shared" si="11"/>
        <v/>
      </c>
      <c r="Y40" s="52">
        <v>0</v>
      </c>
      <c r="Z40" s="56" t="str">
        <f t="shared" si="12"/>
        <v/>
      </c>
      <c r="AA40" s="56" t="str">
        <f t="shared" si="13"/>
        <v/>
      </c>
      <c r="AB40" s="56" t="str">
        <f t="shared" si="14"/>
        <v/>
      </c>
      <c r="AC40" s="56" t="str">
        <f t="shared" si="15"/>
        <v/>
      </c>
      <c r="AD40" s="56" t="str">
        <f t="shared" si="16"/>
        <v/>
      </c>
      <c r="AE40" s="40"/>
      <c r="AF40" s="40"/>
      <c r="AG40" s="40"/>
      <c r="AH40" s="56" t="str">
        <f t="shared" si="0"/>
        <v/>
      </c>
      <c r="AI40" s="54"/>
      <c r="AJ40" s="54"/>
      <c r="AK40" s="54">
        <v>32</v>
      </c>
      <c r="AL40" s="54" t="s">
        <v>55</v>
      </c>
      <c r="AM40" s="54" t="s">
        <v>56</v>
      </c>
    </row>
    <row r="41" spans="1:39">
      <c r="A41" s="45" t="str" cm="1">
        <f t="array" ref="A41">IF(H41="PROJECT", CHAR(10) &amp; "- " &amp; _xlfn.TEXTJOIN(CHAR(10) &amp; "- ", TRUE, _xlfn._xlws.FILTER($I$9:$I$1000, ($B$9:$B$1000=B41) * ($H$9:$H$1000="Topic"))), "")</f>
        <v/>
      </c>
      <c r="B41" s="45" t="str">
        <f t="shared" si="1"/>
        <v/>
      </c>
      <c r="C41" s="95"/>
      <c r="D41" s="46"/>
      <c r="E41" s="58"/>
      <c r="F41" s="48"/>
      <c r="G41" s="49"/>
      <c r="H41" s="49"/>
      <c r="I41" s="50"/>
      <c r="J41" s="51"/>
      <c r="K41" s="129" t="str">
        <f t="shared" si="2"/>
        <v/>
      </c>
      <c r="L41" s="103" t="str">
        <f t="shared" si="3"/>
        <v/>
      </c>
      <c r="M41" s="53">
        <v>0</v>
      </c>
      <c r="N41" s="102" t="str">
        <f t="shared" si="4"/>
        <v/>
      </c>
      <c r="O41" s="103" t="str">
        <f t="shared" si="5"/>
        <v/>
      </c>
      <c r="P41" s="53">
        <v>0</v>
      </c>
      <c r="Q41" s="102" t="str">
        <f t="shared" si="6"/>
        <v/>
      </c>
      <c r="R41" s="103" t="str">
        <f t="shared" si="7"/>
        <v/>
      </c>
      <c r="S41" s="53">
        <v>0</v>
      </c>
      <c r="T41" s="102" t="str">
        <f t="shared" si="8"/>
        <v/>
      </c>
      <c r="U41" s="103" t="str">
        <f t="shared" si="9"/>
        <v/>
      </c>
      <c r="V41" s="53">
        <v>0</v>
      </c>
      <c r="W41" s="87" t="str">
        <f t="shared" si="10"/>
        <v/>
      </c>
      <c r="X41" s="103" t="str">
        <f t="shared" si="11"/>
        <v/>
      </c>
      <c r="Y41" s="53">
        <v>0</v>
      </c>
      <c r="Z41" s="56" t="str">
        <f t="shared" si="12"/>
        <v/>
      </c>
      <c r="AA41" s="56" t="str">
        <f t="shared" si="13"/>
        <v/>
      </c>
      <c r="AB41" s="56" t="str">
        <f t="shared" si="14"/>
        <v/>
      </c>
      <c r="AC41" s="56" t="str">
        <f t="shared" si="15"/>
        <v/>
      </c>
      <c r="AD41" s="56" t="str">
        <f t="shared" si="16"/>
        <v/>
      </c>
      <c r="AE41" s="40"/>
      <c r="AF41" s="40"/>
      <c r="AG41" s="40"/>
      <c r="AH41" s="56" t="str">
        <f t="shared" ref="AH41:AH72" si="17">IF(AE41=$B$6,AG41,"")</f>
        <v/>
      </c>
      <c r="AI41" s="54"/>
      <c r="AJ41" s="54"/>
      <c r="AK41" s="54">
        <v>33</v>
      </c>
      <c r="AL41" s="54" t="s">
        <v>60</v>
      </c>
      <c r="AM41" s="54" t="s">
        <v>61</v>
      </c>
    </row>
    <row r="42" spans="1:39">
      <c r="A42" s="45" t="str" cm="1">
        <f t="array" ref="A42">IF(H42="PROJECT", CHAR(10) &amp; "- " &amp; _xlfn.TEXTJOIN(CHAR(10) &amp; "- ", TRUE, _xlfn._xlws.FILTER($I$9:$I$1000, ($B$9:$B$1000=B42) * ($H$9:$H$1000="Topic"))), "")</f>
        <v/>
      </c>
      <c r="B42" s="45" t="str">
        <f t="shared" si="1"/>
        <v/>
      </c>
      <c r="C42" s="95"/>
      <c r="D42" s="57"/>
      <c r="E42" s="58"/>
      <c r="F42" s="59"/>
      <c r="G42" s="60"/>
      <c r="H42" s="60"/>
      <c r="I42" s="61"/>
      <c r="J42" s="62"/>
      <c r="K42" s="129" t="str">
        <f t="shared" si="2"/>
        <v/>
      </c>
      <c r="L42" s="103" t="str">
        <f t="shared" si="3"/>
        <v/>
      </c>
      <c r="M42" s="52">
        <v>0</v>
      </c>
      <c r="N42" s="102" t="str">
        <f t="shared" si="4"/>
        <v/>
      </c>
      <c r="O42" s="103" t="str">
        <f t="shared" si="5"/>
        <v/>
      </c>
      <c r="P42" s="52">
        <v>0</v>
      </c>
      <c r="Q42" s="102" t="str">
        <f t="shared" si="6"/>
        <v/>
      </c>
      <c r="R42" s="103" t="str">
        <f t="shared" si="7"/>
        <v/>
      </c>
      <c r="S42" s="52">
        <v>0</v>
      </c>
      <c r="T42" s="102" t="str">
        <f t="shared" si="8"/>
        <v/>
      </c>
      <c r="U42" s="103" t="str">
        <f t="shared" si="9"/>
        <v/>
      </c>
      <c r="V42" s="52">
        <v>0</v>
      </c>
      <c r="W42" s="87" t="str">
        <f t="shared" si="10"/>
        <v/>
      </c>
      <c r="X42" s="103" t="str">
        <f t="shared" si="11"/>
        <v/>
      </c>
      <c r="Y42" s="52">
        <v>0</v>
      </c>
      <c r="Z42" s="56" t="str">
        <f t="shared" si="12"/>
        <v/>
      </c>
      <c r="AA42" s="56" t="str">
        <f t="shared" si="13"/>
        <v/>
      </c>
      <c r="AB42" s="56" t="str">
        <f t="shared" si="14"/>
        <v/>
      </c>
      <c r="AC42" s="56" t="str">
        <f t="shared" si="15"/>
        <v/>
      </c>
      <c r="AD42" s="56" t="str">
        <f t="shared" si="16"/>
        <v/>
      </c>
      <c r="AE42" s="40"/>
      <c r="AF42" s="40"/>
      <c r="AG42" s="40"/>
      <c r="AH42" s="56" t="str">
        <f t="shared" si="17"/>
        <v/>
      </c>
      <c r="AI42" s="54"/>
      <c r="AJ42" s="54"/>
      <c r="AK42" s="54">
        <v>34</v>
      </c>
      <c r="AL42" s="54" t="s">
        <v>66</v>
      </c>
      <c r="AM42" s="54" t="s">
        <v>67</v>
      </c>
    </row>
    <row r="43" spans="1:39">
      <c r="A43" s="45" t="str" cm="1">
        <f t="array" ref="A43">IF(H43="PROJECT", CHAR(10) &amp; "- " &amp; _xlfn.TEXTJOIN(CHAR(10) &amp; "- ", TRUE, _xlfn._xlws.FILTER($I$9:$I$1000, ($B$9:$B$1000=B43) * ($H$9:$H$1000="Topic"))), "")</f>
        <v/>
      </c>
      <c r="B43" s="45" t="str">
        <f t="shared" si="1"/>
        <v/>
      </c>
      <c r="C43" s="95"/>
      <c r="D43" s="46"/>
      <c r="E43" s="58"/>
      <c r="F43" s="48"/>
      <c r="G43" s="49"/>
      <c r="H43" s="49"/>
      <c r="I43" s="50"/>
      <c r="J43" s="51"/>
      <c r="K43" s="129" t="str">
        <f t="shared" si="2"/>
        <v/>
      </c>
      <c r="L43" s="103" t="str">
        <f t="shared" si="3"/>
        <v/>
      </c>
      <c r="M43" s="53">
        <v>0</v>
      </c>
      <c r="N43" s="102" t="str">
        <f t="shared" si="4"/>
        <v/>
      </c>
      <c r="O43" s="103" t="str">
        <f t="shared" si="5"/>
        <v/>
      </c>
      <c r="P43" s="53">
        <v>0</v>
      </c>
      <c r="Q43" s="102" t="str">
        <f t="shared" si="6"/>
        <v/>
      </c>
      <c r="R43" s="103" t="str">
        <f t="shared" si="7"/>
        <v/>
      </c>
      <c r="S43" s="53">
        <v>0</v>
      </c>
      <c r="T43" s="102" t="str">
        <f t="shared" si="8"/>
        <v/>
      </c>
      <c r="U43" s="103" t="str">
        <f t="shared" si="9"/>
        <v/>
      </c>
      <c r="V43" s="53">
        <v>0</v>
      </c>
      <c r="W43" s="87" t="str">
        <f t="shared" si="10"/>
        <v/>
      </c>
      <c r="X43" s="103" t="str">
        <f t="shared" si="11"/>
        <v/>
      </c>
      <c r="Y43" s="53">
        <v>0</v>
      </c>
      <c r="Z43" s="56" t="str">
        <f t="shared" si="12"/>
        <v/>
      </c>
      <c r="AA43" s="56" t="str">
        <f t="shared" si="13"/>
        <v/>
      </c>
      <c r="AB43" s="56" t="str">
        <f t="shared" si="14"/>
        <v/>
      </c>
      <c r="AC43" s="56" t="str">
        <f t="shared" si="15"/>
        <v/>
      </c>
      <c r="AD43" s="56" t="str">
        <f t="shared" si="16"/>
        <v/>
      </c>
      <c r="AE43" s="40"/>
      <c r="AF43" s="40"/>
      <c r="AG43" s="40"/>
      <c r="AH43" s="56" t="str">
        <f t="shared" si="17"/>
        <v/>
      </c>
      <c r="AI43" s="54"/>
      <c r="AJ43" s="54"/>
      <c r="AK43" s="54">
        <v>35</v>
      </c>
      <c r="AL43" s="54" t="s">
        <v>72</v>
      </c>
      <c r="AM43" s="54" t="s">
        <v>73</v>
      </c>
    </row>
    <row r="44" spans="1:39">
      <c r="A44" s="45" t="str" cm="1">
        <f t="array" ref="A44">IF(H44="PROJECT", CHAR(10) &amp; "- " &amp; _xlfn.TEXTJOIN(CHAR(10) &amp; "- ", TRUE, _xlfn._xlws.FILTER($I$9:$I$1000, ($B$9:$B$1000=B44) * ($H$9:$H$1000="Topic"))), "")</f>
        <v/>
      </c>
      <c r="B44" s="45" t="str">
        <f t="shared" si="1"/>
        <v/>
      </c>
      <c r="C44" s="95"/>
      <c r="D44" s="57"/>
      <c r="E44" s="58"/>
      <c r="F44" s="59"/>
      <c r="G44" s="60"/>
      <c r="H44" s="60"/>
      <c r="I44" s="61"/>
      <c r="J44" s="62"/>
      <c r="K44" s="129" t="str">
        <f t="shared" si="2"/>
        <v/>
      </c>
      <c r="L44" s="103" t="str">
        <f t="shared" si="3"/>
        <v/>
      </c>
      <c r="M44" s="52">
        <v>0</v>
      </c>
      <c r="N44" s="102" t="str">
        <f t="shared" si="4"/>
        <v/>
      </c>
      <c r="O44" s="103" t="str">
        <f t="shared" si="5"/>
        <v/>
      </c>
      <c r="P44" s="52">
        <v>0</v>
      </c>
      <c r="Q44" s="102" t="str">
        <f t="shared" si="6"/>
        <v/>
      </c>
      <c r="R44" s="103" t="str">
        <f t="shared" si="7"/>
        <v/>
      </c>
      <c r="S44" s="52">
        <v>0</v>
      </c>
      <c r="T44" s="102" t="str">
        <f t="shared" si="8"/>
        <v/>
      </c>
      <c r="U44" s="103" t="str">
        <f t="shared" si="9"/>
        <v/>
      </c>
      <c r="V44" s="52">
        <v>0</v>
      </c>
      <c r="W44" s="87" t="str">
        <f t="shared" si="10"/>
        <v/>
      </c>
      <c r="X44" s="103" t="str">
        <f t="shared" si="11"/>
        <v/>
      </c>
      <c r="Y44" s="52">
        <v>0</v>
      </c>
      <c r="Z44" s="56" t="str">
        <f t="shared" si="12"/>
        <v/>
      </c>
      <c r="AA44" s="56" t="str">
        <f t="shared" si="13"/>
        <v/>
      </c>
      <c r="AB44" s="56" t="str">
        <f t="shared" si="14"/>
        <v/>
      </c>
      <c r="AC44" s="56" t="str">
        <f t="shared" si="15"/>
        <v/>
      </c>
      <c r="AD44" s="56" t="str">
        <f t="shared" si="16"/>
        <v/>
      </c>
      <c r="AE44" s="40"/>
      <c r="AF44" s="40"/>
      <c r="AG44" s="40"/>
      <c r="AH44" s="56" t="str">
        <f t="shared" si="17"/>
        <v/>
      </c>
      <c r="AI44" s="54"/>
      <c r="AJ44" s="54"/>
      <c r="AK44" s="54">
        <v>36</v>
      </c>
      <c r="AL44" s="54" t="s">
        <v>78</v>
      </c>
      <c r="AM44" s="54" t="s">
        <v>79</v>
      </c>
    </row>
    <row r="45" spans="1:39">
      <c r="A45" s="45" t="str" cm="1">
        <f t="array" ref="A45">IF(H45="PROJECT", CHAR(10) &amp; "- " &amp; _xlfn.TEXTJOIN(CHAR(10) &amp; "- ", TRUE, _xlfn._xlws.FILTER($I$9:$I$1000, ($B$9:$B$1000=B45) * ($H$9:$H$1000="Topic"))), "")</f>
        <v/>
      </c>
      <c r="B45" s="45" t="str">
        <f t="shared" si="1"/>
        <v/>
      </c>
      <c r="C45" s="95"/>
      <c r="D45" s="46"/>
      <c r="E45" s="58"/>
      <c r="F45" s="48"/>
      <c r="G45" s="49"/>
      <c r="H45" s="49"/>
      <c r="I45" s="50"/>
      <c r="J45" s="51"/>
      <c r="K45" s="129" t="str">
        <f t="shared" si="2"/>
        <v/>
      </c>
      <c r="L45" s="103" t="str">
        <f t="shared" si="3"/>
        <v/>
      </c>
      <c r="M45" s="53">
        <v>0</v>
      </c>
      <c r="N45" s="102" t="str">
        <f t="shared" si="4"/>
        <v/>
      </c>
      <c r="O45" s="103" t="str">
        <f t="shared" si="5"/>
        <v/>
      </c>
      <c r="P45" s="53">
        <v>0</v>
      </c>
      <c r="Q45" s="102" t="str">
        <f t="shared" si="6"/>
        <v/>
      </c>
      <c r="R45" s="103" t="str">
        <f t="shared" si="7"/>
        <v/>
      </c>
      <c r="S45" s="53">
        <v>0</v>
      </c>
      <c r="T45" s="102" t="str">
        <f t="shared" si="8"/>
        <v/>
      </c>
      <c r="U45" s="103" t="str">
        <f t="shared" si="9"/>
        <v/>
      </c>
      <c r="V45" s="53">
        <v>0</v>
      </c>
      <c r="W45" s="87" t="str">
        <f t="shared" si="10"/>
        <v/>
      </c>
      <c r="X45" s="103" t="str">
        <f t="shared" si="11"/>
        <v/>
      </c>
      <c r="Y45" s="53">
        <v>0</v>
      </c>
      <c r="Z45" s="56" t="str">
        <f t="shared" si="12"/>
        <v/>
      </c>
      <c r="AA45" s="56" t="str">
        <f t="shared" si="13"/>
        <v/>
      </c>
      <c r="AB45" s="56" t="str">
        <f t="shared" si="14"/>
        <v/>
      </c>
      <c r="AC45" s="56" t="str">
        <f t="shared" si="15"/>
        <v/>
      </c>
      <c r="AD45" s="56" t="str">
        <f t="shared" si="16"/>
        <v/>
      </c>
      <c r="AE45" s="40"/>
      <c r="AF45" s="40"/>
      <c r="AG45" s="40"/>
      <c r="AH45" s="56" t="str">
        <f t="shared" si="17"/>
        <v/>
      </c>
      <c r="AI45" s="54"/>
      <c r="AJ45" s="54"/>
      <c r="AK45" s="54">
        <v>37</v>
      </c>
      <c r="AL45" s="54" t="s">
        <v>83</v>
      </c>
      <c r="AM45" s="54" t="s">
        <v>84</v>
      </c>
    </row>
    <row r="46" spans="1:39">
      <c r="A46" s="45" t="str" cm="1">
        <f t="array" ref="A46">IF(H46="PROJECT", CHAR(10) &amp; "- " &amp; _xlfn.TEXTJOIN(CHAR(10) &amp; "- ", TRUE, _xlfn._xlws.FILTER($I$9:$I$1000, ($B$9:$B$1000=B46) * ($H$9:$H$1000="Topic"))), "")</f>
        <v/>
      </c>
      <c r="B46" s="45" t="str">
        <f t="shared" si="1"/>
        <v/>
      </c>
      <c r="C46" s="95"/>
      <c r="D46" s="57"/>
      <c r="E46" s="58"/>
      <c r="F46" s="59"/>
      <c r="G46" s="60"/>
      <c r="H46" s="60"/>
      <c r="I46" s="61"/>
      <c r="J46" s="62"/>
      <c r="K46" s="129" t="str">
        <f t="shared" si="2"/>
        <v/>
      </c>
      <c r="L46" s="103" t="str">
        <f t="shared" si="3"/>
        <v/>
      </c>
      <c r="M46" s="52">
        <v>0</v>
      </c>
      <c r="N46" s="102" t="str">
        <f t="shared" si="4"/>
        <v/>
      </c>
      <c r="O46" s="103" t="str">
        <f t="shared" si="5"/>
        <v/>
      </c>
      <c r="P46" s="52">
        <v>0</v>
      </c>
      <c r="Q46" s="102" t="str">
        <f t="shared" si="6"/>
        <v/>
      </c>
      <c r="R46" s="103" t="str">
        <f t="shared" si="7"/>
        <v/>
      </c>
      <c r="S46" s="52">
        <v>0</v>
      </c>
      <c r="T46" s="102" t="str">
        <f t="shared" si="8"/>
        <v/>
      </c>
      <c r="U46" s="103" t="str">
        <f t="shared" si="9"/>
        <v/>
      </c>
      <c r="V46" s="52">
        <v>0</v>
      </c>
      <c r="W46" s="87" t="str">
        <f t="shared" si="10"/>
        <v/>
      </c>
      <c r="X46" s="103" t="str">
        <f t="shared" si="11"/>
        <v/>
      </c>
      <c r="Y46" s="52">
        <v>0</v>
      </c>
      <c r="Z46" s="56" t="str">
        <f t="shared" si="12"/>
        <v/>
      </c>
      <c r="AA46" s="56" t="str">
        <f t="shared" si="13"/>
        <v/>
      </c>
      <c r="AB46" s="56" t="str">
        <f t="shared" si="14"/>
        <v/>
      </c>
      <c r="AC46" s="56" t="str">
        <f t="shared" si="15"/>
        <v/>
      </c>
      <c r="AD46" s="56" t="str">
        <f t="shared" si="16"/>
        <v/>
      </c>
      <c r="AE46" s="40"/>
      <c r="AF46" s="40"/>
      <c r="AG46" s="40"/>
      <c r="AH46" s="56" t="str">
        <f t="shared" si="17"/>
        <v/>
      </c>
      <c r="AI46" s="54"/>
      <c r="AJ46" s="54"/>
      <c r="AK46" s="54">
        <v>38</v>
      </c>
      <c r="AL46" s="54" t="s">
        <v>88</v>
      </c>
      <c r="AM46" s="54" t="s">
        <v>89</v>
      </c>
    </row>
    <row r="47" spans="1:39">
      <c r="A47" s="45" t="str" cm="1">
        <f t="array" ref="A47">IF(H47="PROJECT", CHAR(10) &amp; "- " &amp; _xlfn.TEXTJOIN(CHAR(10) &amp; "- ", TRUE, _xlfn._xlws.FILTER($I$9:$I$1000, ($B$9:$B$1000=B47) * ($H$9:$H$1000="Topic"))), "")</f>
        <v/>
      </c>
      <c r="B47" s="45" t="str">
        <f t="shared" si="1"/>
        <v/>
      </c>
      <c r="C47" s="95"/>
      <c r="D47" s="46"/>
      <c r="E47" s="58"/>
      <c r="F47" s="48"/>
      <c r="G47" s="49"/>
      <c r="H47" s="49"/>
      <c r="I47" s="50"/>
      <c r="J47" s="51"/>
      <c r="K47" s="129" t="str">
        <f t="shared" si="2"/>
        <v/>
      </c>
      <c r="L47" s="103" t="str">
        <f t="shared" si="3"/>
        <v/>
      </c>
      <c r="M47" s="53">
        <v>0</v>
      </c>
      <c r="N47" s="102" t="str">
        <f t="shared" si="4"/>
        <v/>
      </c>
      <c r="O47" s="103" t="str">
        <f t="shared" si="5"/>
        <v/>
      </c>
      <c r="P47" s="53">
        <v>0</v>
      </c>
      <c r="Q47" s="102" t="str">
        <f t="shared" si="6"/>
        <v/>
      </c>
      <c r="R47" s="103" t="str">
        <f t="shared" si="7"/>
        <v/>
      </c>
      <c r="S47" s="53">
        <v>0</v>
      </c>
      <c r="T47" s="102" t="str">
        <f t="shared" si="8"/>
        <v/>
      </c>
      <c r="U47" s="103" t="str">
        <f t="shared" si="9"/>
        <v/>
      </c>
      <c r="V47" s="53">
        <v>0</v>
      </c>
      <c r="W47" s="87" t="str">
        <f t="shared" si="10"/>
        <v/>
      </c>
      <c r="X47" s="103" t="str">
        <f t="shared" si="11"/>
        <v/>
      </c>
      <c r="Y47" s="53">
        <v>0</v>
      </c>
      <c r="Z47" s="56" t="str">
        <f t="shared" si="12"/>
        <v/>
      </c>
      <c r="AA47" s="56" t="str">
        <f t="shared" si="13"/>
        <v/>
      </c>
      <c r="AB47" s="56" t="str">
        <f t="shared" si="14"/>
        <v/>
      </c>
      <c r="AC47" s="56" t="str">
        <f t="shared" si="15"/>
        <v/>
      </c>
      <c r="AD47" s="56" t="str">
        <f t="shared" si="16"/>
        <v/>
      </c>
      <c r="AE47" s="40"/>
      <c r="AF47" s="40"/>
      <c r="AG47" s="40"/>
      <c r="AH47" s="56" t="str">
        <f t="shared" si="17"/>
        <v/>
      </c>
      <c r="AI47" s="54"/>
      <c r="AJ47" s="54"/>
      <c r="AK47" s="54">
        <v>39</v>
      </c>
      <c r="AL47" s="54" t="s">
        <v>93</v>
      </c>
      <c r="AM47" s="54" t="s">
        <v>94</v>
      </c>
    </row>
    <row r="48" spans="1:39">
      <c r="A48" s="45" t="str" cm="1">
        <f t="array" ref="A48">IF(H48="PROJECT", CHAR(10) &amp; "- " &amp; _xlfn.TEXTJOIN(CHAR(10) &amp; "- ", TRUE, _xlfn._xlws.FILTER($I$9:$I$1000, ($B$9:$B$1000=B48) * ($H$9:$H$1000="Topic"))), "")</f>
        <v/>
      </c>
      <c r="B48" s="45" t="str">
        <f t="shared" si="1"/>
        <v/>
      </c>
      <c r="C48" s="95"/>
      <c r="D48" s="57"/>
      <c r="E48" s="58"/>
      <c r="F48" s="59"/>
      <c r="G48" s="60"/>
      <c r="H48" s="60"/>
      <c r="I48" s="61"/>
      <c r="J48" s="62"/>
      <c r="K48" s="129" t="str">
        <f t="shared" si="2"/>
        <v/>
      </c>
      <c r="L48" s="103" t="str">
        <f t="shared" si="3"/>
        <v/>
      </c>
      <c r="M48" s="52">
        <v>0</v>
      </c>
      <c r="N48" s="102" t="str">
        <f t="shared" si="4"/>
        <v/>
      </c>
      <c r="O48" s="103" t="str">
        <f t="shared" si="5"/>
        <v/>
      </c>
      <c r="P48" s="52">
        <v>0</v>
      </c>
      <c r="Q48" s="102" t="str">
        <f t="shared" si="6"/>
        <v/>
      </c>
      <c r="R48" s="103" t="str">
        <f t="shared" si="7"/>
        <v/>
      </c>
      <c r="S48" s="52">
        <v>0</v>
      </c>
      <c r="T48" s="102" t="str">
        <f t="shared" si="8"/>
        <v/>
      </c>
      <c r="U48" s="103" t="str">
        <f t="shared" si="9"/>
        <v/>
      </c>
      <c r="V48" s="52">
        <v>0</v>
      </c>
      <c r="W48" s="87" t="str">
        <f t="shared" si="10"/>
        <v/>
      </c>
      <c r="X48" s="103" t="str">
        <f t="shared" si="11"/>
        <v/>
      </c>
      <c r="Y48" s="52">
        <v>0</v>
      </c>
      <c r="Z48" s="56" t="str">
        <f t="shared" si="12"/>
        <v/>
      </c>
      <c r="AA48" s="56" t="str">
        <f t="shared" si="13"/>
        <v/>
      </c>
      <c r="AB48" s="56" t="str">
        <f t="shared" si="14"/>
        <v/>
      </c>
      <c r="AC48" s="56" t="str">
        <f t="shared" si="15"/>
        <v/>
      </c>
      <c r="AD48" s="56" t="str">
        <f t="shared" si="16"/>
        <v/>
      </c>
      <c r="AE48" s="40"/>
      <c r="AF48" s="40"/>
      <c r="AG48" s="40"/>
      <c r="AH48" s="56" t="str">
        <f t="shared" si="17"/>
        <v/>
      </c>
      <c r="AI48" s="54"/>
      <c r="AJ48" s="54"/>
      <c r="AK48" s="54">
        <v>40</v>
      </c>
      <c r="AL48" s="54" t="s">
        <v>98</v>
      </c>
      <c r="AM48" s="54" t="s">
        <v>99</v>
      </c>
    </row>
    <row r="49" spans="1:39">
      <c r="A49" s="45" t="str" cm="1">
        <f t="array" ref="A49">IF(H49="PROJECT", CHAR(10) &amp; "- " &amp; _xlfn.TEXTJOIN(CHAR(10) &amp; "- ", TRUE, _xlfn._xlws.FILTER($I$9:$I$1000, ($B$9:$B$1000=B49) * ($H$9:$H$1000="Topic"))), "")</f>
        <v/>
      </c>
      <c r="B49" s="45" t="str">
        <f t="shared" si="1"/>
        <v/>
      </c>
      <c r="C49" s="95"/>
      <c r="D49" s="46"/>
      <c r="E49" s="58"/>
      <c r="F49" s="48"/>
      <c r="G49" s="49"/>
      <c r="H49" s="49"/>
      <c r="I49" s="50"/>
      <c r="J49" s="51"/>
      <c r="K49" s="129" t="str">
        <f t="shared" si="2"/>
        <v/>
      </c>
      <c r="L49" s="103" t="str">
        <f t="shared" si="3"/>
        <v/>
      </c>
      <c r="M49" s="53">
        <v>0</v>
      </c>
      <c r="N49" s="102" t="str">
        <f t="shared" si="4"/>
        <v/>
      </c>
      <c r="O49" s="103" t="str">
        <f t="shared" si="5"/>
        <v/>
      </c>
      <c r="P49" s="53">
        <v>0</v>
      </c>
      <c r="Q49" s="102" t="str">
        <f t="shared" si="6"/>
        <v/>
      </c>
      <c r="R49" s="103" t="str">
        <f t="shared" si="7"/>
        <v/>
      </c>
      <c r="S49" s="53">
        <v>0</v>
      </c>
      <c r="T49" s="102" t="str">
        <f t="shared" si="8"/>
        <v/>
      </c>
      <c r="U49" s="103" t="str">
        <f t="shared" si="9"/>
        <v/>
      </c>
      <c r="V49" s="53">
        <v>0</v>
      </c>
      <c r="W49" s="87" t="str">
        <f t="shared" si="10"/>
        <v/>
      </c>
      <c r="X49" s="103" t="str">
        <f t="shared" si="11"/>
        <v/>
      </c>
      <c r="Y49" s="53">
        <v>0</v>
      </c>
      <c r="Z49" s="56" t="str">
        <f t="shared" si="12"/>
        <v/>
      </c>
      <c r="AA49" s="56" t="str">
        <f t="shared" si="13"/>
        <v/>
      </c>
      <c r="AB49" s="56" t="str">
        <f t="shared" si="14"/>
        <v/>
      </c>
      <c r="AC49" s="56" t="str">
        <f t="shared" si="15"/>
        <v/>
      </c>
      <c r="AD49" s="56" t="str">
        <f t="shared" si="16"/>
        <v/>
      </c>
      <c r="AE49" s="40"/>
      <c r="AF49" s="40"/>
      <c r="AG49" s="40"/>
      <c r="AH49" s="56" t="str">
        <f t="shared" si="17"/>
        <v/>
      </c>
      <c r="AI49" s="54"/>
      <c r="AJ49" s="54"/>
      <c r="AK49" s="54"/>
      <c r="AL49" s="54"/>
      <c r="AM49" s="54"/>
    </row>
    <row r="50" spans="1:39">
      <c r="A50" s="45" t="str" cm="1">
        <f t="array" ref="A50">IF(H50="PROJECT", CHAR(10) &amp; "- " &amp; _xlfn.TEXTJOIN(CHAR(10) &amp; "- ", TRUE, _xlfn._xlws.FILTER($I$9:$I$1000, ($B$9:$B$1000=B50) * ($H$9:$H$1000="Topic"))), "")</f>
        <v/>
      </c>
      <c r="B50" s="45" t="str">
        <f t="shared" si="1"/>
        <v/>
      </c>
      <c r="C50" s="95"/>
      <c r="D50" s="57"/>
      <c r="E50" s="58"/>
      <c r="F50" s="59"/>
      <c r="G50" s="60"/>
      <c r="H50" s="60"/>
      <c r="I50" s="61"/>
      <c r="J50" s="62"/>
      <c r="K50" s="129" t="str">
        <f t="shared" si="2"/>
        <v/>
      </c>
      <c r="L50" s="103" t="str">
        <f t="shared" si="3"/>
        <v/>
      </c>
      <c r="M50" s="52">
        <v>0</v>
      </c>
      <c r="N50" s="102" t="str">
        <f t="shared" si="4"/>
        <v/>
      </c>
      <c r="O50" s="103" t="str">
        <f t="shared" si="5"/>
        <v/>
      </c>
      <c r="P50" s="52">
        <v>0</v>
      </c>
      <c r="Q50" s="102" t="str">
        <f t="shared" si="6"/>
        <v/>
      </c>
      <c r="R50" s="103" t="str">
        <f t="shared" si="7"/>
        <v/>
      </c>
      <c r="S50" s="52">
        <v>0</v>
      </c>
      <c r="T50" s="102" t="str">
        <f t="shared" si="8"/>
        <v/>
      </c>
      <c r="U50" s="103" t="str">
        <f t="shared" si="9"/>
        <v/>
      </c>
      <c r="V50" s="52">
        <v>0</v>
      </c>
      <c r="W50" s="87" t="str">
        <f t="shared" si="10"/>
        <v/>
      </c>
      <c r="X50" s="103" t="str">
        <f t="shared" si="11"/>
        <v/>
      </c>
      <c r="Y50" s="52">
        <v>0</v>
      </c>
      <c r="Z50" s="56" t="str">
        <f t="shared" si="12"/>
        <v/>
      </c>
      <c r="AA50" s="56" t="str">
        <f t="shared" si="13"/>
        <v/>
      </c>
      <c r="AB50" s="56" t="str">
        <f t="shared" si="14"/>
        <v/>
      </c>
      <c r="AC50" s="56" t="str">
        <f t="shared" si="15"/>
        <v/>
      </c>
      <c r="AD50" s="56" t="str">
        <f t="shared" si="16"/>
        <v/>
      </c>
      <c r="AE50" s="40"/>
      <c r="AF50" s="40"/>
      <c r="AG50" s="40"/>
      <c r="AH50" s="56" t="str">
        <f t="shared" si="17"/>
        <v/>
      </c>
      <c r="AI50" s="54"/>
      <c r="AJ50" s="54"/>
      <c r="AK50" s="54"/>
      <c r="AL50" s="54"/>
      <c r="AM50" s="54"/>
    </row>
    <row r="51" spans="1:39">
      <c r="A51" s="45" t="str" cm="1">
        <f t="array" ref="A51">IF(H51="PROJECT", CHAR(10) &amp; "- " &amp; _xlfn.TEXTJOIN(CHAR(10) &amp; "- ", TRUE, _xlfn._xlws.FILTER($I$9:$I$1000, ($B$9:$B$1000=B51) * ($H$9:$H$1000="Topic"))), "")</f>
        <v/>
      </c>
      <c r="B51" s="45" t="str">
        <f t="shared" si="1"/>
        <v/>
      </c>
      <c r="C51" s="95"/>
      <c r="D51" s="46"/>
      <c r="E51" s="58"/>
      <c r="F51" s="48"/>
      <c r="G51" s="49"/>
      <c r="H51" s="49"/>
      <c r="I51" s="50"/>
      <c r="J51" s="51"/>
      <c r="K51" s="129" t="str">
        <f t="shared" si="2"/>
        <v/>
      </c>
      <c r="L51" s="103" t="str">
        <f t="shared" si="3"/>
        <v/>
      </c>
      <c r="M51" s="53">
        <v>0</v>
      </c>
      <c r="N51" s="102" t="str">
        <f t="shared" si="4"/>
        <v/>
      </c>
      <c r="O51" s="103" t="str">
        <f t="shared" si="5"/>
        <v/>
      </c>
      <c r="P51" s="53">
        <v>0</v>
      </c>
      <c r="Q51" s="102" t="str">
        <f t="shared" si="6"/>
        <v/>
      </c>
      <c r="R51" s="103" t="str">
        <f t="shared" si="7"/>
        <v/>
      </c>
      <c r="S51" s="53">
        <v>0</v>
      </c>
      <c r="T51" s="102" t="str">
        <f t="shared" si="8"/>
        <v/>
      </c>
      <c r="U51" s="103" t="str">
        <f t="shared" si="9"/>
        <v/>
      </c>
      <c r="V51" s="53">
        <v>0</v>
      </c>
      <c r="W51" s="87" t="str">
        <f t="shared" si="10"/>
        <v/>
      </c>
      <c r="X51" s="103" t="str">
        <f t="shared" si="11"/>
        <v/>
      </c>
      <c r="Y51" s="53">
        <v>0</v>
      </c>
      <c r="Z51" s="56" t="str">
        <f t="shared" si="12"/>
        <v/>
      </c>
      <c r="AA51" s="56" t="str">
        <f t="shared" si="13"/>
        <v/>
      </c>
      <c r="AB51" s="56" t="str">
        <f t="shared" si="14"/>
        <v/>
      </c>
      <c r="AC51" s="56" t="str">
        <f t="shared" si="15"/>
        <v/>
      </c>
      <c r="AD51" s="56" t="str">
        <f t="shared" si="16"/>
        <v/>
      </c>
      <c r="AE51" s="40"/>
      <c r="AF51" s="40"/>
      <c r="AG51" s="40"/>
      <c r="AH51" s="56" t="str">
        <f t="shared" si="17"/>
        <v/>
      </c>
      <c r="AI51" s="54"/>
      <c r="AJ51" s="54"/>
      <c r="AK51" s="54"/>
      <c r="AL51" s="54"/>
      <c r="AM51" s="54"/>
    </row>
    <row r="52" spans="1:39">
      <c r="A52" s="45" t="str" cm="1">
        <f t="array" ref="A52">IF(H52="PROJECT", CHAR(10) &amp; "- " &amp; _xlfn.TEXTJOIN(CHAR(10) &amp; "- ", TRUE, _xlfn._xlws.FILTER($I$9:$I$1000, ($B$9:$B$1000=B52) * ($H$9:$H$1000="Topic"))), "")</f>
        <v/>
      </c>
      <c r="B52" s="45" t="str">
        <f t="shared" si="1"/>
        <v/>
      </c>
      <c r="C52" s="95"/>
      <c r="D52" s="57"/>
      <c r="E52" s="58"/>
      <c r="F52" s="59"/>
      <c r="G52" s="60"/>
      <c r="H52" s="60"/>
      <c r="I52" s="61"/>
      <c r="J52" s="62"/>
      <c r="K52" s="129" t="str">
        <f t="shared" si="2"/>
        <v/>
      </c>
      <c r="L52" s="103" t="str">
        <f t="shared" si="3"/>
        <v/>
      </c>
      <c r="M52" s="52">
        <v>0</v>
      </c>
      <c r="N52" s="102" t="str">
        <f t="shared" si="4"/>
        <v/>
      </c>
      <c r="O52" s="103" t="str">
        <f t="shared" si="5"/>
        <v/>
      </c>
      <c r="P52" s="52">
        <v>0</v>
      </c>
      <c r="Q52" s="102" t="str">
        <f t="shared" si="6"/>
        <v/>
      </c>
      <c r="R52" s="103" t="str">
        <f t="shared" si="7"/>
        <v/>
      </c>
      <c r="S52" s="52">
        <v>0</v>
      </c>
      <c r="T52" s="102" t="str">
        <f t="shared" si="8"/>
        <v/>
      </c>
      <c r="U52" s="103" t="str">
        <f t="shared" si="9"/>
        <v/>
      </c>
      <c r="V52" s="52">
        <v>0</v>
      </c>
      <c r="W52" s="87" t="str">
        <f t="shared" si="10"/>
        <v/>
      </c>
      <c r="X52" s="103" t="str">
        <f t="shared" si="11"/>
        <v/>
      </c>
      <c r="Y52" s="52">
        <v>0</v>
      </c>
      <c r="Z52" s="56" t="str">
        <f t="shared" si="12"/>
        <v/>
      </c>
      <c r="AA52" s="56" t="str">
        <f t="shared" si="13"/>
        <v/>
      </c>
      <c r="AB52" s="56" t="str">
        <f t="shared" si="14"/>
        <v/>
      </c>
      <c r="AC52" s="56" t="str">
        <f t="shared" si="15"/>
        <v/>
      </c>
      <c r="AD52" s="56" t="str">
        <f t="shared" si="16"/>
        <v/>
      </c>
      <c r="AE52" s="40"/>
      <c r="AF52" s="40"/>
      <c r="AG52" s="40"/>
      <c r="AH52" s="56" t="str">
        <f t="shared" si="17"/>
        <v/>
      </c>
      <c r="AI52" s="54"/>
      <c r="AJ52" s="54"/>
      <c r="AK52" s="54"/>
      <c r="AL52" s="54"/>
      <c r="AM52" s="54"/>
    </row>
    <row r="53" spans="1:39">
      <c r="A53" s="45" t="str" cm="1">
        <f t="array" ref="A53">IF(H53="PROJECT", CHAR(10) &amp; "- " &amp; _xlfn.TEXTJOIN(CHAR(10) &amp; "- ", TRUE, _xlfn._xlws.FILTER($I$9:$I$1000, ($B$9:$B$1000=B53) * ($H$9:$H$1000="Topic"))), "")</f>
        <v/>
      </c>
      <c r="B53" s="45" t="str">
        <f t="shared" si="1"/>
        <v/>
      </c>
      <c r="C53" s="95"/>
      <c r="D53" s="46"/>
      <c r="E53" s="58"/>
      <c r="F53" s="48"/>
      <c r="G53" s="49"/>
      <c r="H53" s="49"/>
      <c r="I53" s="50"/>
      <c r="J53" s="51"/>
      <c r="K53" s="129" t="str">
        <f t="shared" si="2"/>
        <v/>
      </c>
      <c r="L53" s="103" t="str">
        <f t="shared" si="3"/>
        <v/>
      </c>
      <c r="M53" s="53">
        <v>0</v>
      </c>
      <c r="N53" s="102" t="str">
        <f t="shared" si="4"/>
        <v/>
      </c>
      <c r="O53" s="103" t="str">
        <f t="shared" si="5"/>
        <v/>
      </c>
      <c r="P53" s="53">
        <v>0</v>
      </c>
      <c r="Q53" s="102" t="str">
        <f t="shared" si="6"/>
        <v/>
      </c>
      <c r="R53" s="103" t="str">
        <f t="shared" si="7"/>
        <v/>
      </c>
      <c r="S53" s="53">
        <v>0</v>
      </c>
      <c r="T53" s="102" t="str">
        <f t="shared" si="8"/>
        <v/>
      </c>
      <c r="U53" s="103" t="str">
        <f t="shared" si="9"/>
        <v/>
      </c>
      <c r="V53" s="53">
        <v>0</v>
      </c>
      <c r="W53" s="87" t="str">
        <f t="shared" si="10"/>
        <v/>
      </c>
      <c r="X53" s="103" t="str">
        <f t="shared" si="11"/>
        <v/>
      </c>
      <c r="Y53" s="53">
        <v>0</v>
      </c>
      <c r="Z53" s="56" t="str">
        <f t="shared" si="12"/>
        <v/>
      </c>
      <c r="AA53" s="56" t="str">
        <f t="shared" si="13"/>
        <v/>
      </c>
      <c r="AB53" s="56" t="str">
        <f t="shared" si="14"/>
        <v/>
      </c>
      <c r="AC53" s="56" t="str">
        <f t="shared" si="15"/>
        <v/>
      </c>
      <c r="AD53" s="56" t="str">
        <f t="shared" si="16"/>
        <v/>
      </c>
      <c r="AE53" s="40"/>
      <c r="AF53" s="40"/>
      <c r="AG53" s="40"/>
      <c r="AH53" s="56" t="str">
        <f t="shared" si="17"/>
        <v/>
      </c>
      <c r="AI53" s="54"/>
      <c r="AJ53" s="54"/>
      <c r="AK53" s="54"/>
      <c r="AL53" s="54"/>
      <c r="AM53" s="54"/>
    </row>
    <row r="54" spans="1:39">
      <c r="A54" s="45" t="str" cm="1">
        <f t="array" ref="A54">IF(H54="PROJECT", CHAR(10) &amp; "- " &amp; _xlfn.TEXTJOIN(CHAR(10) &amp; "- ", TRUE, _xlfn._xlws.FILTER($I$9:$I$1000, ($B$9:$B$1000=B54) * ($H$9:$H$1000="Topic"))), "")</f>
        <v/>
      </c>
      <c r="B54" s="45" t="str">
        <f t="shared" si="1"/>
        <v/>
      </c>
      <c r="C54" s="95"/>
      <c r="D54" s="57"/>
      <c r="E54" s="58"/>
      <c r="F54" s="59"/>
      <c r="G54" s="60"/>
      <c r="H54" s="60"/>
      <c r="I54" s="61"/>
      <c r="J54" s="62"/>
      <c r="K54" s="129" t="str">
        <f t="shared" si="2"/>
        <v/>
      </c>
      <c r="L54" s="103" t="str">
        <f t="shared" si="3"/>
        <v/>
      </c>
      <c r="M54" s="52">
        <v>0</v>
      </c>
      <c r="N54" s="102" t="str">
        <f t="shared" si="4"/>
        <v/>
      </c>
      <c r="O54" s="103" t="str">
        <f t="shared" si="5"/>
        <v/>
      </c>
      <c r="P54" s="52">
        <v>0</v>
      </c>
      <c r="Q54" s="102" t="str">
        <f t="shared" si="6"/>
        <v/>
      </c>
      <c r="R54" s="103" t="str">
        <f t="shared" si="7"/>
        <v/>
      </c>
      <c r="S54" s="52">
        <v>0</v>
      </c>
      <c r="T54" s="102" t="str">
        <f t="shared" si="8"/>
        <v/>
      </c>
      <c r="U54" s="103" t="str">
        <f t="shared" si="9"/>
        <v/>
      </c>
      <c r="V54" s="52">
        <v>0</v>
      </c>
      <c r="W54" s="87" t="str">
        <f t="shared" si="10"/>
        <v/>
      </c>
      <c r="X54" s="103" t="str">
        <f t="shared" si="11"/>
        <v/>
      </c>
      <c r="Y54" s="52">
        <v>0</v>
      </c>
      <c r="Z54" s="56" t="str">
        <f t="shared" si="12"/>
        <v/>
      </c>
      <c r="AA54" s="56" t="str">
        <f t="shared" si="13"/>
        <v/>
      </c>
      <c r="AB54" s="56" t="str">
        <f t="shared" si="14"/>
        <v/>
      </c>
      <c r="AC54" s="56" t="str">
        <f t="shared" si="15"/>
        <v/>
      </c>
      <c r="AD54" s="56" t="str">
        <f t="shared" si="16"/>
        <v/>
      </c>
      <c r="AE54" s="40"/>
      <c r="AF54" s="40"/>
      <c r="AG54" s="40"/>
      <c r="AH54" s="56" t="str">
        <f t="shared" si="17"/>
        <v/>
      </c>
      <c r="AI54" s="54"/>
      <c r="AJ54" s="54"/>
      <c r="AK54" s="54"/>
      <c r="AL54" s="54"/>
      <c r="AM54" s="54"/>
    </row>
    <row r="55" spans="1:39">
      <c r="A55" s="45" t="str" cm="1">
        <f t="array" ref="A55">IF(H55="PROJECT", CHAR(10) &amp; "- " &amp; _xlfn.TEXTJOIN(CHAR(10) &amp; "- ", TRUE, _xlfn._xlws.FILTER($I$9:$I$1000, ($B$9:$B$1000=B55) * ($H$9:$H$1000="Topic"))), "")</f>
        <v/>
      </c>
      <c r="B55" s="45" t="str">
        <f t="shared" si="1"/>
        <v/>
      </c>
      <c r="C55" s="95"/>
      <c r="D55" s="46"/>
      <c r="E55" s="58"/>
      <c r="F55" s="48"/>
      <c r="G55" s="49"/>
      <c r="H55" s="49"/>
      <c r="I55" s="50"/>
      <c r="J55" s="51"/>
      <c r="K55" s="129" t="str">
        <f t="shared" si="2"/>
        <v/>
      </c>
      <c r="L55" s="103" t="str">
        <f t="shared" si="3"/>
        <v/>
      </c>
      <c r="M55" s="53">
        <v>0</v>
      </c>
      <c r="N55" s="102" t="str">
        <f t="shared" si="4"/>
        <v/>
      </c>
      <c r="O55" s="103" t="str">
        <f t="shared" si="5"/>
        <v/>
      </c>
      <c r="P55" s="53">
        <v>0</v>
      </c>
      <c r="Q55" s="102" t="str">
        <f t="shared" si="6"/>
        <v/>
      </c>
      <c r="R55" s="103" t="str">
        <f t="shared" si="7"/>
        <v/>
      </c>
      <c r="S55" s="53">
        <v>0</v>
      </c>
      <c r="T55" s="102" t="str">
        <f t="shared" si="8"/>
        <v/>
      </c>
      <c r="U55" s="103" t="str">
        <f t="shared" si="9"/>
        <v/>
      </c>
      <c r="V55" s="53">
        <v>0</v>
      </c>
      <c r="W55" s="87" t="str">
        <f t="shared" si="10"/>
        <v/>
      </c>
      <c r="X55" s="103" t="str">
        <f t="shared" si="11"/>
        <v/>
      </c>
      <c r="Y55" s="53">
        <v>0</v>
      </c>
      <c r="Z55" s="56" t="str">
        <f t="shared" si="12"/>
        <v/>
      </c>
      <c r="AA55" s="56" t="str">
        <f t="shared" si="13"/>
        <v/>
      </c>
      <c r="AB55" s="56" t="str">
        <f t="shared" si="14"/>
        <v/>
      </c>
      <c r="AC55" s="56" t="str">
        <f t="shared" si="15"/>
        <v/>
      </c>
      <c r="AD55" s="56" t="str">
        <f t="shared" si="16"/>
        <v/>
      </c>
      <c r="AE55" s="40"/>
      <c r="AF55" s="40"/>
      <c r="AG55" s="40"/>
      <c r="AH55" s="56" t="str">
        <f t="shared" si="17"/>
        <v/>
      </c>
      <c r="AI55" s="54"/>
      <c r="AJ55" s="54"/>
      <c r="AK55" s="54"/>
      <c r="AL55" s="54"/>
      <c r="AM55" s="54"/>
    </row>
    <row r="56" spans="1:39">
      <c r="A56" s="45" t="str" cm="1">
        <f t="array" ref="A56">IF(H56="PROJECT", CHAR(10) &amp; "- " &amp; _xlfn.TEXTJOIN(CHAR(10) &amp; "- ", TRUE, _xlfn._xlws.FILTER($I$9:$I$1000, ($B$9:$B$1000=B56) * ($H$9:$H$1000="Topic"))), "")</f>
        <v/>
      </c>
      <c r="B56" s="45" t="str">
        <f t="shared" si="1"/>
        <v/>
      </c>
      <c r="C56" s="95"/>
      <c r="D56" s="57"/>
      <c r="E56" s="58"/>
      <c r="F56" s="63"/>
      <c r="G56" s="60"/>
      <c r="H56" s="64"/>
      <c r="I56" s="61"/>
      <c r="J56" s="62"/>
      <c r="K56" s="129" t="str">
        <f t="shared" si="2"/>
        <v/>
      </c>
      <c r="L56" s="103" t="str">
        <f t="shared" si="3"/>
        <v/>
      </c>
      <c r="M56" s="52">
        <v>0</v>
      </c>
      <c r="N56" s="102" t="str">
        <f t="shared" si="4"/>
        <v/>
      </c>
      <c r="O56" s="103" t="str">
        <f t="shared" si="5"/>
        <v/>
      </c>
      <c r="P56" s="52">
        <v>0</v>
      </c>
      <c r="Q56" s="102" t="str">
        <f t="shared" si="6"/>
        <v/>
      </c>
      <c r="R56" s="103" t="str">
        <f t="shared" si="7"/>
        <v/>
      </c>
      <c r="S56" s="52">
        <v>0</v>
      </c>
      <c r="T56" s="102" t="str">
        <f t="shared" si="8"/>
        <v/>
      </c>
      <c r="U56" s="103" t="str">
        <f t="shared" si="9"/>
        <v/>
      </c>
      <c r="V56" s="52">
        <v>0</v>
      </c>
      <c r="W56" s="87" t="str">
        <f t="shared" si="10"/>
        <v/>
      </c>
      <c r="X56" s="103" t="str">
        <f t="shared" si="11"/>
        <v/>
      </c>
      <c r="Y56" s="52">
        <v>0</v>
      </c>
      <c r="Z56" s="56" t="str">
        <f t="shared" si="12"/>
        <v/>
      </c>
      <c r="AA56" s="56" t="str">
        <f t="shared" si="13"/>
        <v/>
      </c>
      <c r="AB56" s="56" t="str">
        <f t="shared" si="14"/>
        <v/>
      </c>
      <c r="AC56" s="56" t="str">
        <f t="shared" si="15"/>
        <v/>
      </c>
      <c r="AD56" s="56" t="str">
        <f t="shared" si="16"/>
        <v/>
      </c>
      <c r="AE56" s="40"/>
      <c r="AF56" s="40"/>
      <c r="AG56" s="40"/>
      <c r="AH56" s="56" t="str">
        <f t="shared" si="17"/>
        <v/>
      </c>
      <c r="AI56" s="54"/>
      <c r="AJ56" s="54"/>
      <c r="AK56" s="54"/>
      <c r="AL56" s="54"/>
      <c r="AM56" s="54"/>
    </row>
    <row r="57" spans="1:39">
      <c r="A57" s="45" t="str" cm="1">
        <f t="array" ref="A57">IF(H57="PROJECT", CHAR(10) &amp; "- " &amp; _xlfn.TEXTJOIN(CHAR(10) &amp; "- ", TRUE, _xlfn._xlws.FILTER($I$9:$I$1000, ($B$9:$B$1000=B57) * ($H$9:$H$1000="Topic"))), "")</f>
        <v/>
      </c>
      <c r="B57" s="45" t="str">
        <f t="shared" si="1"/>
        <v/>
      </c>
      <c r="C57" s="95"/>
      <c r="D57" s="46"/>
      <c r="E57" s="58"/>
      <c r="F57" s="65"/>
      <c r="G57" s="49"/>
      <c r="H57" s="66"/>
      <c r="I57" s="50"/>
      <c r="J57" s="51"/>
      <c r="K57" s="129" t="str">
        <f t="shared" si="2"/>
        <v/>
      </c>
      <c r="L57" s="103" t="str">
        <f t="shared" si="3"/>
        <v/>
      </c>
      <c r="M57" s="53">
        <v>0</v>
      </c>
      <c r="N57" s="102" t="str">
        <f t="shared" si="4"/>
        <v/>
      </c>
      <c r="O57" s="103" t="str">
        <f t="shared" si="5"/>
        <v/>
      </c>
      <c r="P57" s="53">
        <v>0</v>
      </c>
      <c r="Q57" s="102" t="str">
        <f t="shared" si="6"/>
        <v/>
      </c>
      <c r="R57" s="103" t="str">
        <f t="shared" si="7"/>
        <v/>
      </c>
      <c r="S57" s="53">
        <v>0</v>
      </c>
      <c r="T57" s="102" t="str">
        <f t="shared" si="8"/>
        <v/>
      </c>
      <c r="U57" s="103" t="str">
        <f t="shared" si="9"/>
        <v/>
      </c>
      <c r="V57" s="53">
        <v>0</v>
      </c>
      <c r="W57" s="87" t="str">
        <f t="shared" si="10"/>
        <v/>
      </c>
      <c r="X57" s="103" t="str">
        <f t="shared" si="11"/>
        <v/>
      </c>
      <c r="Y57" s="53">
        <v>0</v>
      </c>
      <c r="Z57" s="56" t="str">
        <f t="shared" si="12"/>
        <v/>
      </c>
      <c r="AA57" s="56" t="str">
        <f t="shared" si="13"/>
        <v/>
      </c>
      <c r="AB57" s="56" t="str">
        <f t="shared" si="14"/>
        <v/>
      </c>
      <c r="AC57" s="56" t="str">
        <f t="shared" si="15"/>
        <v/>
      </c>
      <c r="AD57" s="56" t="str">
        <f t="shared" si="16"/>
        <v/>
      </c>
      <c r="AE57" s="40"/>
      <c r="AF57" s="40"/>
      <c r="AG57" s="40"/>
      <c r="AH57" s="56" t="str">
        <f t="shared" si="17"/>
        <v/>
      </c>
      <c r="AI57" s="54"/>
      <c r="AJ57" s="54"/>
      <c r="AK57" s="54"/>
      <c r="AL57" s="54"/>
      <c r="AM57" s="54"/>
    </row>
    <row r="58" spans="1:39">
      <c r="A58" s="45" t="str" cm="1">
        <f t="array" ref="A58">IF(H58="PROJECT", CHAR(10) &amp; "- " &amp; _xlfn.TEXTJOIN(CHAR(10) &amp; "- ", TRUE, _xlfn._xlws.FILTER($I$9:$I$1000, ($B$9:$B$1000=B58) * ($H$9:$H$1000="Topic"))), "")</f>
        <v/>
      </c>
      <c r="B58" s="45" t="str">
        <f t="shared" si="1"/>
        <v/>
      </c>
      <c r="C58" s="95"/>
      <c r="D58" s="57"/>
      <c r="E58" s="58"/>
      <c r="F58" s="63"/>
      <c r="G58" s="60"/>
      <c r="H58" s="64"/>
      <c r="I58" s="61"/>
      <c r="J58" s="62"/>
      <c r="K58" s="129" t="str">
        <f t="shared" si="2"/>
        <v/>
      </c>
      <c r="L58" s="103" t="str">
        <f t="shared" si="3"/>
        <v/>
      </c>
      <c r="M58" s="52">
        <v>0</v>
      </c>
      <c r="N58" s="102" t="str">
        <f t="shared" si="4"/>
        <v/>
      </c>
      <c r="O58" s="103" t="str">
        <f t="shared" si="5"/>
        <v/>
      </c>
      <c r="P58" s="52">
        <v>0</v>
      </c>
      <c r="Q58" s="102" t="str">
        <f t="shared" si="6"/>
        <v/>
      </c>
      <c r="R58" s="103" t="str">
        <f t="shared" si="7"/>
        <v/>
      </c>
      <c r="S58" s="52">
        <v>0</v>
      </c>
      <c r="T58" s="102" t="str">
        <f t="shared" si="8"/>
        <v/>
      </c>
      <c r="U58" s="103" t="str">
        <f t="shared" si="9"/>
        <v/>
      </c>
      <c r="V58" s="52">
        <v>0</v>
      </c>
      <c r="W58" s="87" t="str">
        <f t="shared" si="10"/>
        <v/>
      </c>
      <c r="X58" s="103" t="str">
        <f t="shared" si="11"/>
        <v/>
      </c>
      <c r="Y58" s="52">
        <v>0</v>
      </c>
      <c r="Z58" s="56" t="str">
        <f t="shared" si="12"/>
        <v/>
      </c>
      <c r="AA58" s="56" t="str">
        <f t="shared" si="13"/>
        <v/>
      </c>
      <c r="AB58" s="56" t="str">
        <f t="shared" si="14"/>
        <v/>
      </c>
      <c r="AC58" s="56" t="str">
        <f t="shared" si="15"/>
        <v/>
      </c>
      <c r="AD58" s="56" t="str">
        <f t="shared" si="16"/>
        <v/>
      </c>
      <c r="AE58" s="40"/>
      <c r="AF58" s="40"/>
      <c r="AG58" s="40"/>
      <c r="AH58" s="56" t="str">
        <f t="shared" si="17"/>
        <v/>
      </c>
      <c r="AI58" s="54"/>
      <c r="AJ58" s="54"/>
      <c r="AK58" s="54"/>
      <c r="AL58" s="54"/>
      <c r="AM58" s="54"/>
    </row>
    <row r="59" spans="1:39">
      <c r="A59" s="45" t="str" cm="1">
        <f t="array" ref="A59">IF(H59="PROJECT", CHAR(10) &amp; "- " &amp; _xlfn.TEXTJOIN(CHAR(10) &amp; "- ", TRUE, _xlfn._xlws.FILTER($I$9:$I$1000, ($B$9:$B$1000=B59) * ($H$9:$H$1000="Topic"))), "")</f>
        <v/>
      </c>
      <c r="B59" s="45" t="str">
        <f t="shared" si="1"/>
        <v/>
      </c>
      <c r="C59" s="95"/>
      <c r="D59" s="46"/>
      <c r="E59" s="58"/>
      <c r="F59" s="65"/>
      <c r="G59" s="49"/>
      <c r="H59" s="66"/>
      <c r="I59" s="50"/>
      <c r="J59" s="51"/>
      <c r="K59" s="129" t="str">
        <f t="shared" si="2"/>
        <v/>
      </c>
      <c r="L59" s="103" t="str">
        <f t="shared" si="3"/>
        <v/>
      </c>
      <c r="M59" s="53">
        <v>0</v>
      </c>
      <c r="N59" s="102" t="str">
        <f t="shared" si="4"/>
        <v/>
      </c>
      <c r="O59" s="103" t="str">
        <f t="shared" si="5"/>
        <v/>
      </c>
      <c r="P59" s="53">
        <v>0</v>
      </c>
      <c r="Q59" s="102" t="str">
        <f t="shared" si="6"/>
        <v/>
      </c>
      <c r="R59" s="103" t="str">
        <f t="shared" si="7"/>
        <v/>
      </c>
      <c r="S59" s="53">
        <v>0</v>
      </c>
      <c r="T59" s="102" t="str">
        <f t="shared" si="8"/>
        <v/>
      </c>
      <c r="U59" s="103" t="str">
        <f t="shared" si="9"/>
        <v/>
      </c>
      <c r="V59" s="53">
        <v>0</v>
      </c>
      <c r="W59" s="87" t="str">
        <f t="shared" si="10"/>
        <v/>
      </c>
      <c r="X59" s="103" t="str">
        <f t="shared" si="11"/>
        <v/>
      </c>
      <c r="Y59" s="53">
        <v>0</v>
      </c>
      <c r="Z59" s="56" t="str">
        <f t="shared" si="12"/>
        <v/>
      </c>
      <c r="AA59" s="56" t="str">
        <f t="shared" si="13"/>
        <v/>
      </c>
      <c r="AB59" s="56" t="str">
        <f t="shared" si="14"/>
        <v/>
      </c>
      <c r="AC59" s="56" t="str">
        <f t="shared" si="15"/>
        <v/>
      </c>
      <c r="AD59" s="56" t="str">
        <f t="shared" si="16"/>
        <v/>
      </c>
      <c r="AE59" s="40"/>
      <c r="AF59" s="40"/>
      <c r="AG59" s="40"/>
      <c r="AH59" s="56" t="str">
        <f t="shared" si="17"/>
        <v/>
      </c>
      <c r="AI59" s="54"/>
      <c r="AJ59" s="54"/>
      <c r="AK59" s="54"/>
      <c r="AL59" s="54"/>
      <c r="AM59" s="54"/>
    </row>
    <row r="60" spans="1:39">
      <c r="A60" s="45" t="str" cm="1">
        <f t="array" ref="A60">IF(H60="PROJECT", CHAR(10) &amp; "- " &amp; _xlfn.TEXTJOIN(CHAR(10) &amp; "- ", TRUE, _xlfn._xlws.FILTER($I$9:$I$1000, ($B$9:$B$1000=B60) * ($H$9:$H$1000="Topic"))), "")</f>
        <v/>
      </c>
      <c r="B60" s="45" t="str">
        <f t="shared" si="1"/>
        <v/>
      </c>
      <c r="C60" s="95"/>
      <c r="D60" s="57"/>
      <c r="E60" s="58"/>
      <c r="F60" s="63"/>
      <c r="G60" s="60"/>
      <c r="H60" s="64"/>
      <c r="I60" s="61"/>
      <c r="J60" s="62"/>
      <c r="K60" s="129" t="str">
        <f t="shared" si="2"/>
        <v/>
      </c>
      <c r="L60" s="103" t="str">
        <f t="shared" si="3"/>
        <v/>
      </c>
      <c r="M60" s="52">
        <v>0</v>
      </c>
      <c r="N60" s="102" t="str">
        <f t="shared" si="4"/>
        <v/>
      </c>
      <c r="O60" s="103" t="str">
        <f t="shared" si="5"/>
        <v/>
      </c>
      <c r="P60" s="52">
        <v>0</v>
      </c>
      <c r="Q60" s="102" t="str">
        <f t="shared" si="6"/>
        <v/>
      </c>
      <c r="R60" s="103" t="str">
        <f t="shared" si="7"/>
        <v/>
      </c>
      <c r="S60" s="52">
        <v>0</v>
      </c>
      <c r="T60" s="102" t="str">
        <f t="shared" si="8"/>
        <v/>
      </c>
      <c r="U60" s="103" t="str">
        <f t="shared" si="9"/>
        <v/>
      </c>
      <c r="V60" s="52">
        <v>0</v>
      </c>
      <c r="W60" s="87" t="str">
        <f t="shared" si="10"/>
        <v/>
      </c>
      <c r="X60" s="103" t="str">
        <f t="shared" si="11"/>
        <v/>
      </c>
      <c r="Y60" s="52">
        <v>0</v>
      </c>
      <c r="Z60" s="56" t="str">
        <f t="shared" si="12"/>
        <v/>
      </c>
      <c r="AA60" s="56" t="str">
        <f t="shared" si="13"/>
        <v/>
      </c>
      <c r="AB60" s="56" t="str">
        <f t="shared" si="14"/>
        <v/>
      </c>
      <c r="AC60" s="56" t="str">
        <f t="shared" si="15"/>
        <v/>
      </c>
      <c r="AD60" s="56" t="str">
        <f t="shared" si="16"/>
        <v/>
      </c>
      <c r="AE60" s="40"/>
      <c r="AF60" s="40"/>
      <c r="AG60" s="40"/>
      <c r="AH60" s="56" t="str">
        <f t="shared" si="17"/>
        <v/>
      </c>
      <c r="AI60" s="54"/>
      <c r="AJ60" s="54"/>
      <c r="AK60" s="54"/>
      <c r="AL60" s="54"/>
      <c r="AM60" s="54"/>
    </row>
    <row r="61" spans="1:39">
      <c r="A61" s="45" t="str" cm="1">
        <f t="array" ref="A61">IF(H61="PROJECT", CHAR(10) &amp; "- " &amp; _xlfn.TEXTJOIN(CHAR(10) &amp; "- ", TRUE, _xlfn._xlws.FILTER($I$9:$I$1000, ($B$9:$B$1000=B61) * ($H$9:$H$1000="Topic"))), "")</f>
        <v/>
      </c>
      <c r="B61" s="45" t="str">
        <f t="shared" si="1"/>
        <v/>
      </c>
      <c r="C61" s="95"/>
      <c r="D61" s="46"/>
      <c r="E61" s="58"/>
      <c r="F61" s="65"/>
      <c r="G61" s="49"/>
      <c r="H61" s="66"/>
      <c r="I61" s="50"/>
      <c r="J61" s="51"/>
      <c r="K61" s="129" t="str">
        <f t="shared" si="2"/>
        <v/>
      </c>
      <c r="L61" s="103" t="str">
        <f t="shared" si="3"/>
        <v/>
      </c>
      <c r="M61" s="53">
        <v>0</v>
      </c>
      <c r="N61" s="102" t="str">
        <f t="shared" si="4"/>
        <v/>
      </c>
      <c r="O61" s="103" t="str">
        <f t="shared" si="5"/>
        <v/>
      </c>
      <c r="P61" s="53">
        <v>0</v>
      </c>
      <c r="Q61" s="102" t="str">
        <f t="shared" si="6"/>
        <v/>
      </c>
      <c r="R61" s="103" t="str">
        <f t="shared" si="7"/>
        <v/>
      </c>
      <c r="S61" s="53">
        <v>0</v>
      </c>
      <c r="T61" s="102" t="str">
        <f t="shared" si="8"/>
        <v/>
      </c>
      <c r="U61" s="103" t="str">
        <f t="shared" si="9"/>
        <v/>
      </c>
      <c r="V61" s="53">
        <v>0</v>
      </c>
      <c r="W61" s="87" t="str">
        <f t="shared" si="10"/>
        <v/>
      </c>
      <c r="X61" s="103" t="str">
        <f t="shared" si="11"/>
        <v/>
      </c>
      <c r="Y61" s="53">
        <v>0</v>
      </c>
      <c r="Z61" s="56" t="str">
        <f t="shared" si="12"/>
        <v/>
      </c>
      <c r="AA61" s="56" t="str">
        <f t="shared" si="13"/>
        <v/>
      </c>
      <c r="AB61" s="56" t="str">
        <f t="shared" si="14"/>
        <v/>
      </c>
      <c r="AC61" s="56" t="str">
        <f t="shared" si="15"/>
        <v/>
      </c>
      <c r="AD61" s="56" t="str">
        <f t="shared" si="16"/>
        <v/>
      </c>
      <c r="AE61" s="40"/>
      <c r="AF61" s="40"/>
      <c r="AG61" s="40"/>
      <c r="AH61" s="56" t="str">
        <f t="shared" si="17"/>
        <v/>
      </c>
      <c r="AI61" s="54"/>
      <c r="AJ61" s="54"/>
      <c r="AK61" s="54"/>
      <c r="AL61" s="54"/>
      <c r="AM61" s="54"/>
    </row>
    <row r="62" spans="1:39">
      <c r="A62" s="45" t="str" cm="1">
        <f t="array" ref="A62">IF(H62="PROJECT", CHAR(10) &amp; "- " &amp; _xlfn.TEXTJOIN(CHAR(10) &amp; "- ", TRUE, _xlfn._xlws.FILTER($I$9:$I$1000, ($B$9:$B$1000=B62) * ($H$9:$H$1000="Topic"))), "")</f>
        <v/>
      </c>
      <c r="B62" s="45" t="str">
        <f t="shared" si="1"/>
        <v/>
      </c>
      <c r="C62" s="95"/>
      <c r="D62" s="57"/>
      <c r="E62" s="58"/>
      <c r="F62" s="63"/>
      <c r="G62" s="60"/>
      <c r="H62" s="64"/>
      <c r="I62" s="61"/>
      <c r="J62" s="62"/>
      <c r="K62" s="129" t="str">
        <f t="shared" si="2"/>
        <v/>
      </c>
      <c r="L62" s="103" t="str">
        <f t="shared" si="3"/>
        <v/>
      </c>
      <c r="M62" s="52">
        <v>0</v>
      </c>
      <c r="N62" s="102" t="str">
        <f t="shared" si="4"/>
        <v/>
      </c>
      <c r="O62" s="103" t="str">
        <f t="shared" si="5"/>
        <v/>
      </c>
      <c r="P62" s="52">
        <v>0</v>
      </c>
      <c r="Q62" s="102" t="str">
        <f t="shared" si="6"/>
        <v/>
      </c>
      <c r="R62" s="103" t="str">
        <f t="shared" si="7"/>
        <v/>
      </c>
      <c r="S62" s="52">
        <v>0</v>
      </c>
      <c r="T62" s="102" t="str">
        <f t="shared" si="8"/>
        <v/>
      </c>
      <c r="U62" s="103" t="str">
        <f t="shared" si="9"/>
        <v/>
      </c>
      <c r="V62" s="52">
        <v>0</v>
      </c>
      <c r="W62" s="87" t="str">
        <f t="shared" si="10"/>
        <v/>
      </c>
      <c r="X62" s="103" t="str">
        <f t="shared" si="11"/>
        <v/>
      </c>
      <c r="Y62" s="52">
        <v>0</v>
      </c>
      <c r="Z62" s="56" t="str">
        <f t="shared" si="12"/>
        <v/>
      </c>
      <c r="AA62" s="56" t="str">
        <f t="shared" si="13"/>
        <v/>
      </c>
      <c r="AB62" s="56" t="str">
        <f t="shared" si="14"/>
        <v/>
      </c>
      <c r="AC62" s="56" t="str">
        <f t="shared" si="15"/>
        <v/>
      </c>
      <c r="AD62" s="56" t="str">
        <f t="shared" si="16"/>
        <v/>
      </c>
      <c r="AE62" s="40"/>
      <c r="AF62" s="40"/>
      <c r="AG62" s="40"/>
      <c r="AH62" s="56" t="str">
        <f t="shared" si="17"/>
        <v/>
      </c>
      <c r="AI62" s="54"/>
      <c r="AJ62" s="54"/>
      <c r="AK62" s="54"/>
      <c r="AL62" s="54"/>
      <c r="AM62" s="54"/>
    </row>
    <row r="63" spans="1:39">
      <c r="A63" s="45" t="str" cm="1">
        <f t="array" ref="A63">IF(H63="PROJECT", CHAR(10) &amp; "- " &amp; _xlfn.TEXTJOIN(CHAR(10) &amp; "- ", TRUE, _xlfn._xlws.FILTER($I$9:$I$1000, ($B$9:$B$1000=B63) * ($H$9:$H$1000="Topic"))), "")</f>
        <v/>
      </c>
      <c r="B63" s="45" t="str">
        <f t="shared" si="1"/>
        <v/>
      </c>
      <c r="C63" s="95"/>
      <c r="D63" s="46"/>
      <c r="E63" s="58"/>
      <c r="F63" s="65"/>
      <c r="G63" s="49"/>
      <c r="H63" s="66"/>
      <c r="I63" s="50"/>
      <c r="J63" s="51"/>
      <c r="K63" s="129" t="str">
        <f t="shared" si="2"/>
        <v/>
      </c>
      <c r="L63" s="103" t="str">
        <f t="shared" si="3"/>
        <v/>
      </c>
      <c r="M63" s="53">
        <v>0</v>
      </c>
      <c r="N63" s="102" t="str">
        <f t="shared" si="4"/>
        <v/>
      </c>
      <c r="O63" s="103" t="str">
        <f t="shared" si="5"/>
        <v/>
      </c>
      <c r="P63" s="53">
        <v>0</v>
      </c>
      <c r="Q63" s="102" t="str">
        <f t="shared" si="6"/>
        <v/>
      </c>
      <c r="R63" s="103" t="str">
        <f t="shared" si="7"/>
        <v/>
      </c>
      <c r="S63" s="53">
        <v>0</v>
      </c>
      <c r="T63" s="102" t="str">
        <f t="shared" si="8"/>
        <v/>
      </c>
      <c r="U63" s="103" t="str">
        <f t="shared" si="9"/>
        <v/>
      </c>
      <c r="V63" s="53">
        <v>0</v>
      </c>
      <c r="W63" s="87" t="str">
        <f t="shared" si="10"/>
        <v/>
      </c>
      <c r="X63" s="103" t="str">
        <f t="shared" si="11"/>
        <v/>
      </c>
      <c r="Y63" s="53">
        <v>0</v>
      </c>
      <c r="Z63" s="56" t="str">
        <f t="shared" si="12"/>
        <v/>
      </c>
      <c r="AA63" s="56" t="str">
        <f t="shared" si="13"/>
        <v/>
      </c>
      <c r="AB63" s="56" t="str">
        <f t="shared" si="14"/>
        <v/>
      </c>
      <c r="AC63" s="56" t="str">
        <f t="shared" si="15"/>
        <v/>
      </c>
      <c r="AD63" s="56" t="str">
        <f t="shared" si="16"/>
        <v/>
      </c>
      <c r="AE63" s="40"/>
      <c r="AF63" s="40"/>
      <c r="AG63" s="40"/>
      <c r="AH63" s="56" t="str">
        <f t="shared" si="17"/>
        <v/>
      </c>
      <c r="AI63" s="54"/>
      <c r="AJ63" s="54"/>
      <c r="AK63" s="54"/>
      <c r="AL63" s="54"/>
      <c r="AM63" s="54"/>
    </row>
    <row r="64" spans="1:39">
      <c r="A64" s="45" t="str" cm="1">
        <f t="array" ref="A64">IF(H64="PROJECT", CHAR(10) &amp; "- " &amp; _xlfn.TEXTJOIN(CHAR(10) &amp; "- ", TRUE, _xlfn._xlws.FILTER($I$9:$I$1000, ($B$9:$B$1000=B64) * ($H$9:$H$1000="Topic"))), "")</f>
        <v/>
      </c>
      <c r="B64" s="45" t="str">
        <f t="shared" si="1"/>
        <v/>
      </c>
      <c r="C64" s="95"/>
      <c r="D64" s="57"/>
      <c r="E64" s="58"/>
      <c r="F64" s="63"/>
      <c r="G64" s="60"/>
      <c r="H64" s="64"/>
      <c r="I64" s="61"/>
      <c r="J64" s="62"/>
      <c r="K64" s="129" t="str">
        <f t="shared" si="2"/>
        <v/>
      </c>
      <c r="L64" s="103" t="str">
        <f t="shared" si="3"/>
        <v/>
      </c>
      <c r="M64" s="52">
        <v>0</v>
      </c>
      <c r="N64" s="102" t="str">
        <f t="shared" si="4"/>
        <v/>
      </c>
      <c r="O64" s="103" t="str">
        <f t="shared" si="5"/>
        <v/>
      </c>
      <c r="P64" s="52">
        <v>0</v>
      </c>
      <c r="Q64" s="102" t="str">
        <f t="shared" si="6"/>
        <v/>
      </c>
      <c r="R64" s="103" t="str">
        <f t="shared" si="7"/>
        <v/>
      </c>
      <c r="S64" s="52">
        <v>0</v>
      </c>
      <c r="T64" s="102" t="str">
        <f t="shared" si="8"/>
        <v/>
      </c>
      <c r="U64" s="103" t="str">
        <f t="shared" si="9"/>
        <v/>
      </c>
      <c r="V64" s="52">
        <v>0</v>
      </c>
      <c r="W64" s="87" t="str">
        <f t="shared" si="10"/>
        <v/>
      </c>
      <c r="X64" s="103" t="str">
        <f t="shared" si="11"/>
        <v/>
      </c>
      <c r="Y64" s="52">
        <v>0</v>
      </c>
      <c r="Z64" s="56" t="str">
        <f t="shared" si="12"/>
        <v/>
      </c>
      <c r="AA64" s="56" t="str">
        <f t="shared" si="13"/>
        <v/>
      </c>
      <c r="AB64" s="56" t="str">
        <f t="shared" si="14"/>
        <v/>
      </c>
      <c r="AC64" s="56" t="str">
        <f t="shared" si="15"/>
        <v/>
      </c>
      <c r="AD64" s="56" t="str">
        <f t="shared" si="16"/>
        <v/>
      </c>
      <c r="AE64" s="40"/>
      <c r="AF64" s="40"/>
      <c r="AG64" s="40"/>
      <c r="AH64" s="56" t="str">
        <f t="shared" si="17"/>
        <v/>
      </c>
      <c r="AI64" s="54"/>
      <c r="AJ64" s="54"/>
      <c r="AK64" s="54"/>
      <c r="AL64" s="54"/>
      <c r="AM64" s="54"/>
    </row>
    <row r="65" spans="1:39">
      <c r="A65" s="45" t="str" cm="1">
        <f t="array" ref="A65">IF(H65="PROJECT", CHAR(10) &amp; "- " &amp; _xlfn.TEXTJOIN(CHAR(10) &amp; "- ", TRUE, _xlfn._xlws.FILTER($I$9:$I$1000, ($B$9:$B$1000=B65) * ($H$9:$H$1000="Topic"))), "")</f>
        <v/>
      </c>
      <c r="B65" s="45" t="str">
        <f t="shared" si="1"/>
        <v/>
      </c>
      <c r="C65" s="95"/>
      <c r="D65" s="46"/>
      <c r="E65" s="58"/>
      <c r="F65" s="65"/>
      <c r="G65" s="49"/>
      <c r="H65" s="66"/>
      <c r="I65" s="50"/>
      <c r="J65" s="51"/>
      <c r="K65" s="129" t="str">
        <f t="shared" si="2"/>
        <v/>
      </c>
      <c r="L65" s="103" t="str">
        <f t="shared" si="3"/>
        <v/>
      </c>
      <c r="M65" s="53">
        <v>0</v>
      </c>
      <c r="N65" s="102" t="str">
        <f t="shared" si="4"/>
        <v/>
      </c>
      <c r="O65" s="103" t="str">
        <f t="shared" si="5"/>
        <v/>
      </c>
      <c r="P65" s="53">
        <v>0</v>
      </c>
      <c r="Q65" s="102" t="str">
        <f t="shared" si="6"/>
        <v/>
      </c>
      <c r="R65" s="103" t="str">
        <f t="shared" si="7"/>
        <v/>
      </c>
      <c r="S65" s="53">
        <v>0</v>
      </c>
      <c r="T65" s="102" t="str">
        <f t="shared" si="8"/>
        <v/>
      </c>
      <c r="U65" s="103" t="str">
        <f t="shared" si="9"/>
        <v/>
      </c>
      <c r="V65" s="53">
        <v>0</v>
      </c>
      <c r="W65" s="87" t="str">
        <f t="shared" si="10"/>
        <v/>
      </c>
      <c r="X65" s="103" t="str">
        <f t="shared" si="11"/>
        <v/>
      </c>
      <c r="Y65" s="53">
        <v>0</v>
      </c>
      <c r="Z65" s="56" t="str">
        <f t="shared" si="12"/>
        <v/>
      </c>
      <c r="AA65" s="56" t="str">
        <f t="shared" si="13"/>
        <v/>
      </c>
      <c r="AB65" s="56" t="str">
        <f t="shared" si="14"/>
        <v/>
      </c>
      <c r="AC65" s="56" t="str">
        <f t="shared" si="15"/>
        <v/>
      </c>
      <c r="AD65" s="56" t="str">
        <f t="shared" si="16"/>
        <v/>
      </c>
      <c r="AE65" s="40"/>
      <c r="AF65" s="40"/>
      <c r="AG65" s="40"/>
      <c r="AH65" s="56" t="str">
        <f t="shared" si="17"/>
        <v/>
      </c>
      <c r="AI65" s="54"/>
      <c r="AJ65" s="54"/>
      <c r="AK65" s="54"/>
      <c r="AL65" s="54"/>
      <c r="AM65" s="54"/>
    </row>
    <row r="66" spans="1:39">
      <c r="A66" s="45" t="str" cm="1">
        <f t="array" ref="A66">IF(H66="PROJECT", CHAR(10) &amp; "- " &amp; _xlfn.TEXTJOIN(CHAR(10) &amp; "- ", TRUE, _xlfn._xlws.FILTER($I$9:$I$1000, ($B$9:$B$1000=B66) * ($H$9:$H$1000="Topic"))), "")</f>
        <v/>
      </c>
      <c r="B66" s="45" t="str">
        <f t="shared" si="1"/>
        <v/>
      </c>
      <c r="C66" s="95"/>
      <c r="D66" s="57"/>
      <c r="E66" s="58"/>
      <c r="F66" s="63"/>
      <c r="G66" s="60"/>
      <c r="H66" s="64"/>
      <c r="I66" s="61"/>
      <c r="J66" s="62"/>
      <c r="K66" s="129" t="str">
        <f t="shared" si="2"/>
        <v/>
      </c>
      <c r="L66" s="103" t="str">
        <f t="shared" si="3"/>
        <v/>
      </c>
      <c r="M66" s="52">
        <v>0</v>
      </c>
      <c r="N66" s="102" t="str">
        <f t="shared" si="4"/>
        <v/>
      </c>
      <c r="O66" s="103" t="str">
        <f t="shared" si="5"/>
        <v/>
      </c>
      <c r="P66" s="52">
        <v>0</v>
      </c>
      <c r="Q66" s="102" t="str">
        <f t="shared" si="6"/>
        <v/>
      </c>
      <c r="R66" s="103" t="str">
        <f t="shared" si="7"/>
        <v/>
      </c>
      <c r="S66" s="52">
        <v>0</v>
      </c>
      <c r="T66" s="102" t="str">
        <f t="shared" si="8"/>
        <v/>
      </c>
      <c r="U66" s="103" t="str">
        <f t="shared" si="9"/>
        <v/>
      </c>
      <c r="V66" s="52">
        <v>0</v>
      </c>
      <c r="W66" s="87" t="str">
        <f t="shared" si="10"/>
        <v/>
      </c>
      <c r="X66" s="103" t="str">
        <f t="shared" si="11"/>
        <v/>
      </c>
      <c r="Y66" s="52">
        <v>0</v>
      </c>
      <c r="Z66" s="56" t="str">
        <f t="shared" si="12"/>
        <v/>
      </c>
      <c r="AA66" s="56" t="str">
        <f t="shared" si="13"/>
        <v/>
      </c>
      <c r="AB66" s="56" t="str">
        <f t="shared" si="14"/>
        <v/>
      </c>
      <c r="AC66" s="56" t="str">
        <f t="shared" si="15"/>
        <v/>
      </c>
      <c r="AD66" s="56" t="str">
        <f t="shared" si="16"/>
        <v/>
      </c>
      <c r="AE66" s="40"/>
      <c r="AF66" s="40"/>
      <c r="AG66" s="40"/>
      <c r="AH66" s="56" t="str">
        <f t="shared" si="17"/>
        <v/>
      </c>
      <c r="AI66" s="54"/>
      <c r="AJ66" s="54"/>
      <c r="AK66" s="54"/>
      <c r="AL66" s="54"/>
      <c r="AM66" s="54"/>
    </row>
    <row r="67" spans="1:39">
      <c r="A67" s="45" t="str" cm="1">
        <f t="array" ref="A67">IF(H67="PROJECT", CHAR(10) &amp; "- " &amp; _xlfn.TEXTJOIN(CHAR(10) &amp; "- ", TRUE, _xlfn._xlws.FILTER($I$9:$I$1000, ($B$9:$B$1000=B67) * ($H$9:$H$1000="Topic"))), "")</f>
        <v/>
      </c>
      <c r="B67" s="45" t="str">
        <f t="shared" si="1"/>
        <v/>
      </c>
      <c r="C67" s="95"/>
      <c r="D67" s="46"/>
      <c r="E67" s="58"/>
      <c r="F67" s="65"/>
      <c r="G67" s="49"/>
      <c r="H67" s="66"/>
      <c r="I67" s="50"/>
      <c r="J67" s="51"/>
      <c r="K67" s="129" t="str">
        <f t="shared" si="2"/>
        <v/>
      </c>
      <c r="L67" s="103" t="str">
        <f t="shared" si="3"/>
        <v/>
      </c>
      <c r="M67" s="53">
        <v>0</v>
      </c>
      <c r="N67" s="102" t="str">
        <f t="shared" si="4"/>
        <v/>
      </c>
      <c r="O67" s="103" t="str">
        <f t="shared" si="5"/>
        <v/>
      </c>
      <c r="P67" s="53">
        <v>0</v>
      </c>
      <c r="Q67" s="102" t="str">
        <f t="shared" si="6"/>
        <v/>
      </c>
      <c r="R67" s="103" t="str">
        <f t="shared" si="7"/>
        <v/>
      </c>
      <c r="S67" s="53">
        <v>0</v>
      </c>
      <c r="T67" s="102" t="str">
        <f t="shared" si="8"/>
        <v/>
      </c>
      <c r="U67" s="103" t="str">
        <f t="shared" si="9"/>
        <v/>
      </c>
      <c r="V67" s="53">
        <v>0</v>
      </c>
      <c r="W67" s="87" t="str">
        <f t="shared" si="10"/>
        <v/>
      </c>
      <c r="X67" s="103" t="str">
        <f t="shared" si="11"/>
        <v/>
      </c>
      <c r="Y67" s="53">
        <v>0</v>
      </c>
      <c r="Z67" s="56" t="str">
        <f t="shared" si="12"/>
        <v/>
      </c>
      <c r="AA67" s="56" t="str">
        <f t="shared" si="13"/>
        <v/>
      </c>
      <c r="AB67" s="56" t="str">
        <f t="shared" si="14"/>
        <v/>
      </c>
      <c r="AC67" s="56" t="str">
        <f t="shared" si="15"/>
        <v/>
      </c>
      <c r="AD67" s="56" t="str">
        <f t="shared" si="16"/>
        <v/>
      </c>
      <c r="AE67" s="40"/>
      <c r="AF67" s="40"/>
      <c r="AG67" s="40"/>
      <c r="AH67" s="56" t="str">
        <f t="shared" si="17"/>
        <v/>
      </c>
      <c r="AI67" s="54"/>
      <c r="AJ67" s="54"/>
      <c r="AK67" s="54"/>
      <c r="AL67" s="54"/>
      <c r="AM67" s="54"/>
    </row>
    <row r="68" spans="1:39">
      <c r="A68" s="45" t="str" cm="1">
        <f t="array" ref="A68">IF(H68="PROJECT", CHAR(10) &amp; "- " &amp; _xlfn.TEXTJOIN(CHAR(10) &amp; "- ", TRUE, _xlfn._xlws.FILTER($I$9:$I$1000, ($B$9:$B$1000=B68) * ($H$9:$H$1000="Topic"))), "")</f>
        <v/>
      </c>
      <c r="B68" s="45" t="str">
        <f t="shared" si="1"/>
        <v/>
      </c>
      <c r="C68" s="95"/>
      <c r="D68" s="57"/>
      <c r="E68" s="58"/>
      <c r="F68" s="63"/>
      <c r="G68" s="60"/>
      <c r="H68" s="60"/>
      <c r="I68" s="61"/>
      <c r="J68" s="62"/>
      <c r="K68" s="129" t="str">
        <f t="shared" si="2"/>
        <v/>
      </c>
      <c r="L68" s="103" t="str">
        <f t="shared" si="3"/>
        <v/>
      </c>
      <c r="M68" s="52">
        <v>0</v>
      </c>
      <c r="N68" s="102" t="str">
        <f t="shared" si="4"/>
        <v/>
      </c>
      <c r="O68" s="103" t="str">
        <f t="shared" si="5"/>
        <v/>
      </c>
      <c r="P68" s="52">
        <v>0</v>
      </c>
      <c r="Q68" s="102" t="str">
        <f t="shared" si="6"/>
        <v/>
      </c>
      <c r="R68" s="103" t="str">
        <f t="shared" si="7"/>
        <v/>
      </c>
      <c r="S68" s="52">
        <v>0</v>
      </c>
      <c r="T68" s="102" t="str">
        <f t="shared" si="8"/>
        <v/>
      </c>
      <c r="U68" s="103" t="str">
        <f t="shared" si="9"/>
        <v/>
      </c>
      <c r="V68" s="52">
        <v>0</v>
      </c>
      <c r="W68" s="87" t="str">
        <f t="shared" si="10"/>
        <v/>
      </c>
      <c r="X68" s="103" t="str">
        <f t="shared" si="11"/>
        <v/>
      </c>
      <c r="Y68" s="52">
        <v>0</v>
      </c>
      <c r="Z68" s="56" t="str">
        <f t="shared" si="12"/>
        <v/>
      </c>
      <c r="AA68" s="56" t="str">
        <f t="shared" si="13"/>
        <v/>
      </c>
      <c r="AB68" s="56" t="str">
        <f t="shared" si="14"/>
        <v/>
      </c>
      <c r="AC68" s="56" t="str">
        <f t="shared" si="15"/>
        <v/>
      </c>
      <c r="AD68" s="56" t="str">
        <f t="shared" si="16"/>
        <v/>
      </c>
      <c r="AE68" s="40"/>
      <c r="AF68" s="40"/>
      <c r="AG68" s="40"/>
      <c r="AH68" s="56" t="str">
        <f t="shared" si="17"/>
        <v/>
      </c>
      <c r="AI68" s="54"/>
      <c r="AJ68" s="54"/>
      <c r="AK68" s="54"/>
      <c r="AL68" s="54"/>
      <c r="AM68" s="54"/>
    </row>
    <row r="69" spans="1:39">
      <c r="A69" s="45" t="str" cm="1">
        <f t="array" ref="A69">IF(H69="PROJECT", CHAR(10) &amp; "- " &amp; _xlfn.TEXTJOIN(CHAR(10) &amp; "- ", TRUE, _xlfn._xlws.FILTER($I$9:$I$1000, ($B$9:$B$1000=B69) * ($H$9:$H$1000="Topic"))), "")</f>
        <v/>
      </c>
      <c r="B69" s="45" t="str">
        <f t="shared" si="1"/>
        <v/>
      </c>
      <c r="C69" s="95"/>
      <c r="D69" s="46"/>
      <c r="E69" s="58"/>
      <c r="F69" s="65"/>
      <c r="G69" s="49"/>
      <c r="H69" s="66"/>
      <c r="I69" s="50"/>
      <c r="J69" s="51"/>
      <c r="K69" s="129" t="str">
        <f t="shared" si="2"/>
        <v/>
      </c>
      <c r="L69" s="103" t="str">
        <f t="shared" si="3"/>
        <v/>
      </c>
      <c r="M69" s="53">
        <v>0</v>
      </c>
      <c r="N69" s="102" t="str">
        <f t="shared" si="4"/>
        <v/>
      </c>
      <c r="O69" s="103" t="str">
        <f t="shared" si="5"/>
        <v/>
      </c>
      <c r="P69" s="53">
        <v>0</v>
      </c>
      <c r="Q69" s="102" t="str">
        <f t="shared" si="6"/>
        <v/>
      </c>
      <c r="R69" s="103" t="str">
        <f t="shared" si="7"/>
        <v/>
      </c>
      <c r="S69" s="53">
        <v>0</v>
      </c>
      <c r="T69" s="102" t="str">
        <f t="shared" si="8"/>
        <v/>
      </c>
      <c r="U69" s="103" t="str">
        <f t="shared" si="9"/>
        <v/>
      </c>
      <c r="V69" s="53">
        <v>0</v>
      </c>
      <c r="W69" s="87" t="str">
        <f t="shared" si="10"/>
        <v/>
      </c>
      <c r="X69" s="103" t="str">
        <f t="shared" si="11"/>
        <v/>
      </c>
      <c r="Y69" s="53">
        <v>0</v>
      </c>
      <c r="Z69" s="56" t="str">
        <f t="shared" si="12"/>
        <v/>
      </c>
      <c r="AA69" s="56" t="str">
        <f t="shared" si="13"/>
        <v/>
      </c>
      <c r="AB69" s="56" t="str">
        <f t="shared" si="14"/>
        <v/>
      </c>
      <c r="AC69" s="56" t="str">
        <f t="shared" si="15"/>
        <v/>
      </c>
      <c r="AD69" s="56" t="str">
        <f t="shared" si="16"/>
        <v/>
      </c>
      <c r="AE69" s="40"/>
      <c r="AF69" s="40"/>
      <c r="AG69" s="40"/>
      <c r="AH69" s="56" t="str">
        <f t="shared" si="17"/>
        <v/>
      </c>
      <c r="AI69" s="54"/>
      <c r="AJ69" s="54"/>
      <c r="AK69" s="54"/>
      <c r="AL69" s="54"/>
      <c r="AM69" s="54"/>
    </row>
    <row r="70" spans="1:39">
      <c r="A70" s="45" t="str" cm="1">
        <f t="array" ref="A70">IF(H70="PROJECT", CHAR(10) &amp; "- " &amp; _xlfn.TEXTJOIN(CHAR(10) &amp; "- ", TRUE, _xlfn._xlws.FILTER($I$9:$I$1000, ($B$9:$B$1000=B70) * ($H$9:$H$1000="Topic"))), "")</f>
        <v/>
      </c>
      <c r="B70" s="45" t="str">
        <f t="shared" si="1"/>
        <v/>
      </c>
      <c r="C70" s="95"/>
      <c r="D70" s="57"/>
      <c r="E70" s="58"/>
      <c r="F70" s="63"/>
      <c r="G70" s="60"/>
      <c r="H70" s="64"/>
      <c r="I70" s="61"/>
      <c r="J70" s="62"/>
      <c r="K70" s="129" t="str">
        <f t="shared" si="2"/>
        <v/>
      </c>
      <c r="L70" s="103" t="str">
        <f t="shared" si="3"/>
        <v/>
      </c>
      <c r="M70" s="52">
        <v>0</v>
      </c>
      <c r="N70" s="102" t="str">
        <f t="shared" si="4"/>
        <v/>
      </c>
      <c r="O70" s="103" t="str">
        <f t="shared" si="5"/>
        <v/>
      </c>
      <c r="P70" s="52">
        <v>0</v>
      </c>
      <c r="Q70" s="102" t="str">
        <f t="shared" si="6"/>
        <v/>
      </c>
      <c r="R70" s="103" t="str">
        <f t="shared" si="7"/>
        <v/>
      </c>
      <c r="S70" s="52">
        <v>0</v>
      </c>
      <c r="T70" s="102" t="str">
        <f t="shared" si="8"/>
        <v/>
      </c>
      <c r="U70" s="103" t="str">
        <f t="shared" si="9"/>
        <v/>
      </c>
      <c r="V70" s="52">
        <v>0</v>
      </c>
      <c r="W70" s="87" t="str">
        <f t="shared" si="10"/>
        <v/>
      </c>
      <c r="X70" s="103" t="str">
        <f t="shared" si="11"/>
        <v/>
      </c>
      <c r="Y70" s="52">
        <v>0</v>
      </c>
      <c r="Z70" s="56" t="str">
        <f t="shared" si="12"/>
        <v/>
      </c>
      <c r="AA70" s="56" t="str">
        <f t="shared" si="13"/>
        <v/>
      </c>
      <c r="AB70" s="56" t="str">
        <f t="shared" si="14"/>
        <v/>
      </c>
      <c r="AC70" s="56" t="str">
        <f t="shared" si="15"/>
        <v/>
      </c>
      <c r="AD70" s="56" t="str">
        <f t="shared" si="16"/>
        <v/>
      </c>
      <c r="AE70" s="40"/>
      <c r="AF70" s="40"/>
      <c r="AG70" s="40"/>
      <c r="AH70" s="56" t="str">
        <f t="shared" si="17"/>
        <v/>
      </c>
      <c r="AI70" s="54"/>
      <c r="AJ70" s="54"/>
      <c r="AK70" s="54"/>
      <c r="AL70" s="54"/>
      <c r="AM70" s="54"/>
    </row>
    <row r="71" spans="1:39">
      <c r="A71" s="45" t="str" cm="1">
        <f t="array" ref="A71">IF(H71="PROJECT", CHAR(10) &amp; "- " &amp; _xlfn.TEXTJOIN(CHAR(10) &amp; "- ", TRUE, _xlfn._xlws.FILTER($I$9:$I$1000, ($B$9:$B$1000=B71) * ($H$9:$H$1000="Topic"))), "")</f>
        <v/>
      </c>
      <c r="B71" s="45" t="str">
        <f t="shared" si="1"/>
        <v/>
      </c>
      <c r="C71" s="95"/>
      <c r="D71" s="46"/>
      <c r="E71" s="58"/>
      <c r="F71" s="65"/>
      <c r="G71" s="49"/>
      <c r="H71" s="66"/>
      <c r="I71" s="50"/>
      <c r="J71" s="51"/>
      <c r="K71" s="129" t="str">
        <f t="shared" si="2"/>
        <v/>
      </c>
      <c r="L71" s="103" t="str">
        <f t="shared" si="3"/>
        <v/>
      </c>
      <c r="M71" s="53">
        <v>0</v>
      </c>
      <c r="N71" s="102" t="str">
        <f t="shared" si="4"/>
        <v/>
      </c>
      <c r="O71" s="103" t="str">
        <f t="shared" si="5"/>
        <v/>
      </c>
      <c r="P71" s="53">
        <v>0</v>
      </c>
      <c r="Q71" s="102" t="str">
        <f t="shared" si="6"/>
        <v/>
      </c>
      <c r="R71" s="103" t="str">
        <f t="shared" si="7"/>
        <v/>
      </c>
      <c r="S71" s="53">
        <v>0</v>
      </c>
      <c r="T71" s="102" t="str">
        <f t="shared" si="8"/>
        <v/>
      </c>
      <c r="U71" s="103" t="str">
        <f t="shared" si="9"/>
        <v/>
      </c>
      <c r="V71" s="53">
        <v>0</v>
      </c>
      <c r="W71" s="87" t="str">
        <f t="shared" si="10"/>
        <v/>
      </c>
      <c r="X71" s="103" t="str">
        <f t="shared" si="11"/>
        <v/>
      </c>
      <c r="Y71" s="53">
        <v>0</v>
      </c>
      <c r="Z71" s="56" t="str">
        <f t="shared" si="12"/>
        <v/>
      </c>
      <c r="AA71" s="56" t="str">
        <f t="shared" si="13"/>
        <v/>
      </c>
      <c r="AB71" s="56" t="str">
        <f t="shared" si="14"/>
        <v/>
      </c>
      <c r="AC71" s="56" t="str">
        <f t="shared" si="15"/>
        <v/>
      </c>
      <c r="AD71" s="56" t="str">
        <f t="shared" si="16"/>
        <v/>
      </c>
      <c r="AE71" s="40"/>
      <c r="AF71" s="40"/>
      <c r="AG71" s="40"/>
      <c r="AH71" s="56" t="str">
        <f t="shared" si="17"/>
        <v/>
      </c>
      <c r="AI71" s="54"/>
      <c r="AJ71" s="54"/>
      <c r="AK71" s="54"/>
      <c r="AL71" s="54"/>
      <c r="AM71" s="54"/>
    </row>
    <row r="72" spans="1:39">
      <c r="A72" s="45" t="str" cm="1">
        <f t="array" ref="A72">IF(H72="PROJECT", CHAR(10) &amp; "- " &amp; _xlfn.TEXTJOIN(CHAR(10) &amp; "- ", TRUE, _xlfn._xlws.FILTER($I$9:$I$1000, ($B$9:$B$1000=B72) * ($H$9:$H$1000="Topic"))), "")</f>
        <v/>
      </c>
      <c r="B72" s="45" t="str">
        <f t="shared" si="1"/>
        <v/>
      </c>
      <c r="C72" s="95"/>
      <c r="D72" s="57"/>
      <c r="E72" s="58"/>
      <c r="F72" s="63"/>
      <c r="G72" s="60"/>
      <c r="H72" s="64"/>
      <c r="I72" s="61"/>
      <c r="J72" s="62"/>
      <c r="K72" s="129" t="str">
        <f t="shared" si="2"/>
        <v/>
      </c>
      <c r="L72" s="103" t="str">
        <f t="shared" si="3"/>
        <v/>
      </c>
      <c r="M72" s="52">
        <v>0</v>
      </c>
      <c r="N72" s="102" t="str">
        <f t="shared" si="4"/>
        <v/>
      </c>
      <c r="O72" s="103" t="str">
        <f t="shared" si="5"/>
        <v/>
      </c>
      <c r="P72" s="52">
        <v>0</v>
      </c>
      <c r="Q72" s="102" t="str">
        <f t="shared" si="6"/>
        <v/>
      </c>
      <c r="R72" s="103" t="str">
        <f t="shared" si="7"/>
        <v/>
      </c>
      <c r="S72" s="52">
        <v>0</v>
      </c>
      <c r="T72" s="102" t="str">
        <f t="shared" si="8"/>
        <v/>
      </c>
      <c r="U72" s="103" t="str">
        <f t="shared" si="9"/>
        <v/>
      </c>
      <c r="V72" s="52">
        <v>0</v>
      </c>
      <c r="W72" s="87" t="str">
        <f t="shared" si="10"/>
        <v/>
      </c>
      <c r="X72" s="103" t="str">
        <f t="shared" si="11"/>
        <v/>
      </c>
      <c r="Y72" s="52">
        <v>0</v>
      </c>
      <c r="Z72" s="56" t="str">
        <f t="shared" si="12"/>
        <v/>
      </c>
      <c r="AA72" s="56" t="str">
        <f t="shared" si="13"/>
        <v/>
      </c>
      <c r="AB72" s="56" t="str">
        <f t="shared" si="14"/>
        <v/>
      </c>
      <c r="AC72" s="56" t="str">
        <f t="shared" si="15"/>
        <v/>
      </c>
      <c r="AD72" s="56" t="str">
        <f t="shared" si="16"/>
        <v/>
      </c>
      <c r="AE72" s="40"/>
      <c r="AF72" s="40"/>
      <c r="AG72" s="40"/>
      <c r="AH72" s="56" t="str">
        <f t="shared" si="17"/>
        <v/>
      </c>
      <c r="AI72" s="54"/>
      <c r="AJ72" s="54"/>
      <c r="AK72" s="54"/>
      <c r="AL72" s="54"/>
      <c r="AM72" s="54"/>
    </row>
    <row r="73" spans="1:39">
      <c r="A73" s="45" t="str" cm="1">
        <f t="array" ref="A73">IF(H73="PROJECT", CHAR(10) &amp; "- " &amp; _xlfn.TEXTJOIN(CHAR(10) &amp; "- ", TRUE, _xlfn._xlws.FILTER($I$9:$I$1000, ($B$9:$B$1000=B73) * ($H$9:$H$1000="Topic"))), "")</f>
        <v/>
      </c>
      <c r="B73" s="45" t="str">
        <f t="shared" si="1"/>
        <v/>
      </c>
      <c r="C73" s="95"/>
      <c r="D73" s="46"/>
      <c r="E73" s="58"/>
      <c r="F73" s="67"/>
      <c r="G73" s="53"/>
      <c r="H73" s="49"/>
      <c r="I73" s="50"/>
      <c r="J73" s="51"/>
      <c r="K73" s="129" t="str">
        <f t="shared" si="2"/>
        <v/>
      </c>
      <c r="L73" s="103" t="str">
        <f t="shared" si="3"/>
        <v/>
      </c>
      <c r="M73" s="53">
        <v>0</v>
      </c>
      <c r="N73" s="102" t="str">
        <f t="shared" si="4"/>
        <v/>
      </c>
      <c r="O73" s="103" t="str">
        <f t="shared" si="5"/>
        <v/>
      </c>
      <c r="P73" s="53">
        <v>0</v>
      </c>
      <c r="Q73" s="102" t="str">
        <f t="shared" si="6"/>
        <v/>
      </c>
      <c r="R73" s="103" t="str">
        <f t="shared" si="7"/>
        <v/>
      </c>
      <c r="S73" s="53">
        <v>0</v>
      </c>
      <c r="T73" s="102" t="str">
        <f t="shared" si="8"/>
        <v/>
      </c>
      <c r="U73" s="103" t="str">
        <f t="shared" si="9"/>
        <v/>
      </c>
      <c r="V73" s="53">
        <v>0</v>
      </c>
      <c r="W73" s="87" t="str">
        <f t="shared" si="10"/>
        <v/>
      </c>
      <c r="X73" s="103" t="str">
        <f t="shared" si="11"/>
        <v/>
      </c>
      <c r="Y73" s="53">
        <v>0</v>
      </c>
      <c r="Z73" s="56" t="str">
        <f t="shared" si="12"/>
        <v/>
      </c>
      <c r="AA73" s="56" t="str">
        <f t="shared" si="13"/>
        <v/>
      </c>
      <c r="AB73" s="56" t="str">
        <f t="shared" si="14"/>
        <v/>
      </c>
      <c r="AC73" s="56" t="str">
        <f t="shared" si="15"/>
        <v/>
      </c>
      <c r="AD73" s="56" t="str">
        <f t="shared" si="16"/>
        <v/>
      </c>
      <c r="AE73" s="40"/>
      <c r="AF73" s="40"/>
      <c r="AG73" s="40"/>
      <c r="AH73" s="56" t="str">
        <f t="shared" ref="AH73:AH104" si="18">IF(AE73=$B$6,AG73,"")</f>
        <v/>
      </c>
      <c r="AI73" s="54"/>
      <c r="AJ73" s="54"/>
      <c r="AK73" s="54"/>
      <c r="AL73" s="54"/>
      <c r="AM73" s="54"/>
    </row>
    <row r="74" spans="1:39">
      <c r="A74" s="45" t="str" cm="1">
        <f t="array" ref="A74">IF(H74="PROJECT", CHAR(10) &amp; "- " &amp; _xlfn.TEXTJOIN(CHAR(10) &amp; "- ", TRUE, _xlfn._xlws.FILTER($I$9:$I$1000, ($B$9:$B$1000=B74) * ($H$9:$H$1000="Topic"))), "")</f>
        <v/>
      </c>
      <c r="B74" s="45" t="str">
        <f t="shared" ref="B74:B137" si="19">IF(H74="","",IF(AND(H74="Topic",H73="PROJECT"),B73+1,IF(H74="PROJECT",B73,IF(AND(H74="Topic",H73="Topic"),B73,B73+1))))</f>
        <v/>
      </c>
      <c r="C74" s="95"/>
      <c r="D74" s="57"/>
      <c r="E74" s="58"/>
      <c r="F74" s="54"/>
      <c r="G74" s="52"/>
      <c r="H74" s="52"/>
      <c r="I74" s="61"/>
      <c r="J74" s="62"/>
      <c r="K74" s="129" t="str">
        <f t="shared" ref="K74:K137" si="20">IF(H74="Topic",
"[ROLE] Friendly tutor specializing in " &amp; $I$2 &amp; " | " &amp;
"[TOPIC] " &amp; I74 &amp; " | " &amp;
"[LEVEL] " &amp; G74 &amp; " | " &amp;
"[COUNT] " &amp; D74 &amp; " examples | " &amp;
"[LIBRARY BEING LEARNED] " &amp; $I$3 &amp; " | " &amp;
"[ECOSYSTEM ORIENTATION RULE] If a data manipulation library, external package, or ecosystem like Pandas or NumPy is specified in " &amp; $I$3 &amp; _xlfn._LONGTEXT(",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$C74 &amp; " lines of EXECUTABLE code (STRICT: Do NOT count comments or blank lines). - NEVER exceed this limit. | " &amp;
"[FUNCTION RULE] Rule: " &amp; IF(G74="Beginner","Use basic async/await functions in main(). NO complex event loops or isolates.", IF(G74="Intermediate", "REQUIREMENT: Include async methods, Streams, try/catch error handling, and Future.delayed in each example.", "Advanced Concurrency: Isolates (Isolate.spawn), StreamControllers, async generators (async*, yield).")) &amp; " | " &amp;
_xlfn._LONGTEXT("[CODE_CONSTRAINTS_RULE]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 &amp;
"[I_O_PARADIGM] Use Asynchronous file operations or non-blocking stream inputs/outputs. and gracefully handle print() statements with string interpolation to display asynchronous outputs clearly. when applicable. | " &amp;
_xlfn._LONGTEXT("[INLINE_PACKAGE_MANAGER] If using external packages, use Dart asynchronous primitives, Futures, Streams, async/await flows, and isolate execution models utilizing top-level main().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F74 &amp; " | Stage 1 📖 Practice | " &amp; IF($I$3="", $I$2, $I$2&amp; " - " &amp;$I$3) &amp; " | 📊 Level: " &amp; G74 &amp; " | 🌐 Coding5s.com" &amp; CHAR(10) &amp; "**Concept:** " &amp; J74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D74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IF(AJ74&lt;&gt;"", AJ74,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IF(H74="PROJECT", Z74, ""))</f>
        <v/>
      </c>
      <c r="L74" s="103" t="str">
        <f t="shared" ref="L74:L137" si="21">IF(OR(H74="Topic", UPPER(H74)="PROJECT"),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IF(UPPER(H74)="PROJECT", "building a PROJECT: " &amp; I74 &amp; ". Topics applied in this project: " &amp; A74 &amp; ". Project objective: " &amp; J74, "learning: " &amp; I74 &amp; ". Topic details: " &amp; J74)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IF(G74="Beginner", "Evaluate based on basic async/await usage and Future resolution inside main(). Do NOT expect raw isolates or complex stream transformers unless explicitly demanded.", IF(G74="Intermediate", "Expect clean asynchronous functions, proper error handling (try-catch), Stream listeners, and correct event-loop flow control. Enforce solid concurrency principles.", "Expect advanced multi-threading architecture using Isolate, bidirectional communication ports (SendPort/ReceivePort), custom async generators, and stream manipulation.")) &amp; " | " &amp;
_xlfn._LONGTEXT("[CODE_QUALITY_POLICIES]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&amp; IF(AJ74&lt;&gt;"", "[MENTOR CONTEXT ALERT] Be aware of the following infrastructure limitation for this exercise: " &amp; AJ74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IF(UPPER(H74)="PROJECT",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IF(UPPER(H74)="PROJECT",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IF(UPPER(H74)="PROJECT", "Project #", "Topic #") &amp; F74 &amp; " | Practice | " &amp; IF($I$3="", $I$2, $I$2&amp; " - " &amp;$I$3) &amp; " | 📊 Level: " &amp; G74 &amp; CHAR(10) &amp; "**" &amp; IF(UPPER(H74)="PROJECT", "Project", "Topic") &amp; ":** " &amp; I74 &amp; CHAR(10) &amp; "---" &amp; CHAR(10) &amp; " | " &amp;
"[FOOTER RULE - STRICT] End your response with: '--- ⚡ *Coding5s Mentor System — Eliminating Epistemic Debt*' | ","")</f>
        <v/>
      </c>
      <c r="M74" s="52">
        <v>0</v>
      </c>
      <c r="N74" s="102" t="str">
        <f t="shared" ref="N74:N137" si="22">IF(H74="Topic",
"[ROLE] Careless " &amp; $I$2 &amp; " Developer | " &amp;
"[TASK] Generate debugging challenges in " &amp; $I$2 &amp; " | | " &amp;
"[TOPIC] " &amp; I74 &amp; " | | " &amp;
"[LEVEL] " &amp; G74 &amp; " | | " &amp;
"[COUNT] " &amp; D74 &amp; " challenges | " &amp;
"[LIBRARY BEING LEARNED] " &amp; $I$3 &amp; " | " &amp;
"[ECOSYSTEM ORIENTATION RULE] If a data manipulation library, external package, or ecosystem like Pandas or NumPy is specified in " &amp; $I$3 &amp; _xlfn._LONGTEXT(",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 &amp;
"[HEADER RULE - STRICT] You MUST start your entire response EXACTLY with this markdown block (do not print anything before it):" &amp; CHAR(10) &amp; "### 🔹 Topic #" &amp; F74 &amp; " | Stage 2 🐛 Debug | " &amp; IF($I$3="", $I$2, $I$2&amp; " - " &amp;$I$3) &amp; " | 📊 Level: " &amp; G74 &amp; " | 🌐 Coding5s.com" &amp; CHAR(10) &amp; "Concept: " &amp; J74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 &amp;
"[TESTING_FRAMEWORK_RULE] Validation using print() statements or native assert statements. Avoid complex dart test suites; keep asynchronous validation inside main(). | " &amp;
"[DEPENDENCY_MANAGEMENT_RULE] Standard Dart runtime context. If external packages are needed, specify them strictly in pubspec.yaml support files. | " &amp;
"[CODE CONSTRAINTS] Each challenge MUST include: asynchronous data fetching OR stream handling, at least 1 print statement, at least 1 async/await construct, EXACTLY 1 asynchronous function, and EXACTLY 1 function call within main(). - " &amp; IF(G74="Beginner", "5–15", IF(G74="Intermediate", "10–25", "15–35")) &amp; _xlfn._LONGTEXT(" lines of EXECUTABLE broken Dart code per challenge (STRICT: Do NOT count blank lines). All concurrency logic MUST be encapsulated inside async methods and executed via main().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D74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IF(H74="PROJECT", AA74, ""))</f>
        <v/>
      </c>
      <c r="O74" s="103" t="str">
        <f t="shared" ref="O74:O137" si="23">IF(OR(H74="Topic", UPPER(H74)="PROJECT"),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IF(UPPER(H74)="PROJECT", "PROJECT: " &amp; I74 &amp; ". Topics involved: " &amp; A74 &amp; ". Project objective: " &amp; J74, "TOPIC: " &amp; I74 &amp; ". Topic details: " &amp; J74)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IF(UPPER(H74)="PROJECT", "Project #", "Topic #") &amp; F74 &amp; " | Debug | " &amp; IF($I$3="", $I$2, $I$2&amp; " - " &amp;$I$3) &amp; " | 📊 Level: " &amp; G74 &amp; CHAR(10) &amp; "**" &amp; IF(UPPER(H74)="PROJECT", "Project", "Topic") &amp; ":** " &amp; I74 &amp; CHAR(10) &amp; "---" &amp; CHAR(10) &amp; " | " &amp;
_xlfn._LONGTEXT("[CORE_QUALITY_POLICY]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74" s="52">
        <v>0</v>
      </c>
      <c r="Q74" s="102" t="str">
        <f t="shared" ref="Q74:Q137" si="24">IF(H74="Topic",
"[ROLE] Tech Lead | " &amp;
"[TASK] Assign incomplete " &amp; $I$2 &amp; " script challenges | " &amp;
"[TOPIC] " &amp; I74 &amp; " | " &amp;
"[LEVEL] " &amp; G74 &amp; " | " &amp;
"[COUNT] " &amp; D74 &amp; " challenges | " &amp;
"[LIBRARY BEING LEARNED] " &amp; $I$3 &amp; " | " &amp;
"[ECOSYSTEM ORIENTATION RULE] If a data manipulation library, external package, or ecosystem like Pandas or NumPy is specified in " &amp; $I$3 &amp; _xlfn._LONGTEXT(",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 &amp;
"[HEADER RULE - STRICT] You MUST start your entire response EXACTLY with this markdown block (do not print anything before it):" &amp; CHAR(10) &amp; "### 🔹 Topic #" &amp; F74 &amp; " | Stage 3 🧩 Complete | " &amp; IF($I$3="", $I$2, $I$2&amp; " - " &amp;$I$3) &amp; " | 📊 Level: " &amp; G74 &amp; " | 🌐 Coding5s.com" &amp; CHAR(10) &amp; "**Concept:** " &amp; J74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Dart built-ins (dart:async, dart:io, dart:isolate). Strictly ZERO external pub.dev packages required for core concurrency topics. | " &amp;
"[TESTING_FRAMEWORK_PROTOCOL] Simple console output verification via standard print() statements. | " &amp;
"[CHALLENGE_CONSTRAINTS_POLICY] For Beginner level, // TODO MUST be atomic (1-2 simple lines max, e.g., adding await, creating a Future, or printing stream data). NO complex buffer redirections. - " &amp; IF(G74="Beginner","5–15", IF(G74="Intermediate","10–25","15–35")) &amp; " 5-15 lines of EXECUTABLE base code with a main() entry point. Code outside // TODO MUST be 100% valid and readable. Asynchronous context and event loops must be correctly structured.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D74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I74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IF(G74="Beginner", "Clear explicit hint (no code) | ", IF(G74="Intermediate",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IF(H74="PROJECT", AB74, ""))</f>
        <v/>
      </c>
      <c r="R74" s="103" t="str">
        <f t="shared" ref="R74:R137" si="25">IF(OR(H74="Topic", UPPER(H74)="PROJECT"),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IF(UPPER(H74)="PROJECT", "PROJECT: " &amp; I74 &amp; ". Topics involved: " &amp; A74 &amp; ". Project objective: " &amp; J74, "TOPIC: " &amp; I74 &amp; ". Topic details: " &amp; J74)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IF(UPPER(H74)="PROJECT", "Project #", "Topic #") &amp; F74 &amp; " | Complete | " &amp; IF($I$3="", $I$2, $I$2&amp; " - " &amp;$I$3) &amp; " | 📊 Level: " &amp; G74 &amp; CHAR(10) &amp; "**" &amp; IF(UPPER(H74)="PROJECT", "Project", "Topic") &amp; ":** " &amp; I74 &amp; CHAR(10) &amp; "---" &amp; CHAR(10) &amp; " | " &amp;
_xlfn._LONGTEXT("[CORE_QUALITY_POLICY]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74" s="52">
        <v>0</v>
      </c>
      <c r="T74" s="102" t="str">
        <f t="shared" ref="T74:T137" si="26">IF(H74="Topic",
"[ROLE] Tech Lead | " &amp;
"[TASK] Provide intentionally messy but functional code for learning debugging and improvement | " &amp;
"[TOPIC] " &amp; I74 &amp; " | " &amp;
"[LEVEL] " &amp; G74 &amp; " | " &amp;
"[COUNT] " &amp; D74 &amp; " challenges | " &amp;
"[LIBRARY BEING LEARNED] " &amp; $I$3 &amp; " | " &amp;
_xlfn._LONGTEXT("[ECOSYSTEM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F74 &amp; " | Stage 4 🧹 Refactor | " &amp; IF($I$3="", $I$2, $I$2&amp; " - " &amp;$I$3) &amp; " | 📊 Level: " &amp; G74 &amp; " | 🌐 Coding5s.com" &amp; CHAR(10) &amp; "**Concept:** " &amp; J74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D74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IF(G74="Beginner", "5–15", IF(G74="Intermediate",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IF(H74="PROJECT", AC74, ""))</f>
        <v/>
      </c>
      <c r="U74" s="103" t="str">
        <f t="shared" ref="U74:U137" si="27">IF(OR(H74="Topic", UPPER(H74)="PROJECT"),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IF(UPPER(H74)="PROJECT", "PROJECT: " &amp; I74 &amp; ". Topics involved: " &amp; A74 &amp; ". Project objective: " &amp; J74, "TOPIC: " &amp; I74 &amp; ". Topic details: " &amp; J74)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IF(UPPER(H74)="PROJECT", "Project #", "Topic #") &amp; F74 &amp; " | Refactor | " &amp; IF($I$3="", $I$2, $I$2&amp; " - " &amp;$I$3) &amp; " | 📊 Level: " &amp; G74 &amp; CHAR(10) &amp; "**" &amp; IF(UPPER(H74)="PROJECT", "Project", "Topic") &amp; ":** " &amp; I74 &amp; CHAR(10) &amp; "---" &amp; CHAR(10) &amp; " | " &amp;
_xlfn._LONGTEXT("[PYTHON QUALITY RULE - STRICT] Code MUST adhere strictly to Effective Dart guidelines. Use camelCase for methods/variables, PascalCase for types. Avoid global mutable state; emphasize strong static typing, robust Future/Stream pipelines, and clean non-blo","cking architectures.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74" s="52">
        <v>0</v>
      </c>
      <c r="W74" s="87" t="str">
        <f t="shared" ref="W74:W137" si="28">IF(H74="Topic",
"[ROLE] Tech Product Manager assigning a " &amp; $I$2 &amp; " Jira Ticket | " &amp;
"[TASK] Provide a guided implementation exercise with full solution for learning purposes | " &amp;
"[TOPIC] " &amp; I74 &amp; " | " &amp;
"[LEVEL] " &amp; G74 &amp; " | " &amp;
"[LIBRARY BEING LEARNED] " &amp; $I$3 &amp; " | " &amp;
_xlfn._LONGTEXT("[ECOSYSTEM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F74 &amp; " | Stage 5 | " &amp; IF($I$3="", $I$2, $I$2&amp; " - " &amp;$I$3) &amp; " | 📊 Level: " &amp; G74 &amp; " | 🌐 Coding5s.com" &amp; CHAR(10) &amp; "**Concept:** " &amp; J74 &amp; CHAR(10) &amp; "---" &amp; CHAR(10) &amp; " | " &amp;
"[FUNCTIONAL_STRUCTURE_POLICY] Rule: " &amp; IF(G74="Beginner", "Use simple scripts or minimal functions. ", IF(G74="Intermediate",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IF(G74="Beginner", "10–20", IF(G74="Intermediate", "15–30", "25–40")) &amp; " lines of EXECUTABLE code (STRICT) - V1.1 MUST be between " &amp; IF(G74="Beginner", "15–30", IF(G74="Intermediate",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IF(H74="PROJECT", AD74, ""))</f>
        <v/>
      </c>
      <c r="X74" s="103" t="str">
        <f t="shared" ref="X74:X137" si="29">IF(OR(H74="Topic", UPPER(H74)="PROJECT"),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IF(UPPER(H74)="PROJECT", "PROJECT: " &amp; I74 &amp; ". Topics integrated: " &amp; A74 &amp; ". Business Goal: " &amp; J74, "TOPIC: " &amp; I74 &amp; ". Goal: " &amp; J74)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IF(UPPER(H74)="PROJECT", "Project #", "Topic #") &amp; F74 &amp; " | Extend | " &amp; IF($I$3="", $I$2, $I$2&amp; " - " &amp;$I$3) &amp; " | 📊 Level: " &amp; G74 &amp; CHAR(10) &amp; "**" &amp; IF(UPPER(H74)="PROJECT", "Project", "Topic") &amp; ":** " &amp; I74 &amp; CHAR(10) &amp; "---" &amp; CHAR(10) &amp; " | " &amp;
_xlfn._LONGTEXT("[CODE_QUALITY_PROTOCOL]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74" s="52">
        <v>0</v>
      </c>
      <c r="Z74" s="56" t="str">
        <f t="shared" ref="Z74:Z137" si="30">IF(H74&lt;&gt;"PROJECT","",
"[TASK] Teach through a practical " &amp; $I$2 &amp; " - " &amp; $I$3 &amp; " project following the micro-learning methodology, acting as a supportive tutor, creating a project about  " &amp; I74 &amp; " | " &amp;
"[TOPICS USED] " &amp; A74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_xlfn._LONGTEXT("[INLINE_PACKAGE_MANAGER] If using external packages, use Dart asynchronous primitives, Futures, Streams, async/await flows, and isolate execution models utilizing top-level main(). at the top of the code block. Assume no project configuration file exists."," | ") &amp;
"[CODE_CONSTRAINTS_RULE] Standard basic logic validation using native assert statements. | " &amp;
_xlfn._LONGTEXT("[VISUAL_ARCHITECTURE_COMMENTS] 1. Use visual block tags separating script sections (e.g., '// --- BLOQUE 1: [NAME] ---') to map code to the planning phase. 2. Use comprehensive doc comments using triple slashes ('///') explaining asynchronous parameters, ","Future return types, and exceptions. 3. CRITICAL: NO comment or docstring line may exceed 80 characters (Effective Dart standard) in width. | ") &amp;
"[DATA ROBUSTNESS RULE] Handle real-world data safely | " &amp;
"[CODE CONSTRAINTS] MUST be between " &amp; IF(G74="Beginner", "25–40", IF(G74="Intermediate",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F74 &amp; " | Stage 1 | " &amp; IF($I$3="", $I$2, $I$2&amp; " - " &amp;$I$3) &amp; " | 📊 Level: " &amp; G74 &amp; " | 🌐 Coding5s.com" &amp; CHAR(10) &amp; "**Project:** " &amp; J74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74" s="56" t="str">
        <f t="shared" ref="AA74:AA137" si="31">IF(H74&lt;&gt;"PROJECT","",
"[ROLE] Careless " &amp; $I$2 &amp; " Developer | " &amp;
"[TASK] Generate debugging project in " &amp; $I$2 &amp; " | " &amp;
"[PROJECT] " &amp; I74 &amp; " | " &amp;
"[TOPICS USED] " &amp; A74 &amp; " | " &amp;
"[LEVEL] " &amp; G74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F74 &amp; " | Stage 2 | " &amp; IF($I$3="", $I$2, $I$2&amp; " - " &amp;$I$3) &amp; " | 📊 Level: " &amp; G74 &amp; " | 🌐 Coding5s.com" &amp; CHAR(10) &amp; "Project: " &amp; J74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AE72 &amp; " | " &amp;
"[LANGUAGE SEED CONTEXT] " &amp; IF($AE$7 = "", "Language Seed Not Necessary", "You MUST strictly follow this seed context to enhance, adapt, and naturalize your tone, vocabulary, and instructional quality in " &amp; $B$6 &amp; ": " &amp; $AE$7) &amp; " | " &amp;
_xlfn._LONGTEXT("[BUG RULE] Simulate a messy Dart concurrency script. The project MUST contain EXACTLY 2-5 bugs mixing unawaited futures, missing async/await keywords, concurrency logic errors, and runtime exceptions. 1. Syntax &amp; Type Errors (e.g., missing semicolons/brac","kets, returning raw values instead of Futures, unhandled null safety exceptions in streams), 2. Logic Errors (e.g., unawaited async calls causing race conditions, incorrect stream subscription logic, deadlock states), AND 3. Runtime Exceptions (e.g., Time","outException, StateError on closed controllers, IsolateSpawnException, FormatException).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IF(G74="Beginner", "25–40", IF(G74="Intermediate", "30–60", "40–100")) &amp; " lines of EXECUTABLE code (STRICT: Do NOT count blank lines towards this limit) - Multi-step flow - 2–4 functions ONLY - main() as entry point " &amp; IF(G74&lt;&gt;"Advanced",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74" s="56" t="str">
        <f t="shared" ref="AB74:AB137" si="32">IF(H74&lt;&gt;"PROJECT","",
"[ROLE] Tech Lead | " &amp;
"[TASK] Assign incomplete project script | " &amp;
"[PROJECT] " &amp; I74 &amp; " | " &amp;
"[TOPICS USED] " &amp; A74 &amp; " | " &amp;
"[LEVEL] " &amp; G74 &amp; " | " &amp;
"[LIBRARY BEING LEARNED] " &amp; $I$3 &amp; " | " &amp;
"[ECOSYSTEM ORIENTATION RULE] If a data manipulation library, external package, or ecosystem like Pandas or NumPy is specified in " &amp; $I$3 &amp; _xlfn._LONGTEXT(",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F74 &amp; " | Stage 3 | " &amp; IF($I$3="", $I$2, $I$2&amp; " - " &amp;$I$3) &amp; " | 📊 Level: " &amp; G74 &amp; " | 🌐 Coding5s.com" &amp; CHAR(10) &amp; "**Project:** " &amp; J74 &amp; CHAR(10) &amp; "---" &amp; CHAR(10) &amp; " | " &amp;
"[EXTERNAL_PACKAGE_PROTOCOL] Require standard dart pub tooling and pubspec.yaml file for external dependencies when applicable. | " &amp;
"[CHALLENGE_CONSTRAINTS_POLICY] MUST be between 25-40 lines of EXECUTABLE base Dart code (STRICT: Do NOT count comments or // TODO blocks). " &amp; IF(G74="Beginner","25–40", IF(G74="Intermediate","30–60","40–100")) &amp; " Asynchronous and concurrent script flow. Require at least 1 async worker or stream pipeline. Logica de integracion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74" s="56" t="str">
        <f t="shared" ref="AC74:AC137" si="33">IF(H74&lt;&gt;"PROJECT","",
"[ROLE] Tech Lead | " &amp;
"[TASK] Provide a messy but functional project for refactoring | " &amp;
"[PROJECT] " &amp; I74 &amp; " | " &amp;
"[TOPICS USED] " &amp; A74 &amp; " | " &amp;
"[LEVEL] " &amp; G74 &amp; " | " &amp;
"[PERSONA RULE] Act as a Tech Lead. A junior wrote this working but messy code. Tone: professional but exhausted | " &amp;
"[HEADER RULE - STRICT] You MUST start your entire response EXACTLY with this markdown block (do not print anything before it):" &amp; CHAR(10) &amp; "### 🚀 Project #" &amp; F74 &amp; " | Stage 4 | " &amp; IF($I$3="", $I$2, $I$2&amp; " - " &amp;$I$3) &amp; " | 📊 Level: " &amp; G74 &amp; " | 🌐 Coding5s.com" &amp; CHAR(10) &amp; "**Project:** " &amp; J74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IF(G74="Beginner", "25–40", IF(G74="Intermediate",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74" s="56" t="str">
        <f t="shared" ref="AD74:AD137" si="34">IF(H74&lt;&gt;"PROJECT","",
"[ROLE] Tech Product Manager assigning a " &amp; $I$2 &amp; " Jira Ticket | " &amp;
"[TASK] Provide a guided project implementation with full solution | " &amp;
"[PROJECT] " &amp; I74 &amp; " | " &amp;
"[TOPICS USED] " &amp; A74 &amp; " | " &amp;
"[LEVEL] " &amp; G74 &amp; " | " &amp;
"[PERSONA RULE] Act as a professional Tech Product Manager defining a project ticket | " &amp;
"[LIBRARY BEING LEARNED] " &amp; $I$3 &amp; " | " &amp;
_xlfn._LONGTEXT("[ECOSYSTEM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 &amp;
"[HEADER RULE - STRICT] You MUST start your entire response EXACTLY with this markdown block (do not print anything before it):" &amp; CHAR(10) &amp; "### 🚀 Project #" &amp; F74 &amp; " | Stage 5 | " &amp; IF($I$3="", $I$2, $I$2&amp; " - " &amp;$I$3) &amp; " | 📊 Level: " &amp; G74 &amp; " | 🌐 Coding5s.com" &amp; CHAR(10) &amp; "**Project:** " &amp; J74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IF(G74="Beginner", "20–35", IF(G74="Intermediate", "30–50", "45–70")) &amp; " lines of EXECUTABLE code (STRICT) - V1.1 MUST be between " &amp; IF(G74="Beginner", "30–50", IF(G74="Intermediate",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IF(G74="Beginner", "Avoid complex structure. ", IF(G74="Intermediate",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74" s="40"/>
      <c r="AF74" s="40"/>
      <c r="AG74" s="40"/>
      <c r="AH74" s="56" t="str">
        <f t="shared" si="18"/>
        <v/>
      </c>
      <c r="AI74" s="54"/>
      <c r="AJ74" s="54"/>
      <c r="AK74" s="54"/>
      <c r="AL74" s="54"/>
      <c r="AM74" s="54"/>
    </row>
    <row r="75" spans="1:39">
      <c r="A75" s="45" t="str" cm="1">
        <f t="array" ref="A75">IF(H75="PROJECT", CHAR(10) &amp; "- " &amp; _xlfn.TEXTJOIN(CHAR(10) &amp; "- ", TRUE, _xlfn._xlws.FILTER($I$9:$I$1000, ($B$9:$B$1000=B75) * ($H$9:$H$1000="Topic"))), "")</f>
        <v/>
      </c>
      <c r="B75" s="45" t="str">
        <f t="shared" si="19"/>
        <v/>
      </c>
      <c r="C75" s="95"/>
      <c r="D75" s="46"/>
      <c r="E75" s="58"/>
      <c r="F75" s="67"/>
      <c r="G75" s="53"/>
      <c r="H75" s="53"/>
      <c r="I75" s="50"/>
      <c r="J75" s="51"/>
      <c r="K75" s="129" t="str">
        <f t="shared" si="20"/>
        <v/>
      </c>
      <c r="L75" s="103" t="str">
        <f t="shared" si="21"/>
        <v/>
      </c>
      <c r="M75" s="53">
        <v>0</v>
      </c>
      <c r="N75" s="102" t="str">
        <f t="shared" si="22"/>
        <v/>
      </c>
      <c r="O75" s="103" t="str">
        <f t="shared" si="23"/>
        <v/>
      </c>
      <c r="P75" s="53">
        <v>0</v>
      </c>
      <c r="Q75" s="102" t="str">
        <f t="shared" si="24"/>
        <v/>
      </c>
      <c r="R75" s="103" t="str">
        <f t="shared" si="25"/>
        <v/>
      </c>
      <c r="S75" s="53">
        <v>0</v>
      </c>
      <c r="T75" s="102" t="str">
        <f t="shared" si="26"/>
        <v/>
      </c>
      <c r="U75" s="103" t="str">
        <f t="shared" si="27"/>
        <v/>
      </c>
      <c r="V75" s="53">
        <v>0</v>
      </c>
      <c r="W75" s="87" t="str">
        <f t="shared" si="28"/>
        <v/>
      </c>
      <c r="X75" s="103" t="str">
        <f t="shared" si="29"/>
        <v/>
      </c>
      <c r="Y75" s="53">
        <v>0</v>
      </c>
      <c r="Z75" s="56" t="str">
        <f t="shared" si="30"/>
        <v/>
      </c>
      <c r="AA75" s="56" t="str">
        <f t="shared" si="31"/>
        <v/>
      </c>
      <c r="AB75" s="56" t="str">
        <f t="shared" si="32"/>
        <v/>
      </c>
      <c r="AC75" s="56" t="str">
        <f t="shared" si="33"/>
        <v/>
      </c>
      <c r="AD75" s="56" t="str">
        <f t="shared" si="34"/>
        <v/>
      </c>
      <c r="AE75" s="40"/>
      <c r="AF75" s="40"/>
      <c r="AG75" s="40"/>
      <c r="AH75" s="56" t="str">
        <f t="shared" si="18"/>
        <v/>
      </c>
      <c r="AI75" s="54"/>
      <c r="AJ75" s="54"/>
      <c r="AK75" s="54"/>
      <c r="AL75" s="54"/>
      <c r="AM75" s="54"/>
    </row>
    <row r="76" spans="1:39">
      <c r="A76" s="45" t="str" cm="1">
        <f t="array" ref="A76">IF(H76="PROJECT", CHAR(10) &amp; "- " &amp; _xlfn.TEXTJOIN(CHAR(10) &amp; "- ", TRUE, _xlfn._xlws.FILTER($I$9:$I$1000, ($B$9:$B$1000=B76) * ($H$9:$H$1000="Topic"))), "")</f>
        <v/>
      </c>
      <c r="B76" s="45" t="str">
        <f t="shared" si="19"/>
        <v/>
      </c>
      <c r="C76" s="95"/>
      <c r="D76" s="57"/>
      <c r="E76" s="58"/>
      <c r="F76" s="54"/>
      <c r="G76" s="52"/>
      <c r="H76" s="52"/>
      <c r="I76" s="61"/>
      <c r="J76" s="62"/>
      <c r="K76" s="129" t="str">
        <f t="shared" si="20"/>
        <v/>
      </c>
      <c r="L76" s="103" t="str">
        <f t="shared" si="21"/>
        <v/>
      </c>
      <c r="M76" s="52">
        <v>0</v>
      </c>
      <c r="N76" s="102" t="str">
        <f t="shared" si="22"/>
        <v/>
      </c>
      <c r="O76" s="103" t="str">
        <f t="shared" si="23"/>
        <v/>
      </c>
      <c r="P76" s="52">
        <v>0</v>
      </c>
      <c r="Q76" s="102" t="str">
        <f t="shared" si="24"/>
        <v/>
      </c>
      <c r="R76" s="103" t="str">
        <f t="shared" si="25"/>
        <v/>
      </c>
      <c r="S76" s="52">
        <v>0</v>
      </c>
      <c r="T76" s="102" t="str">
        <f t="shared" si="26"/>
        <v/>
      </c>
      <c r="U76" s="103" t="str">
        <f t="shared" si="27"/>
        <v/>
      </c>
      <c r="V76" s="52">
        <v>0</v>
      </c>
      <c r="W76" s="87" t="str">
        <f t="shared" si="28"/>
        <v/>
      </c>
      <c r="X76" s="103" t="str">
        <f t="shared" si="29"/>
        <v/>
      </c>
      <c r="Y76" s="52">
        <v>0</v>
      </c>
      <c r="Z76" s="56" t="str">
        <f t="shared" si="30"/>
        <v/>
      </c>
      <c r="AA76" s="56" t="str">
        <f t="shared" si="31"/>
        <v/>
      </c>
      <c r="AB76" s="56" t="str">
        <f t="shared" si="32"/>
        <v/>
      </c>
      <c r="AC76" s="56" t="str">
        <f t="shared" si="33"/>
        <v/>
      </c>
      <c r="AD76" s="56" t="str">
        <f t="shared" si="34"/>
        <v/>
      </c>
      <c r="AE76" s="40"/>
      <c r="AF76" s="40"/>
      <c r="AG76" s="40"/>
      <c r="AH76" s="56" t="str">
        <f t="shared" si="18"/>
        <v/>
      </c>
      <c r="AI76" s="54"/>
      <c r="AJ76" s="54"/>
      <c r="AK76" s="54"/>
      <c r="AL76" s="54"/>
      <c r="AM76" s="54"/>
    </row>
    <row r="77" spans="1:39">
      <c r="A77" s="45" t="str" cm="1">
        <f t="array" ref="A77">IF(H77="PROJECT", CHAR(10) &amp; "- " &amp; _xlfn.TEXTJOIN(CHAR(10) &amp; "- ", TRUE, _xlfn._xlws.FILTER($I$9:$I$1000, ($B$9:$B$1000=B77) * ($H$9:$H$1000="Topic"))), "")</f>
        <v/>
      </c>
      <c r="B77" s="45" t="str">
        <f t="shared" si="19"/>
        <v/>
      </c>
      <c r="C77" s="95"/>
      <c r="D77" s="46"/>
      <c r="E77" s="58"/>
      <c r="F77" s="67"/>
      <c r="G77" s="53"/>
      <c r="H77" s="53"/>
      <c r="I77" s="50"/>
      <c r="J77" s="51"/>
      <c r="K77" s="129" t="str">
        <f t="shared" si="20"/>
        <v/>
      </c>
      <c r="L77" s="103" t="str">
        <f t="shared" si="21"/>
        <v/>
      </c>
      <c r="M77" s="53">
        <v>0</v>
      </c>
      <c r="N77" s="102" t="str">
        <f t="shared" si="22"/>
        <v/>
      </c>
      <c r="O77" s="103" t="str">
        <f t="shared" si="23"/>
        <v/>
      </c>
      <c r="P77" s="53">
        <v>0</v>
      </c>
      <c r="Q77" s="102" t="str">
        <f t="shared" si="24"/>
        <v/>
      </c>
      <c r="R77" s="103" t="str">
        <f t="shared" si="25"/>
        <v/>
      </c>
      <c r="S77" s="53">
        <v>0</v>
      </c>
      <c r="T77" s="102" t="str">
        <f t="shared" si="26"/>
        <v/>
      </c>
      <c r="U77" s="103" t="str">
        <f t="shared" si="27"/>
        <v/>
      </c>
      <c r="V77" s="53">
        <v>0</v>
      </c>
      <c r="W77" s="87" t="str">
        <f t="shared" si="28"/>
        <v/>
      </c>
      <c r="X77" s="103" t="str">
        <f t="shared" si="29"/>
        <v/>
      </c>
      <c r="Y77" s="53">
        <v>0</v>
      </c>
      <c r="Z77" s="56" t="str">
        <f t="shared" si="30"/>
        <v/>
      </c>
      <c r="AA77" s="56" t="str">
        <f t="shared" si="31"/>
        <v/>
      </c>
      <c r="AB77" s="56" t="str">
        <f t="shared" si="32"/>
        <v/>
      </c>
      <c r="AC77" s="56" t="str">
        <f t="shared" si="33"/>
        <v/>
      </c>
      <c r="AD77" s="56" t="str">
        <f t="shared" si="34"/>
        <v/>
      </c>
      <c r="AE77" s="40"/>
      <c r="AF77" s="40"/>
      <c r="AG77" s="40"/>
      <c r="AH77" s="56" t="str">
        <f t="shared" si="18"/>
        <v/>
      </c>
      <c r="AI77" s="54"/>
      <c r="AJ77" s="54"/>
      <c r="AK77" s="54"/>
      <c r="AL77" s="54"/>
      <c r="AM77" s="54"/>
    </row>
    <row r="78" spans="1:39">
      <c r="A78" s="45" t="str" cm="1">
        <f t="array" ref="A78">IF(H78="PROJECT", CHAR(10) &amp; "- " &amp; _xlfn.TEXTJOIN(CHAR(10) &amp; "- ", TRUE, _xlfn._xlws.FILTER($I$9:$I$1000, ($B$9:$B$1000=B78) * ($H$9:$H$1000="Topic"))), "")</f>
        <v/>
      </c>
      <c r="B78" s="45" t="str">
        <f t="shared" si="19"/>
        <v/>
      </c>
      <c r="C78" s="95"/>
      <c r="D78" s="57"/>
      <c r="E78" s="58"/>
      <c r="F78" s="54"/>
      <c r="G78" s="52"/>
      <c r="H78" s="52"/>
      <c r="I78" s="61"/>
      <c r="J78" s="62"/>
      <c r="K78" s="129" t="str">
        <f t="shared" si="20"/>
        <v/>
      </c>
      <c r="L78" s="103" t="str">
        <f t="shared" si="21"/>
        <v/>
      </c>
      <c r="M78" s="52">
        <v>0</v>
      </c>
      <c r="N78" s="102" t="str">
        <f t="shared" si="22"/>
        <v/>
      </c>
      <c r="O78" s="103" t="str">
        <f t="shared" si="23"/>
        <v/>
      </c>
      <c r="P78" s="52">
        <v>0</v>
      </c>
      <c r="Q78" s="102" t="str">
        <f t="shared" si="24"/>
        <v/>
      </c>
      <c r="R78" s="103" t="str">
        <f t="shared" si="25"/>
        <v/>
      </c>
      <c r="S78" s="52">
        <v>0</v>
      </c>
      <c r="T78" s="102" t="str">
        <f t="shared" si="26"/>
        <v/>
      </c>
      <c r="U78" s="103" t="str">
        <f t="shared" si="27"/>
        <v/>
      </c>
      <c r="V78" s="52">
        <v>0</v>
      </c>
      <c r="W78" s="87" t="str">
        <f t="shared" si="28"/>
        <v/>
      </c>
      <c r="X78" s="103" t="str">
        <f t="shared" si="29"/>
        <v/>
      </c>
      <c r="Y78" s="52">
        <v>0</v>
      </c>
      <c r="Z78" s="56" t="str">
        <f t="shared" si="30"/>
        <v/>
      </c>
      <c r="AA78" s="56" t="str">
        <f t="shared" si="31"/>
        <v/>
      </c>
      <c r="AB78" s="56" t="str">
        <f t="shared" si="32"/>
        <v/>
      </c>
      <c r="AC78" s="56" t="str">
        <f t="shared" si="33"/>
        <v/>
      </c>
      <c r="AD78" s="56" t="str">
        <f t="shared" si="34"/>
        <v/>
      </c>
      <c r="AE78" s="40"/>
      <c r="AF78" s="40"/>
      <c r="AG78" s="40"/>
      <c r="AH78" s="56" t="str">
        <f t="shared" si="18"/>
        <v/>
      </c>
      <c r="AI78" s="54"/>
      <c r="AJ78" s="54"/>
      <c r="AK78" s="54"/>
      <c r="AL78" s="54"/>
      <c r="AM78" s="54"/>
    </row>
    <row r="79" spans="1:39">
      <c r="A79" s="45" t="str" cm="1">
        <f t="array" ref="A79">IF(H79="PROJECT", CHAR(10) &amp; "- " &amp; _xlfn.TEXTJOIN(CHAR(10) &amp; "- ", TRUE, _xlfn._xlws.FILTER($I$9:$I$1000, ($B$9:$B$1000=B79) * ($H$9:$H$1000="Topic"))), "")</f>
        <v/>
      </c>
      <c r="B79" s="45" t="str">
        <f t="shared" si="19"/>
        <v/>
      </c>
      <c r="C79" s="95"/>
      <c r="D79" s="46"/>
      <c r="E79" s="58"/>
      <c r="F79" s="67"/>
      <c r="G79" s="53"/>
      <c r="H79" s="53"/>
      <c r="I79" s="50"/>
      <c r="J79" s="51"/>
      <c r="K79" s="129" t="str">
        <f t="shared" si="20"/>
        <v/>
      </c>
      <c r="L79" s="103" t="str">
        <f t="shared" si="21"/>
        <v/>
      </c>
      <c r="M79" s="53">
        <v>0</v>
      </c>
      <c r="N79" s="102" t="str">
        <f t="shared" si="22"/>
        <v/>
      </c>
      <c r="O79" s="103" t="str">
        <f t="shared" si="23"/>
        <v/>
      </c>
      <c r="P79" s="53">
        <v>0</v>
      </c>
      <c r="Q79" s="102" t="str">
        <f t="shared" si="24"/>
        <v/>
      </c>
      <c r="R79" s="103" t="str">
        <f t="shared" si="25"/>
        <v/>
      </c>
      <c r="S79" s="53">
        <v>0</v>
      </c>
      <c r="T79" s="102" t="str">
        <f t="shared" si="26"/>
        <v/>
      </c>
      <c r="U79" s="103" t="str">
        <f t="shared" si="27"/>
        <v/>
      </c>
      <c r="V79" s="53">
        <v>0</v>
      </c>
      <c r="W79" s="87" t="str">
        <f t="shared" si="28"/>
        <v/>
      </c>
      <c r="X79" s="103" t="str">
        <f t="shared" si="29"/>
        <v/>
      </c>
      <c r="Y79" s="53">
        <v>0</v>
      </c>
      <c r="Z79" s="56" t="str">
        <f t="shared" si="30"/>
        <v/>
      </c>
      <c r="AA79" s="56" t="str">
        <f t="shared" si="31"/>
        <v/>
      </c>
      <c r="AB79" s="56" t="str">
        <f t="shared" si="32"/>
        <v/>
      </c>
      <c r="AC79" s="56" t="str">
        <f t="shared" si="33"/>
        <v/>
      </c>
      <c r="AD79" s="56" t="str">
        <f t="shared" si="34"/>
        <v/>
      </c>
      <c r="AE79" s="40"/>
      <c r="AF79" s="40"/>
      <c r="AG79" s="40"/>
      <c r="AH79" s="56" t="str">
        <f t="shared" si="18"/>
        <v/>
      </c>
      <c r="AI79" s="54"/>
      <c r="AJ79" s="54"/>
      <c r="AK79" s="54"/>
      <c r="AL79" s="54"/>
      <c r="AM79" s="54"/>
    </row>
    <row r="80" spans="1:39">
      <c r="A80" s="45" t="str" cm="1">
        <f t="array" ref="A80">IF(H80="PROJECT", CHAR(10) &amp; "- " &amp; _xlfn.TEXTJOIN(CHAR(10) &amp; "- ", TRUE, _xlfn._xlws.FILTER($I$9:$I$1000, ($B$9:$B$1000=B80) * ($H$9:$H$1000="Topic"))), "")</f>
        <v/>
      </c>
      <c r="B80" s="45" t="str">
        <f t="shared" si="19"/>
        <v/>
      </c>
      <c r="C80" s="95"/>
      <c r="D80" s="57"/>
      <c r="E80" s="58"/>
      <c r="F80" s="54"/>
      <c r="G80" s="52"/>
      <c r="H80" s="60"/>
      <c r="I80" s="61"/>
      <c r="J80" s="62"/>
      <c r="K80" s="129" t="str">
        <f t="shared" si="20"/>
        <v/>
      </c>
      <c r="L80" s="103" t="str">
        <f t="shared" si="21"/>
        <v/>
      </c>
      <c r="M80" s="52">
        <v>0</v>
      </c>
      <c r="N80" s="102" t="str">
        <f t="shared" si="22"/>
        <v/>
      </c>
      <c r="O80" s="103" t="str">
        <f t="shared" si="23"/>
        <v/>
      </c>
      <c r="P80" s="52">
        <v>0</v>
      </c>
      <c r="Q80" s="102" t="str">
        <f t="shared" si="24"/>
        <v/>
      </c>
      <c r="R80" s="103" t="str">
        <f t="shared" si="25"/>
        <v/>
      </c>
      <c r="S80" s="52">
        <v>0</v>
      </c>
      <c r="T80" s="102" t="str">
        <f t="shared" si="26"/>
        <v/>
      </c>
      <c r="U80" s="103" t="str">
        <f t="shared" si="27"/>
        <v/>
      </c>
      <c r="V80" s="52">
        <v>0</v>
      </c>
      <c r="W80" s="87" t="str">
        <f t="shared" si="28"/>
        <v/>
      </c>
      <c r="X80" s="103" t="str">
        <f t="shared" si="29"/>
        <v/>
      </c>
      <c r="Y80" s="52">
        <v>0</v>
      </c>
      <c r="Z80" s="56" t="str">
        <f t="shared" si="30"/>
        <v/>
      </c>
      <c r="AA80" s="56" t="str">
        <f t="shared" si="31"/>
        <v/>
      </c>
      <c r="AB80" s="56" t="str">
        <f t="shared" si="32"/>
        <v/>
      </c>
      <c r="AC80" s="56" t="str">
        <f t="shared" si="33"/>
        <v/>
      </c>
      <c r="AD80" s="56" t="str">
        <f t="shared" si="34"/>
        <v/>
      </c>
      <c r="AE80" s="40"/>
      <c r="AF80" s="40"/>
      <c r="AG80" s="40"/>
      <c r="AH80" s="56" t="str">
        <f t="shared" si="18"/>
        <v/>
      </c>
      <c r="AI80" s="54"/>
      <c r="AJ80" s="54"/>
      <c r="AK80" s="54"/>
      <c r="AL80" s="54"/>
      <c r="AM80" s="54"/>
    </row>
    <row r="81" spans="1:39">
      <c r="A81" s="45" t="str" cm="1">
        <f t="array" ref="A81">IF(H81="PROJECT", CHAR(10) &amp; "- " &amp; _xlfn.TEXTJOIN(CHAR(10) &amp; "- ", TRUE, _xlfn._xlws.FILTER($I$9:$I$1000, ($B$9:$B$1000=B81) * ($H$9:$H$1000="Topic"))), "")</f>
        <v/>
      </c>
      <c r="B81" s="45" t="str">
        <f t="shared" si="19"/>
        <v/>
      </c>
      <c r="C81" s="95"/>
      <c r="D81" s="46"/>
      <c r="E81" s="58"/>
      <c r="F81" s="67"/>
      <c r="G81" s="53"/>
      <c r="H81" s="53"/>
      <c r="I81" s="50"/>
      <c r="J81" s="51"/>
      <c r="K81" s="129" t="str">
        <f t="shared" si="20"/>
        <v/>
      </c>
      <c r="L81" s="103" t="str">
        <f t="shared" si="21"/>
        <v/>
      </c>
      <c r="M81" s="53">
        <v>0</v>
      </c>
      <c r="N81" s="102" t="str">
        <f t="shared" si="22"/>
        <v/>
      </c>
      <c r="O81" s="103" t="str">
        <f t="shared" si="23"/>
        <v/>
      </c>
      <c r="P81" s="53">
        <v>0</v>
      </c>
      <c r="Q81" s="102" t="str">
        <f t="shared" si="24"/>
        <v/>
      </c>
      <c r="R81" s="103" t="str">
        <f t="shared" si="25"/>
        <v/>
      </c>
      <c r="S81" s="53">
        <v>0</v>
      </c>
      <c r="T81" s="102" t="str">
        <f t="shared" si="26"/>
        <v/>
      </c>
      <c r="U81" s="103" t="str">
        <f t="shared" si="27"/>
        <v/>
      </c>
      <c r="V81" s="53">
        <v>0</v>
      </c>
      <c r="W81" s="87" t="str">
        <f t="shared" si="28"/>
        <v/>
      </c>
      <c r="X81" s="103" t="str">
        <f t="shared" si="29"/>
        <v/>
      </c>
      <c r="Y81" s="53">
        <v>0</v>
      </c>
      <c r="Z81" s="56" t="str">
        <f t="shared" si="30"/>
        <v/>
      </c>
      <c r="AA81" s="56" t="str">
        <f t="shared" si="31"/>
        <v/>
      </c>
      <c r="AB81" s="56" t="str">
        <f t="shared" si="32"/>
        <v/>
      </c>
      <c r="AC81" s="56" t="str">
        <f t="shared" si="33"/>
        <v/>
      </c>
      <c r="AD81" s="56" t="str">
        <f t="shared" si="34"/>
        <v/>
      </c>
      <c r="AE81" s="40"/>
      <c r="AF81" s="40"/>
      <c r="AG81" s="40"/>
      <c r="AH81" s="56" t="str">
        <f t="shared" si="18"/>
        <v/>
      </c>
      <c r="AI81" s="54"/>
      <c r="AJ81" s="54"/>
      <c r="AK81" s="54"/>
      <c r="AL81" s="54"/>
      <c r="AM81" s="54"/>
    </row>
    <row r="82" spans="1:39">
      <c r="A82" s="45" t="str" cm="1">
        <f t="array" ref="A82">IF(H82="PROJECT", CHAR(10) &amp; "- " &amp; _xlfn.TEXTJOIN(CHAR(10) &amp; "- ", TRUE, _xlfn._xlws.FILTER($I$9:$I$1000, ($B$9:$B$1000=B82) * ($H$9:$H$1000="Topic"))), "")</f>
        <v/>
      </c>
      <c r="B82" s="45" t="str">
        <f t="shared" si="19"/>
        <v/>
      </c>
      <c r="C82" s="95"/>
      <c r="D82" s="57"/>
      <c r="E82" s="58"/>
      <c r="F82" s="54"/>
      <c r="G82" s="52"/>
      <c r="H82" s="52"/>
      <c r="I82" s="61"/>
      <c r="J82" s="62"/>
      <c r="K82" s="129" t="str">
        <f t="shared" si="20"/>
        <v/>
      </c>
      <c r="L82" s="103" t="str">
        <f t="shared" si="21"/>
        <v/>
      </c>
      <c r="M82" s="52">
        <v>0</v>
      </c>
      <c r="N82" s="102" t="str">
        <f t="shared" si="22"/>
        <v/>
      </c>
      <c r="O82" s="103" t="str">
        <f t="shared" si="23"/>
        <v/>
      </c>
      <c r="P82" s="52">
        <v>0</v>
      </c>
      <c r="Q82" s="102" t="str">
        <f t="shared" si="24"/>
        <v/>
      </c>
      <c r="R82" s="103" t="str">
        <f t="shared" si="25"/>
        <v/>
      </c>
      <c r="S82" s="52">
        <v>0</v>
      </c>
      <c r="T82" s="102" t="str">
        <f t="shared" si="26"/>
        <v/>
      </c>
      <c r="U82" s="103" t="str">
        <f t="shared" si="27"/>
        <v/>
      </c>
      <c r="V82" s="52">
        <v>0</v>
      </c>
      <c r="W82" s="87" t="str">
        <f t="shared" si="28"/>
        <v/>
      </c>
      <c r="X82" s="103" t="str">
        <f t="shared" si="29"/>
        <v/>
      </c>
      <c r="Y82" s="52">
        <v>0</v>
      </c>
      <c r="Z82" s="56" t="str">
        <f t="shared" si="30"/>
        <v/>
      </c>
      <c r="AA82" s="56" t="str">
        <f t="shared" si="31"/>
        <v/>
      </c>
      <c r="AB82" s="56" t="str">
        <f t="shared" si="32"/>
        <v/>
      </c>
      <c r="AC82" s="56" t="str">
        <f t="shared" si="33"/>
        <v/>
      </c>
      <c r="AD82" s="56" t="str">
        <f t="shared" si="34"/>
        <v/>
      </c>
      <c r="AE82" s="40"/>
      <c r="AF82" s="40"/>
      <c r="AG82" s="40"/>
      <c r="AH82" s="56" t="str">
        <f t="shared" si="18"/>
        <v/>
      </c>
      <c r="AI82" s="54"/>
      <c r="AJ82" s="54"/>
      <c r="AK82" s="54"/>
      <c r="AL82" s="54"/>
      <c r="AM82" s="54"/>
    </row>
    <row r="83" spans="1:39">
      <c r="A83" s="45" t="str" cm="1">
        <f t="array" ref="A83">IF(H83="PROJECT", CHAR(10) &amp; "- " &amp; _xlfn.TEXTJOIN(CHAR(10) &amp; "- ", TRUE, _xlfn._xlws.FILTER($I$9:$I$1000, ($B$9:$B$1000=B83) * ($H$9:$H$1000="Topic"))), "")</f>
        <v/>
      </c>
      <c r="B83" s="45" t="str">
        <f t="shared" si="19"/>
        <v/>
      </c>
      <c r="C83" s="95"/>
      <c r="D83" s="46"/>
      <c r="E83" s="58"/>
      <c r="F83" s="67"/>
      <c r="G83" s="53"/>
      <c r="H83" s="53"/>
      <c r="I83" s="50"/>
      <c r="J83" s="51"/>
      <c r="K83" s="129" t="str">
        <f t="shared" si="20"/>
        <v/>
      </c>
      <c r="L83" s="103" t="str">
        <f t="shared" si="21"/>
        <v/>
      </c>
      <c r="M83" s="53">
        <v>0</v>
      </c>
      <c r="N83" s="102" t="str">
        <f t="shared" si="22"/>
        <v/>
      </c>
      <c r="O83" s="103" t="str">
        <f t="shared" si="23"/>
        <v/>
      </c>
      <c r="P83" s="53">
        <v>0</v>
      </c>
      <c r="Q83" s="102" t="str">
        <f t="shared" si="24"/>
        <v/>
      </c>
      <c r="R83" s="103" t="str">
        <f t="shared" si="25"/>
        <v/>
      </c>
      <c r="S83" s="53">
        <v>0</v>
      </c>
      <c r="T83" s="102" t="str">
        <f t="shared" si="26"/>
        <v/>
      </c>
      <c r="U83" s="103" t="str">
        <f t="shared" si="27"/>
        <v/>
      </c>
      <c r="V83" s="53">
        <v>0</v>
      </c>
      <c r="W83" s="87" t="str">
        <f t="shared" si="28"/>
        <v/>
      </c>
      <c r="X83" s="103" t="str">
        <f t="shared" si="29"/>
        <v/>
      </c>
      <c r="Y83" s="53">
        <v>0</v>
      </c>
      <c r="Z83" s="56" t="str">
        <f t="shared" si="30"/>
        <v/>
      </c>
      <c r="AA83" s="56" t="str">
        <f t="shared" si="31"/>
        <v/>
      </c>
      <c r="AB83" s="56" t="str">
        <f t="shared" si="32"/>
        <v/>
      </c>
      <c r="AC83" s="56" t="str">
        <f t="shared" si="33"/>
        <v/>
      </c>
      <c r="AD83" s="56" t="str">
        <f t="shared" si="34"/>
        <v/>
      </c>
      <c r="AE83" s="40"/>
      <c r="AF83" s="40"/>
      <c r="AG83" s="40"/>
      <c r="AH83" s="56" t="str">
        <f t="shared" si="18"/>
        <v/>
      </c>
      <c r="AI83" s="54"/>
      <c r="AJ83" s="54"/>
      <c r="AK83" s="54"/>
      <c r="AL83" s="54"/>
      <c r="AM83" s="54"/>
    </row>
    <row r="84" spans="1:39">
      <c r="A84" s="45" t="str" cm="1">
        <f t="array" ref="A84">IF(H84="PROJECT", CHAR(10) &amp; "- " &amp; _xlfn.TEXTJOIN(CHAR(10) &amp; "- ", TRUE, _xlfn._xlws.FILTER($I$9:$I$1000, ($B$9:$B$1000=B84) * ($H$9:$H$1000="Topic"))), "")</f>
        <v/>
      </c>
      <c r="B84" s="45" t="str">
        <f t="shared" si="19"/>
        <v/>
      </c>
      <c r="C84" s="95"/>
      <c r="D84" s="57"/>
      <c r="E84" s="58"/>
      <c r="F84" s="54"/>
      <c r="G84" s="52"/>
      <c r="H84" s="52"/>
      <c r="I84" s="61"/>
      <c r="J84" s="62"/>
      <c r="K84" s="129" t="str">
        <f t="shared" si="20"/>
        <v/>
      </c>
      <c r="L84" s="103" t="str">
        <f t="shared" si="21"/>
        <v/>
      </c>
      <c r="M84" s="52">
        <v>0</v>
      </c>
      <c r="N84" s="102" t="str">
        <f t="shared" si="22"/>
        <v/>
      </c>
      <c r="O84" s="103" t="str">
        <f t="shared" si="23"/>
        <v/>
      </c>
      <c r="P84" s="52">
        <v>0</v>
      </c>
      <c r="Q84" s="102" t="str">
        <f t="shared" si="24"/>
        <v/>
      </c>
      <c r="R84" s="103" t="str">
        <f t="shared" si="25"/>
        <v/>
      </c>
      <c r="S84" s="52">
        <v>0</v>
      </c>
      <c r="T84" s="102" t="str">
        <f t="shared" si="26"/>
        <v/>
      </c>
      <c r="U84" s="103" t="str">
        <f t="shared" si="27"/>
        <v/>
      </c>
      <c r="V84" s="52">
        <v>0</v>
      </c>
      <c r="W84" s="87" t="str">
        <f t="shared" si="28"/>
        <v/>
      </c>
      <c r="X84" s="103" t="str">
        <f t="shared" si="29"/>
        <v/>
      </c>
      <c r="Y84" s="52">
        <v>0</v>
      </c>
      <c r="Z84" s="56" t="str">
        <f t="shared" si="30"/>
        <v/>
      </c>
      <c r="AA84" s="56" t="str">
        <f t="shared" si="31"/>
        <v/>
      </c>
      <c r="AB84" s="56" t="str">
        <f t="shared" si="32"/>
        <v/>
      </c>
      <c r="AC84" s="56" t="str">
        <f t="shared" si="33"/>
        <v/>
      </c>
      <c r="AD84" s="56" t="str">
        <f t="shared" si="34"/>
        <v/>
      </c>
      <c r="AE84" s="40"/>
      <c r="AF84" s="40"/>
      <c r="AG84" s="40"/>
      <c r="AH84" s="56" t="str">
        <f t="shared" si="18"/>
        <v/>
      </c>
      <c r="AI84" s="54"/>
      <c r="AJ84" s="54"/>
      <c r="AK84" s="54"/>
      <c r="AL84" s="54"/>
      <c r="AM84" s="54"/>
    </row>
    <row r="85" spans="1:39">
      <c r="A85" s="45" t="str" cm="1">
        <f t="array" ref="A85">IF(H85="PROJECT", CHAR(10) &amp; "- " &amp; _xlfn.TEXTJOIN(CHAR(10) &amp; "- ", TRUE, _xlfn._xlws.FILTER($I$9:$I$1000, ($B$9:$B$1000=B85) * ($H$9:$H$1000="Topic"))), "")</f>
        <v/>
      </c>
      <c r="B85" s="45" t="str">
        <f t="shared" si="19"/>
        <v/>
      </c>
      <c r="C85" s="95"/>
      <c r="D85" s="46"/>
      <c r="E85" s="58"/>
      <c r="F85" s="67"/>
      <c r="G85" s="53"/>
      <c r="H85" s="53"/>
      <c r="I85" s="50"/>
      <c r="J85" s="51"/>
      <c r="K85" s="129" t="str">
        <f t="shared" si="20"/>
        <v/>
      </c>
      <c r="L85" s="103" t="str">
        <f t="shared" si="21"/>
        <v/>
      </c>
      <c r="M85" s="53">
        <v>0</v>
      </c>
      <c r="N85" s="102" t="str">
        <f t="shared" si="22"/>
        <v/>
      </c>
      <c r="O85" s="103" t="str">
        <f t="shared" si="23"/>
        <v/>
      </c>
      <c r="P85" s="53">
        <v>0</v>
      </c>
      <c r="Q85" s="102" t="str">
        <f t="shared" si="24"/>
        <v/>
      </c>
      <c r="R85" s="103" t="str">
        <f t="shared" si="25"/>
        <v/>
      </c>
      <c r="S85" s="53">
        <v>0</v>
      </c>
      <c r="T85" s="102" t="str">
        <f t="shared" si="26"/>
        <v/>
      </c>
      <c r="U85" s="103" t="str">
        <f t="shared" si="27"/>
        <v/>
      </c>
      <c r="V85" s="53">
        <v>0</v>
      </c>
      <c r="W85" s="87" t="str">
        <f t="shared" si="28"/>
        <v/>
      </c>
      <c r="X85" s="103" t="str">
        <f t="shared" si="29"/>
        <v/>
      </c>
      <c r="Y85" s="53">
        <v>0</v>
      </c>
      <c r="Z85" s="56" t="str">
        <f t="shared" si="30"/>
        <v/>
      </c>
      <c r="AA85" s="56" t="str">
        <f t="shared" si="31"/>
        <v/>
      </c>
      <c r="AB85" s="56" t="str">
        <f t="shared" si="32"/>
        <v/>
      </c>
      <c r="AC85" s="56" t="str">
        <f t="shared" si="33"/>
        <v/>
      </c>
      <c r="AD85" s="56" t="str">
        <f t="shared" si="34"/>
        <v/>
      </c>
      <c r="AE85" s="40"/>
      <c r="AF85" s="40"/>
      <c r="AG85" s="40"/>
      <c r="AH85" s="56" t="str">
        <f t="shared" si="18"/>
        <v/>
      </c>
      <c r="AI85" s="54"/>
      <c r="AJ85" s="54"/>
      <c r="AK85" s="54"/>
      <c r="AL85" s="54"/>
      <c r="AM85" s="54"/>
    </row>
    <row r="86" spans="1:39">
      <c r="A86" s="45" t="str" cm="1">
        <f t="array" ref="A86">IF(H86="PROJECT", CHAR(10) &amp; "- " &amp; _xlfn.TEXTJOIN(CHAR(10) &amp; "- ", TRUE, _xlfn._xlws.FILTER($I$9:$I$1000, ($B$9:$B$1000=B86) * ($H$9:$H$1000="Topic"))), "")</f>
        <v/>
      </c>
      <c r="B86" s="45" t="str">
        <f t="shared" si="19"/>
        <v/>
      </c>
      <c r="C86" s="95"/>
      <c r="D86" s="57"/>
      <c r="E86" s="58"/>
      <c r="F86" s="54"/>
      <c r="G86" s="52"/>
      <c r="H86" s="52"/>
      <c r="I86" s="61"/>
      <c r="J86" s="62"/>
      <c r="K86" s="129" t="str">
        <f t="shared" si="20"/>
        <v/>
      </c>
      <c r="L86" s="103" t="str">
        <f t="shared" si="21"/>
        <v/>
      </c>
      <c r="M86" s="52">
        <v>0</v>
      </c>
      <c r="N86" s="102" t="str">
        <f t="shared" si="22"/>
        <v/>
      </c>
      <c r="O86" s="103" t="str">
        <f t="shared" si="23"/>
        <v/>
      </c>
      <c r="P86" s="52">
        <v>0</v>
      </c>
      <c r="Q86" s="102" t="str">
        <f t="shared" si="24"/>
        <v/>
      </c>
      <c r="R86" s="103" t="str">
        <f t="shared" si="25"/>
        <v/>
      </c>
      <c r="S86" s="52">
        <v>0</v>
      </c>
      <c r="T86" s="102" t="str">
        <f t="shared" si="26"/>
        <v/>
      </c>
      <c r="U86" s="103" t="str">
        <f t="shared" si="27"/>
        <v/>
      </c>
      <c r="V86" s="52">
        <v>0</v>
      </c>
      <c r="W86" s="87" t="str">
        <f t="shared" si="28"/>
        <v/>
      </c>
      <c r="X86" s="103" t="str">
        <f t="shared" si="29"/>
        <v/>
      </c>
      <c r="Y86" s="52">
        <v>0</v>
      </c>
      <c r="Z86" s="56" t="str">
        <f t="shared" si="30"/>
        <v/>
      </c>
      <c r="AA86" s="56" t="str">
        <f t="shared" si="31"/>
        <v/>
      </c>
      <c r="AB86" s="56" t="str">
        <f t="shared" si="32"/>
        <v/>
      </c>
      <c r="AC86" s="56" t="str">
        <f t="shared" si="33"/>
        <v/>
      </c>
      <c r="AD86" s="56" t="str">
        <f t="shared" si="34"/>
        <v/>
      </c>
      <c r="AE86" s="40"/>
      <c r="AF86" s="40"/>
      <c r="AG86" s="40"/>
      <c r="AH86" s="56" t="str">
        <f t="shared" si="18"/>
        <v/>
      </c>
      <c r="AI86" s="54"/>
      <c r="AJ86" s="54"/>
      <c r="AK86" s="54"/>
      <c r="AL86" s="54"/>
      <c r="AM86" s="54"/>
    </row>
    <row r="87" spans="1:39">
      <c r="A87" s="45" t="str" cm="1">
        <f t="array" ref="A87">IF(H87="PROJECT", CHAR(10) &amp; "- " &amp; _xlfn.TEXTJOIN(CHAR(10) &amp; "- ", TRUE, _xlfn._xlws.FILTER($I$9:$I$1000, ($B$9:$B$1000=B87) * ($H$9:$H$1000="Topic"))), "")</f>
        <v/>
      </c>
      <c r="B87" s="45" t="str">
        <f t="shared" si="19"/>
        <v/>
      </c>
      <c r="C87" s="95"/>
      <c r="D87" s="46"/>
      <c r="E87" s="58"/>
      <c r="F87" s="67"/>
      <c r="G87" s="53"/>
      <c r="H87" s="53"/>
      <c r="I87" s="50"/>
      <c r="J87" s="51"/>
      <c r="K87" s="129" t="str">
        <f t="shared" si="20"/>
        <v/>
      </c>
      <c r="L87" s="103" t="str">
        <f t="shared" si="21"/>
        <v/>
      </c>
      <c r="M87" s="53">
        <v>0</v>
      </c>
      <c r="N87" s="102" t="str">
        <f t="shared" si="22"/>
        <v/>
      </c>
      <c r="O87" s="103" t="str">
        <f t="shared" si="23"/>
        <v/>
      </c>
      <c r="P87" s="53">
        <v>0</v>
      </c>
      <c r="Q87" s="102" t="str">
        <f t="shared" si="24"/>
        <v/>
      </c>
      <c r="R87" s="103" t="str">
        <f t="shared" si="25"/>
        <v/>
      </c>
      <c r="S87" s="53">
        <v>0</v>
      </c>
      <c r="T87" s="102" t="str">
        <f t="shared" si="26"/>
        <v/>
      </c>
      <c r="U87" s="103" t="str">
        <f t="shared" si="27"/>
        <v/>
      </c>
      <c r="V87" s="53">
        <v>0</v>
      </c>
      <c r="W87" s="87" t="str">
        <f t="shared" si="28"/>
        <v/>
      </c>
      <c r="X87" s="103" t="str">
        <f t="shared" si="29"/>
        <v/>
      </c>
      <c r="Y87" s="53">
        <v>0</v>
      </c>
      <c r="Z87" s="56" t="str">
        <f t="shared" si="30"/>
        <v/>
      </c>
      <c r="AA87" s="56" t="str">
        <f t="shared" si="31"/>
        <v/>
      </c>
      <c r="AB87" s="56" t="str">
        <f t="shared" si="32"/>
        <v/>
      </c>
      <c r="AC87" s="56" t="str">
        <f t="shared" si="33"/>
        <v/>
      </c>
      <c r="AD87" s="56" t="str">
        <f t="shared" si="34"/>
        <v/>
      </c>
      <c r="AE87" s="40"/>
      <c r="AF87" s="40"/>
      <c r="AG87" s="40"/>
      <c r="AH87" s="56" t="str">
        <f t="shared" si="18"/>
        <v/>
      </c>
      <c r="AI87" s="54"/>
      <c r="AJ87" s="54"/>
      <c r="AK87" s="54"/>
      <c r="AL87" s="54"/>
      <c r="AM87" s="54"/>
    </row>
    <row r="88" spans="1:39">
      <c r="A88" s="45" t="str" cm="1">
        <f t="array" ref="A88">IF(H88="PROJECT", CHAR(10) &amp; "- " &amp; _xlfn.TEXTJOIN(CHAR(10) &amp; "- ", TRUE, _xlfn._xlws.FILTER($I$9:$I$1000, ($B$9:$B$1000=B88) * ($H$9:$H$1000="Topic"))), "")</f>
        <v/>
      </c>
      <c r="B88" s="45" t="str">
        <f t="shared" si="19"/>
        <v/>
      </c>
      <c r="C88" s="95"/>
      <c r="D88" s="57"/>
      <c r="E88" s="58"/>
      <c r="F88" s="54"/>
      <c r="G88" s="52"/>
      <c r="H88" s="52"/>
      <c r="I88" s="61"/>
      <c r="J88" s="62"/>
      <c r="K88" s="129" t="str">
        <f t="shared" si="20"/>
        <v/>
      </c>
      <c r="L88" s="103" t="str">
        <f t="shared" si="21"/>
        <v/>
      </c>
      <c r="M88" s="52">
        <v>0</v>
      </c>
      <c r="N88" s="102" t="str">
        <f t="shared" si="22"/>
        <v/>
      </c>
      <c r="O88" s="103" t="str">
        <f t="shared" si="23"/>
        <v/>
      </c>
      <c r="P88" s="52">
        <v>0</v>
      </c>
      <c r="Q88" s="102" t="str">
        <f t="shared" si="24"/>
        <v/>
      </c>
      <c r="R88" s="103" t="str">
        <f t="shared" si="25"/>
        <v/>
      </c>
      <c r="S88" s="52">
        <v>0</v>
      </c>
      <c r="T88" s="102" t="str">
        <f t="shared" si="26"/>
        <v/>
      </c>
      <c r="U88" s="103" t="str">
        <f t="shared" si="27"/>
        <v/>
      </c>
      <c r="V88" s="52">
        <v>0</v>
      </c>
      <c r="W88" s="87" t="str">
        <f t="shared" si="28"/>
        <v/>
      </c>
      <c r="X88" s="103" t="str">
        <f t="shared" si="29"/>
        <v/>
      </c>
      <c r="Y88" s="52">
        <v>0</v>
      </c>
      <c r="Z88" s="56" t="str">
        <f t="shared" si="30"/>
        <v/>
      </c>
      <c r="AA88" s="56" t="str">
        <f t="shared" si="31"/>
        <v/>
      </c>
      <c r="AB88" s="56" t="str">
        <f t="shared" si="32"/>
        <v/>
      </c>
      <c r="AC88" s="56" t="str">
        <f t="shared" si="33"/>
        <v/>
      </c>
      <c r="AD88" s="56" t="str">
        <f t="shared" si="34"/>
        <v/>
      </c>
      <c r="AE88" s="40"/>
      <c r="AF88" s="40"/>
      <c r="AG88" s="40"/>
      <c r="AH88" s="56" t="str">
        <f t="shared" si="18"/>
        <v/>
      </c>
      <c r="AI88" s="54"/>
      <c r="AJ88" s="54"/>
      <c r="AK88" s="54"/>
      <c r="AL88" s="54"/>
      <c r="AM88" s="54"/>
    </row>
    <row r="89" spans="1:39">
      <c r="A89" s="45" t="str" cm="1">
        <f t="array" ref="A89">IF(H89="PROJECT", CHAR(10) &amp; "- " &amp; _xlfn.TEXTJOIN(CHAR(10) &amp; "- ", TRUE, _xlfn._xlws.FILTER($I$9:$I$1000, ($B$9:$B$1000=B89) * ($H$9:$H$1000="Topic"))), "")</f>
        <v/>
      </c>
      <c r="B89" s="45" t="str">
        <f t="shared" si="19"/>
        <v/>
      </c>
      <c r="C89" s="95"/>
      <c r="D89" s="46"/>
      <c r="E89" s="58"/>
      <c r="F89" s="67"/>
      <c r="G89" s="53"/>
      <c r="H89" s="53"/>
      <c r="I89" s="50"/>
      <c r="J89" s="51"/>
      <c r="K89" s="129" t="str">
        <f t="shared" si="20"/>
        <v/>
      </c>
      <c r="L89" s="103" t="str">
        <f t="shared" si="21"/>
        <v/>
      </c>
      <c r="M89" s="53">
        <v>0</v>
      </c>
      <c r="N89" s="102" t="str">
        <f t="shared" si="22"/>
        <v/>
      </c>
      <c r="O89" s="103" t="str">
        <f t="shared" si="23"/>
        <v/>
      </c>
      <c r="P89" s="53">
        <v>0</v>
      </c>
      <c r="Q89" s="102" t="str">
        <f t="shared" si="24"/>
        <v/>
      </c>
      <c r="R89" s="103" t="str">
        <f t="shared" si="25"/>
        <v/>
      </c>
      <c r="S89" s="53">
        <v>0</v>
      </c>
      <c r="T89" s="102" t="str">
        <f t="shared" si="26"/>
        <v/>
      </c>
      <c r="U89" s="103" t="str">
        <f t="shared" si="27"/>
        <v/>
      </c>
      <c r="V89" s="53">
        <v>0</v>
      </c>
      <c r="W89" s="87" t="str">
        <f t="shared" si="28"/>
        <v/>
      </c>
      <c r="X89" s="103" t="str">
        <f t="shared" si="29"/>
        <v/>
      </c>
      <c r="Y89" s="53">
        <v>0</v>
      </c>
      <c r="Z89" s="56" t="str">
        <f t="shared" si="30"/>
        <v/>
      </c>
      <c r="AA89" s="56" t="str">
        <f t="shared" si="31"/>
        <v/>
      </c>
      <c r="AB89" s="56" t="str">
        <f t="shared" si="32"/>
        <v/>
      </c>
      <c r="AC89" s="56" t="str">
        <f t="shared" si="33"/>
        <v/>
      </c>
      <c r="AD89" s="56" t="str">
        <f t="shared" si="34"/>
        <v/>
      </c>
      <c r="AE89" s="40"/>
      <c r="AF89" s="40"/>
      <c r="AG89" s="40"/>
      <c r="AH89" s="56" t="str">
        <f t="shared" si="18"/>
        <v/>
      </c>
      <c r="AI89" s="54"/>
      <c r="AJ89" s="54"/>
      <c r="AK89" s="54"/>
      <c r="AL89" s="54"/>
      <c r="AM89" s="54"/>
    </row>
    <row r="90" spans="1:39">
      <c r="A90" s="45" t="str" cm="1">
        <f t="array" ref="A90">IF(H90="PROJECT", CHAR(10) &amp; "- " &amp; _xlfn.TEXTJOIN(CHAR(10) &amp; "- ", TRUE, _xlfn._xlws.FILTER($I$9:$I$1000, ($B$9:$B$1000=B90) * ($H$9:$H$1000="Topic"))), "")</f>
        <v/>
      </c>
      <c r="B90" s="45" t="str">
        <f t="shared" si="19"/>
        <v/>
      </c>
      <c r="C90" s="95"/>
      <c r="D90" s="57"/>
      <c r="E90" s="58"/>
      <c r="F90" s="54"/>
      <c r="G90" s="52"/>
      <c r="H90" s="52"/>
      <c r="I90" s="61"/>
      <c r="J90" s="62"/>
      <c r="K90" s="129" t="str">
        <f t="shared" si="20"/>
        <v/>
      </c>
      <c r="L90" s="103" t="str">
        <f t="shared" si="21"/>
        <v/>
      </c>
      <c r="M90" s="52">
        <v>0</v>
      </c>
      <c r="N90" s="102" t="str">
        <f t="shared" si="22"/>
        <v/>
      </c>
      <c r="O90" s="103" t="str">
        <f t="shared" si="23"/>
        <v/>
      </c>
      <c r="P90" s="52">
        <v>0</v>
      </c>
      <c r="Q90" s="102" t="str">
        <f t="shared" si="24"/>
        <v/>
      </c>
      <c r="R90" s="103" t="str">
        <f t="shared" si="25"/>
        <v/>
      </c>
      <c r="S90" s="52">
        <v>0</v>
      </c>
      <c r="T90" s="102" t="str">
        <f t="shared" si="26"/>
        <v/>
      </c>
      <c r="U90" s="103" t="str">
        <f t="shared" si="27"/>
        <v/>
      </c>
      <c r="V90" s="52">
        <v>0</v>
      </c>
      <c r="W90" s="87" t="str">
        <f t="shared" si="28"/>
        <v/>
      </c>
      <c r="X90" s="103" t="str">
        <f t="shared" si="29"/>
        <v/>
      </c>
      <c r="Y90" s="52">
        <v>0</v>
      </c>
      <c r="Z90" s="56" t="str">
        <f t="shared" si="30"/>
        <v/>
      </c>
      <c r="AA90" s="56" t="str">
        <f t="shared" si="31"/>
        <v/>
      </c>
      <c r="AB90" s="56" t="str">
        <f t="shared" si="32"/>
        <v/>
      </c>
      <c r="AC90" s="56" t="str">
        <f t="shared" si="33"/>
        <v/>
      </c>
      <c r="AD90" s="56" t="str">
        <f t="shared" si="34"/>
        <v/>
      </c>
      <c r="AE90" s="40"/>
      <c r="AF90" s="40"/>
      <c r="AG90" s="40"/>
      <c r="AH90" s="56" t="str">
        <f t="shared" si="18"/>
        <v/>
      </c>
      <c r="AI90" s="54"/>
      <c r="AJ90" s="54"/>
      <c r="AK90" s="54"/>
      <c r="AL90" s="54"/>
      <c r="AM90" s="54"/>
    </row>
    <row r="91" spans="1:39">
      <c r="A91" s="45" t="str" cm="1">
        <f t="array" ref="A91">IF(H91="PROJECT", CHAR(10) &amp; "- " &amp; _xlfn.TEXTJOIN(CHAR(10) &amp; "- ", TRUE, _xlfn._xlws.FILTER($I$9:$I$1000, ($B$9:$B$1000=B91) * ($H$9:$H$1000="Topic"))), "")</f>
        <v/>
      </c>
      <c r="B91" s="45" t="str">
        <f t="shared" si="19"/>
        <v/>
      </c>
      <c r="C91" s="95"/>
      <c r="D91" s="46"/>
      <c r="E91" s="58"/>
      <c r="F91" s="67"/>
      <c r="G91" s="53"/>
      <c r="H91" s="53"/>
      <c r="I91" s="50"/>
      <c r="J91" s="51"/>
      <c r="K91" s="129" t="str">
        <f t="shared" si="20"/>
        <v/>
      </c>
      <c r="L91" s="103" t="str">
        <f t="shared" si="21"/>
        <v/>
      </c>
      <c r="M91" s="53">
        <v>0</v>
      </c>
      <c r="N91" s="102" t="str">
        <f t="shared" si="22"/>
        <v/>
      </c>
      <c r="O91" s="103" t="str">
        <f t="shared" si="23"/>
        <v/>
      </c>
      <c r="P91" s="53">
        <v>0</v>
      </c>
      <c r="Q91" s="102" t="str">
        <f t="shared" si="24"/>
        <v/>
      </c>
      <c r="R91" s="103" t="str">
        <f t="shared" si="25"/>
        <v/>
      </c>
      <c r="S91" s="53">
        <v>0</v>
      </c>
      <c r="T91" s="102" t="str">
        <f t="shared" si="26"/>
        <v/>
      </c>
      <c r="U91" s="103" t="str">
        <f t="shared" si="27"/>
        <v/>
      </c>
      <c r="V91" s="53">
        <v>0</v>
      </c>
      <c r="W91" s="87" t="str">
        <f t="shared" si="28"/>
        <v/>
      </c>
      <c r="X91" s="103" t="str">
        <f t="shared" si="29"/>
        <v/>
      </c>
      <c r="Y91" s="53">
        <v>0</v>
      </c>
      <c r="Z91" s="56" t="str">
        <f t="shared" si="30"/>
        <v/>
      </c>
      <c r="AA91" s="56" t="str">
        <f t="shared" si="31"/>
        <v/>
      </c>
      <c r="AB91" s="56" t="str">
        <f t="shared" si="32"/>
        <v/>
      </c>
      <c r="AC91" s="56" t="str">
        <f t="shared" si="33"/>
        <v/>
      </c>
      <c r="AD91" s="56" t="str">
        <f t="shared" si="34"/>
        <v/>
      </c>
      <c r="AE91" s="40"/>
      <c r="AF91" s="40"/>
      <c r="AG91" s="40"/>
      <c r="AH91" s="56" t="str">
        <f t="shared" si="18"/>
        <v/>
      </c>
      <c r="AI91" s="54"/>
      <c r="AJ91" s="54"/>
      <c r="AK91" s="54"/>
      <c r="AL91" s="54"/>
      <c r="AM91" s="54"/>
    </row>
    <row r="92" spans="1:39">
      <c r="A92" s="45" t="str" cm="1">
        <f t="array" ref="A92">IF(H92="PROJECT", CHAR(10) &amp; "- " &amp; _xlfn.TEXTJOIN(CHAR(10) &amp; "- ", TRUE, _xlfn._xlws.FILTER($I$9:$I$1000, ($B$9:$B$1000=B92) * ($H$9:$H$1000="Topic"))), "")</f>
        <v/>
      </c>
      <c r="B92" s="45" t="str">
        <f t="shared" si="19"/>
        <v/>
      </c>
      <c r="C92" s="95"/>
      <c r="D92" s="57"/>
      <c r="E92" s="58"/>
      <c r="F92" s="54"/>
      <c r="G92" s="52"/>
      <c r="H92" s="52"/>
      <c r="I92" s="61"/>
      <c r="J92" s="62"/>
      <c r="K92" s="129" t="str">
        <f t="shared" si="20"/>
        <v/>
      </c>
      <c r="L92" s="103" t="str">
        <f t="shared" si="21"/>
        <v/>
      </c>
      <c r="M92" s="52">
        <v>0</v>
      </c>
      <c r="N92" s="102" t="str">
        <f t="shared" si="22"/>
        <v/>
      </c>
      <c r="O92" s="103" t="str">
        <f t="shared" si="23"/>
        <v/>
      </c>
      <c r="P92" s="52">
        <v>0</v>
      </c>
      <c r="Q92" s="102" t="str">
        <f t="shared" si="24"/>
        <v/>
      </c>
      <c r="R92" s="103" t="str">
        <f t="shared" si="25"/>
        <v/>
      </c>
      <c r="S92" s="52">
        <v>0</v>
      </c>
      <c r="T92" s="102" t="str">
        <f t="shared" si="26"/>
        <v/>
      </c>
      <c r="U92" s="103" t="str">
        <f t="shared" si="27"/>
        <v/>
      </c>
      <c r="V92" s="52">
        <v>0</v>
      </c>
      <c r="W92" s="87" t="str">
        <f t="shared" si="28"/>
        <v/>
      </c>
      <c r="X92" s="103" t="str">
        <f t="shared" si="29"/>
        <v/>
      </c>
      <c r="Y92" s="52">
        <v>0</v>
      </c>
      <c r="Z92" s="56" t="str">
        <f t="shared" si="30"/>
        <v/>
      </c>
      <c r="AA92" s="56" t="str">
        <f t="shared" si="31"/>
        <v/>
      </c>
      <c r="AB92" s="56" t="str">
        <f t="shared" si="32"/>
        <v/>
      </c>
      <c r="AC92" s="56" t="str">
        <f t="shared" si="33"/>
        <v/>
      </c>
      <c r="AD92" s="56" t="str">
        <f t="shared" si="34"/>
        <v/>
      </c>
      <c r="AE92" s="40"/>
      <c r="AF92" s="40"/>
      <c r="AG92" s="40"/>
      <c r="AH92" s="56" t="str">
        <f t="shared" si="18"/>
        <v/>
      </c>
      <c r="AI92" s="54"/>
      <c r="AJ92" s="54"/>
      <c r="AK92" s="54"/>
      <c r="AL92" s="54"/>
      <c r="AM92" s="54"/>
    </row>
    <row r="93" spans="1:39">
      <c r="A93" s="45" t="str" cm="1">
        <f t="array" ref="A93">IF(H93="PROJECT", CHAR(10) &amp; "- " &amp; _xlfn.TEXTJOIN(CHAR(10) &amp; "- ", TRUE, _xlfn._xlws.FILTER($I$9:$I$1000, ($B$9:$B$1000=B93) * ($H$9:$H$1000="Topic"))), "")</f>
        <v/>
      </c>
      <c r="B93" s="45" t="str">
        <f t="shared" si="19"/>
        <v/>
      </c>
      <c r="C93" s="95"/>
      <c r="D93" s="46"/>
      <c r="E93" s="58"/>
      <c r="F93" s="67"/>
      <c r="G93" s="53"/>
      <c r="H93" s="53"/>
      <c r="I93" s="50"/>
      <c r="J93" s="51"/>
      <c r="K93" s="129" t="str">
        <f t="shared" si="20"/>
        <v/>
      </c>
      <c r="L93" s="103" t="str">
        <f t="shared" si="21"/>
        <v/>
      </c>
      <c r="M93" s="53">
        <v>0</v>
      </c>
      <c r="N93" s="102" t="str">
        <f t="shared" si="22"/>
        <v/>
      </c>
      <c r="O93" s="103" t="str">
        <f t="shared" si="23"/>
        <v/>
      </c>
      <c r="P93" s="53">
        <v>0</v>
      </c>
      <c r="Q93" s="102" t="str">
        <f t="shared" si="24"/>
        <v/>
      </c>
      <c r="R93" s="103" t="str">
        <f t="shared" si="25"/>
        <v/>
      </c>
      <c r="S93" s="53">
        <v>0</v>
      </c>
      <c r="T93" s="102" t="str">
        <f t="shared" si="26"/>
        <v/>
      </c>
      <c r="U93" s="103" t="str">
        <f t="shared" si="27"/>
        <v/>
      </c>
      <c r="V93" s="53">
        <v>0</v>
      </c>
      <c r="W93" s="87" t="str">
        <f t="shared" si="28"/>
        <v/>
      </c>
      <c r="X93" s="103" t="str">
        <f t="shared" si="29"/>
        <v/>
      </c>
      <c r="Y93" s="53">
        <v>0</v>
      </c>
      <c r="Z93" s="56" t="str">
        <f t="shared" si="30"/>
        <v/>
      </c>
      <c r="AA93" s="56" t="str">
        <f t="shared" si="31"/>
        <v/>
      </c>
      <c r="AB93" s="56" t="str">
        <f t="shared" si="32"/>
        <v/>
      </c>
      <c r="AC93" s="56" t="str">
        <f t="shared" si="33"/>
        <v/>
      </c>
      <c r="AD93" s="56" t="str">
        <f t="shared" si="34"/>
        <v/>
      </c>
      <c r="AE93" s="40"/>
      <c r="AF93" s="40"/>
      <c r="AG93" s="40"/>
      <c r="AH93" s="56" t="str">
        <f t="shared" si="18"/>
        <v/>
      </c>
      <c r="AI93" s="54"/>
      <c r="AJ93" s="54"/>
      <c r="AK93" s="54"/>
      <c r="AL93" s="54"/>
      <c r="AM93" s="54"/>
    </row>
    <row r="94" spans="1:39">
      <c r="A94" s="45" t="str" cm="1">
        <f t="array" ref="A94">IF(H94="PROJECT", CHAR(10) &amp; "- " &amp; _xlfn.TEXTJOIN(CHAR(10) &amp; "- ", TRUE, _xlfn._xlws.FILTER($I$9:$I$1000, ($B$9:$B$1000=B94) * ($H$9:$H$1000="Topic"))), "")</f>
        <v/>
      </c>
      <c r="B94" s="45" t="str">
        <f t="shared" si="19"/>
        <v/>
      </c>
      <c r="C94" s="95"/>
      <c r="D94" s="57"/>
      <c r="E94" s="58"/>
      <c r="F94" s="54"/>
      <c r="G94" s="52"/>
      <c r="H94" s="52"/>
      <c r="I94" s="61"/>
      <c r="J94" s="62"/>
      <c r="K94" s="129" t="str">
        <f t="shared" si="20"/>
        <v/>
      </c>
      <c r="L94" s="103" t="str">
        <f t="shared" si="21"/>
        <v/>
      </c>
      <c r="M94" s="52">
        <v>0</v>
      </c>
      <c r="N94" s="102" t="str">
        <f t="shared" si="22"/>
        <v/>
      </c>
      <c r="O94" s="103" t="str">
        <f t="shared" si="23"/>
        <v/>
      </c>
      <c r="P94" s="52">
        <v>0</v>
      </c>
      <c r="Q94" s="102" t="str">
        <f t="shared" si="24"/>
        <v/>
      </c>
      <c r="R94" s="103" t="str">
        <f t="shared" si="25"/>
        <v/>
      </c>
      <c r="S94" s="52">
        <v>0</v>
      </c>
      <c r="T94" s="102" t="str">
        <f t="shared" si="26"/>
        <v/>
      </c>
      <c r="U94" s="103" t="str">
        <f t="shared" si="27"/>
        <v/>
      </c>
      <c r="V94" s="52">
        <v>0</v>
      </c>
      <c r="W94" s="87" t="str">
        <f t="shared" si="28"/>
        <v/>
      </c>
      <c r="X94" s="103" t="str">
        <f t="shared" si="29"/>
        <v/>
      </c>
      <c r="Y94" s="52">
        <v>0</v>
      </c>
      <c r="Z94" s="56" t="str">
        <f t="shared" si="30"/>
        <v/>
      </c>
      <c r="AA94" s="56" t="str">
        <f t="shared" si="31"/>
        <v/>
      </c>
      <c r="AB94" s="56" t="str">
        <f t="shared" si="32"/>
        <v/>
      </c>
      <c r="AC94" s="56" t="str">
        <f t="shared" si="33"/>
        <v/>
      </c>
      <c r="AD94" s="56" t="str">
        <f t="shared" si="34"/>
        <v/>
      </c>
      <c r="AE94" s="40"/>
      <c r="AF94" s="40"/>
      <c r="AG94" s="40"/>
      <c r="AH94" s="56" t="str">
        <f t="shared" si="18"/>
        <v/>
      </c>
      <c r="AI94" s="54"/>
      <c r="AJ94" s="54"/>
      <c r="AK94" s="54"/>
      <c r="AL94" s="54"/>
      <c r="AM94" s="54"/>
    </row>
    <row r="95" spans="1:39">
      <c r="A95" s="45" t="str" cm="1">
        <f t="array" ref="A95">IF(H95="PROJECT", CHAR(10) &amp; "- " &amp; _xlfn.TEXTJOIN(CHAR(10) &amp; "- ", TRUE, _xlfn._xlws.FILTER($I$9:$I$1000, ($B$9:$B$1000=B95) * ($H$9:$H$1000="Topic"))), "")</f>
        <v/>
      </c>
      <c r="B95" s="45" t="str">
        <f t="shared" si="19"/>
        <v/>
      </c>
      <c r="C95" s="95"/>
      <c r="D95" s="46"/>
      <c r="E95" s="58"/>
      <c r="F95" s="67"/>
      <c r="G95" s="53"/>
      <c r="H95" s="53"/>
      <c r="I95" s="50"/>
      <c r="J95" s="51"/>
      <c r="K95" s="129" t="str">
        <f t="shared" si="20"/>
        <v/>
      </c>
      <c r="L95" s="103" t="str">
        <f t="shared" si="21"/>
        <v/>
      </c>
      <c r="M95" s="53">
        <v>0</v>
      </c>
      <c r="N95" s="102" t="str">
        <f t="shared" si="22"/>
        <v/>
      </c>
      <c r="O95" s="103" t="str">
        <f t="shared" si="23"/>
        <v/>
      </c>
      <c r="P95" s="53">
        <v>0</v>
      </c>
      <c r="Q95" s="102" t="str">
        <f t="shared" si="24"/>
        <v/>
      </c>
      <c r="R95" s="103" t="str">
        <f t="shared" si="25"/>
        <v/>
      </c>
      <c r="S95" s="53">
        <v>0</v>
      </c>
      <c r="T95" s="102" t="str">
        <f t="shared" si="26"/>
        <v/>
      </c>
      <c r="U95" s="103" t="str">
        <f t="shared" si="27"/>
        <v/>
      </c>
      <c r="V95" s="53">
        <v>0</v>
      </c>
      <c r="W95" s="87" t="str">
        <f t="shared" si="28"/>
        <v/>
      </c>
      <c r="X95" s="103" t="str">
        <f t="shared" si="29"/>
        <v/>
      </c>
      <c r="Y95" s="53">
        <v>0</v>
      </c>
      <c r="Z95" s="56" t="str">
        <f t="shared" si="30"/>
        <v/>
      </c>
      <c r="AA95" s="56" t="str">
        <f t="shared" si="31"/>
        <v/>
      </c>
      <c r="AB95" s="56" t="str">
        <f t="shared" si="32"/>
        <v/>
      </c>
      <c r="AC95" s="56" t="str">
        <f t="shared" si="33"/>
        <v/>
      </c>
      <c r="AD95" s="56" t="str">
        <f t="shared" si="34"/>
        <v/>
      </c>
      <c r="AE95" s="40"/>
      <c r="AF95" s="40"/>
      <c r="AG95" s="40"/>
      <c r="AH95" s="56" t="str">
        <f t="shared" si="18"/>
        <v/>
      </c>
      <c r="AI95" s="54"/>
      <c r="AJ95" s="54"/>
      <c r="AK95" s="54"/>
      <c r="AL95" s="54"/>
      <c r="AM95" s="54"/>
    </row>
    <row r="96" spans="1:39">
      <c r="A96" s="45" t="str" cm="1">
        <f t="array" ref="A96">IF(H96="PROJECT", CHAR(10) &amp; "- " &amp; _xlfn.TEXTJOIN(CHAR(10) &amp; "- ", TRUE, _xlfn._xlws.FILTER($I$9:$I$1000, ($B$9:$B$1000=B96) * ($H$9:$H$1000="Topic"))), "")</f>
        <v/>
      </c>
      <c r="B96" s="45" t="str">
        <f t="shared" si="19"/>
        <v/>
      </c>
      <c r="C96" s="95"/>
      <c r="D96" s="57"/>
      <c r="E96" s="58"/>
      <c r="F96" s="54"/>
      <c r="G96" s="52"/>
      <c r="H96" s="52"/>
      <c r="I96" s="61"/>
      <c r="J96" s="62"/>
      <c r="K96" s="129" t="str">
        <f t="shared" si="20"/>
        <v/>
      </c>
      <c r="L96" s="103" t="str">
        <f t="shared" si="21"/>
        <v/>
      </c>
      <c r="M96" s="52">
        <v>0</v>
      </c>
      <c r="N96" s="102" t="str">
        <f t="shared" si="22"/>
        <v/>
      </c>
      <c r="O96" s="103" t="str">
        <f t="shared" si="23"/>
        <v/>
      </c>
      <c r="P96" s="52">
        <v>0</v>
      </c>
      <c r="Q96" s="102" t="str">
        <f t="shared" si="24"/>
        <v/>
      </c>
      <c r="R96" s="103" t="str">
        <f t="shared" si="25"/>
        <v/>
      </c>
      <c r="S96" s="52">
        <v>0</v>
      </c>
      <c r="T96" s="102" t="str">
        <f t="shared" si="26"/>
        <v/>
      </c>
      <c r="U96" s="103" t="str">
        <f t="shared" si="27"/>
        <v/>
      </c>
      <c r="V96" s="52">
        <v>0</v>
      </c>
      <c r="W96" s="87" t="str">
        <f t="shared" si="28"/>
        <v/>
      </c>
      <c r="X96" s="103" t="str">
        <f t="shared" si="29"/>
        <v/>
      </c>
      <c r="Y96" s="52">
        <v>0</v>
      </c>
      <c r="Z96" s="56" t="str">
        <f t="shared" si="30"/>
        <v/>
      </c>
      <c r="AA96" s="56" t="str">
        <f t="shared" si="31"/>
        <v/>
      </c>
      <c r="AB96" s="56" t="str">
        <f t="shared" si="32"/>
        <v/>
      </c>
      <c r="AC96" s="56" t="str">
        <f t="shared" si="33"/>
        <v/>
      </c>
      <c r="AD96" s="56" t="str">
        <f t="shared" si="34"/>
        <v/>
      </c>
      <c r="AE96" s="40"/>
      <c r="AF96" s="40"/>
      <c r="AG96" s="40"/>
      <c r="AH96" s="56" t="str">
        <f t="shared" si="18"/>
        <v/>
      </c>
      <c r="AI96" s="54"/>
      <c r="AJ96" s="54"/>
      <c r="AK96" s="54"/>
      <c r="AL96" s="54"/>
      <c r="AM96" s="54"/>
    </row>
    <row r="97" spans="1:39">
      <c r="A97" s="45" t="str" cm="1">
        <f t="array" ref="A97">IF(H97="PROJECT", CHAR(10) &amp; "- " &amp; _xlfn.TEXTJOIN(CHAR(10) &amp; "- ", TRUE, _xlfn._xlws.FILTER($I$9:$I$1000, ($B$9:$B$1000=B97) * ($H$9:$H$1000="Topic"))), "")</f>
        <v/>
      </c>
      <c r="B97" s="45" t="str">
        <f t="shared" si="19"/>
        <v/>
      </c>
      <c r="C97" s="95"/>
      <c r="D97" s="46"/>
      <c r="E97" s="58"/>
      <c r="F97" s="67"/>
      <c r="G97" s="53"/>
      <c r="H97" s="53"/>
      <c r="I97" s="50"/>
      <c r="J97" s="51"/>
      <c r="K97" s="129" t="str">
        <f t="shared" si="20"/>
        <v/>
      </c>
      <c r="L97" s="103" t="str">
        <f t="shared" si="21"/>
        <v/>
      </c>
      <c r="M97" s="53">
        <v>0</v>
      </c>
      <c r="N97" s="102" t="str">
        <f t="shared" si="22"/>
        <v/>
      </c>
      <c r="O97" s="103" t="str">
        <f t="shared" si="23"/>
        <v/>
      </c>
      <c r="P97" s="53">
        <v>0</v>
      </c>
      <c r="Q97" s="102" t="str">
        <f t="shared" si="24"/>
        <v/>
      </c>
      <c r="R97" s="103" t="str">
        <f t="shared" si="25"/>
        <v/>
      </c>
      <c r="S97" s="53">
        <v>0</v>
      </c>
      <c r="T97" s="102" t="str">
        <f t="shared" si="26"/>
        <v/>
      </c>
      <c r="U97" s="103" t="str">
        <f t="shared" si="27"/>
        <v/>
      </c>
      <c r="V97" s="53">
        <v>0</v>
      </c>
      <c r="W97" s="87" t="str">
        <f t="shared" si="28"/>
        <v/>
      </c>
      <c r="X97" s="103" t="str">
        <f t="shared" si="29"/>
        <v/>
      </c>
      <c r="Y97" s="53">
        <v>0</v>
      </c>
      <c r="Z97" s="56" t="str">
        <f t="shared" si="30"/>
        <v/>
      </c>
      <c r="AA97" s="56" t="str">
        <f t="shared" si="31"/>
        <v/>
      </c>
      <c r="AB97" s="56" t="str">
        <f t="shared" si="32"/>
        <v/>
      </c>
      <c r="AC97" s="56" t="str">
        <f t="shared" si="33"/>
        <v/>
      </c>
      <c r="AD97" s="56" t="str">
        <f t="shared" si="34"/>
        <v/>
      </c>
      <c r="AE97" s="40"/>
      <c r="AF97" s="40"/>
      <c r="AG97" s="40"/>
      <c r="AH97" s="56" t="str">
        <f t="shared" si="18"/>
        <v/>
      </c>
      <c r="AI97" s="54"/>
      <c r="AJ97" s="54"/>
      <c r="AK97" s="54"/>
      <c r="AL97" s="54"/>
      <c r="AM97" s="54"/>
    </row>
    <row r="98" spans="1:39">
      <c r="A98" s="45" t="str" cm="1">
        <f t="array" ref="A98">IF(H98="PROJECT", CHAR(10) &amp; "- " &amp; _xlfn.TEXTJOIN(CHAR(10) &amp; "- ", TRUE, _xlfn._xlws.FILTER($I$9:$I$1000, ($B$9:$B$1000=B98) * ($H$9:$H$1000="Topic"))), "")</f>
        <v/>
      </c>
      <c r="B98" s="45" t="str">
        <f t="shared" si="19"/>
        <v/>
      </c>
      <c r="C98" s="95"/>
      <c r="D98" s="57"/>
      <c r="E98" s="58"/>
      <c r="F98" s="54"/>
      <c r="G98" s="52"/>
      <c r="H98" s="52"/>
      <c r="I98" s="61"/>
      <c r="J98" s="62"/>
      <c r="K98" s="129" t="str">
        <f t="shared" si="20"/>
        <v/>
      </c>
      <c r="L98" s="103" t="str">
        <f t="shared" si="21"/>
        <v/>
      </c>
      <c r="M98" s="52">
        <v>0</v>
      </c>
      <c r="N98" s="102" t="str">
        <f t="shared" si="22"/>
        <v/>
      </c>
      <c r="O98" s="103" t="str">
        <f t="shared" si="23"/>
        <v/>
      </c>
      <c r="P98" s="52">
        <v>0</v>
      </c>
      <c r="Q98" s="102" t="str">
        <f t="shared" si="24"/>
        <v/>
      </c>
      <c r="R98" s="103" t="str">
        <f t="shared" si="25"/>
        <v/>
      </c>
      <c r="S98" s="52">
        <v>0</v>
      </c>
      <c r="T98" s="102" t="str">
        <f t="shared" si="26"/>
        <v/>
      </c>
      <c r="U98" s="103" t="str">
        <f t="shared" si="27"/>
        <v/>
      </c>
      <c r="V98" s="52">
        <v>0</v>
      </c>
      <c r="W98" s="87" t="str">
        <f t="shared" si="28"/>
        <v/>
      </c>
      <c r="X98" s="103" t="str">
        <f t="shared" si="29"/>
        <v/>
      </c>
      <c r="Y98" s="52">
        <v>0</v>
      </c>
      <c r="Z98" s="56" t="str">
        <f t="shared" si="30"/>
        <v/>
      </c>
      <c r="AA98" s="56" t="str">
        <f t="shared" si="31"/>
        <v/>
      </c>
      <c r="AB98" s="56" t="str">
        <f t="shared" si="32"/>
        <v/>
      </c>
      <c r="AC98" s="56" t="str">
        <f t="shared" si="33"/>
        <v/>
      </c>
      <c r="AD98" s="56" t="str">
        <f t="shared" si="34"/>
        <v/>
      </c>
      <c r="AE98" s="40"/>
      <c r="AF98" s="40"/>
      <c r="AG98" s="40"/>
      <c r="AH98" s="56" t="str">
        <f t="shared" si="18"/>
        <v/>
      </c>
      <c r="AI98" s="54"/>
      <c r="AJ98" s="54"/>
      <c r="AK98" s="54"/>
      <c r="AL98" s="54"/>
      <c r="AM98" s="54"/>
    </row>
    <row r="99" spans="1:39">
      <c r="A99" s="45" t="str" cm="1">
        <f t="array" ref="A99">IF(H99="PROJECT", CHAR(10) &amp; "- " &amp; _xlfn.TEXTJOIN(CHAR(10) &amp; "- ", TRUE, _xlfn._xlws.FILTER($I$9:$I$1000, ($B$9:$B$1000=B99) * ($H$9:$H$1000="Topic"))), "")</f>
        <v/>
      </c>
      <c r="B99" s="45" t="str">
        <f t="shared" si="19"/>
        <v/>
      </c>
      <c r="C99" s="95"/>
      <c r="D99" s="46"/>
      <c r="E99" s="58"/>
      <c r="F99" s="67"/>
      <c r="G99" s="53"/>
      <c r="H99" s="53"/>
      <c r="I99" s="50"/>
      <c r="J99" s="51"/>
      <c r="K99" s="129" t="str">
        <f t="shared" si="20"/>
        <v/>
      </c>
      <c r="L99" s="103" t="str">
        <f t="shared" si="21"/>
        <v/>
      </c>
      <c r="M99" s="53">
        <v>0</v>
      </c>
      <c r="N99" s="102" t="str">
        <f t="shared" si="22"/>
        <v/>
      </c>
      <c r="O99" s="103" t="str">
        <f t="shared" si="23"/>
        <v/>
      </c>
      <c r="P99" s="53">
        <v>0</v>
      </c>
      <c r="Q99" s="102" t="str">
        <f t="shared" si="24"/>
        <v/>
      </c>
      <c r="R99" s="103" t="str">
        <f t="shared" si="25"/>
        <v/>
      </c>
      <c r="S99" s="53">
        <v>0</v>
      </c>
      <c r="T99" s="102" t="str">
        <f t="shared" si="26"/>
        <v/>
      </c>
      <c r="U99" s="103" t="str">
        <f t="shared" si="27"/>
        <v/>
      </c>
      <c r="V99" s="53">
        <v>0</v>
      </c>
      <c r="W99" s="87" t="str">
        <f t="shared" si="28"/>
        <v/>
      </c>
      <c r="X99" s="103" t="str">
        <f t="shared" si="29"/>
        <v/>
      </c>
      <c r="Y99" s="53">
        <v>0</v>
      </c>
      <c r="Z99" s="56" t="str">
        <f t="shared" si="30"/>
        <v/>
      </c>
      <c r="AA99" s="56" t="str">
        <f t="shared" si="31"/>
        <v/>
      </c>
      <c r="AB99" s="56" t="str">
        <f t="shared" si="32"/>
        <v/>
      </c>
      <c r="AC99" s="56" t="str">
        <f t="shared" si="33"/>
        <v/>
      </c>
      <c r="AD99" s="56" t="str">
        <f t="shared" si="34"/>
        <v/>
      </c>
      <c r="AE99" s="40"/>
      <c r="AF99" s="40"/>
      <c r="AG99" s="40"/>
      <c r="AH99" s="56" t="str">
        <f t="shared" si="18"/>
        <v/>
      </c>
      <c r="AI99" s="54"/>
      <c r="AJ99" s="54"/>
      <c r="AK99" s="54"/>
      <c r="AL99" s="54"/>
      <c r="AM99" s="54"/>
    </row>
    <row r="100" spans="1:39">
      <c r="A100" s="45" t="str" cm="1">
        <f t="array" ref="A100">IF(H100="PROJECT", CHAR(10) &amp; "- " &amp; _xlfn.TEXTJOIN(CHAR(10) &amp; "- ", TRUE, _xlfn._xlws.FILTER($I$9:$I$1000, ($B$9:$B$1000=B100) * ($H$9:$H$1000="Topic"))), "")</f>
        <v/>
      </c>
      <c r="B100" s="45" t="str">
        <f t="shared" si="19"/>
        <v/>
      </c>
      <c r="C100" s="95"/>
      <c r="D100" s="57"/>
      <c r="E100" s="58"/>
      <c r="F100" s="54"/>
      <c r="G100" s="52"/>
      <c r="H100" s="52"/>
      <c r="I100" s="61"/>
      <c r="J100" s="62"/>
      <c r="K100" s="129" t="str">
        <f t="shared" si="20"/>
        <v/>
      </c>
      <c r="L100" s="103" t="str">
        <f t="shared" si="21"/>
        <v/>
      </c>
      <c r="M100" s="52">
        <v>0</v>
      </c>
      <c r="N100" s="102" t="str">
        <f t="shared" si="22"/>
        <v/>
      </c>
      <c r="O100" s="103" t="str">
        <f t="shared" si="23"/>
        <v/>
      </c>
      <c r="P100" s="52">
        <v>0</v>
      </c>
      <c r="Q100" s="102" t="str">
        <f t="shared" si="24"/>
        <v/>
      </c>
      <c r="R100" s="103" t="str">
        <f t="shared" si="25"/>
        <v/>
      </c>
      <c r="S100" s="52">
        <v>0</v>
      </c>
      <c r="T100" s="102" t="str">
        <f t="shared" si="26"/>
        <v/>
      </c>
      <c r="U100" s="103" t="str">
        <f t="shared" si="27"/>
        <v/>
      </c>
      <c r="V100" s="52">
        <v>0</v>
      </c>
      <c r="W100" s="87" t="str">
        <f t="shared" si="28"/>
        <v/>
      </c>
      <c r="X100" s="103" t="str">
        <f t="shared" si="29"/>
        <v/>
      </c>
      <c r="Y100" s="52">
        <v>0</v>
      </c>
      <c r="Z100" s="56" t="str">
        <f t="shared" si="30"/>
        <v/>
      </c>
      <c r="AA100" s="56" t="str">
        <f t="shared" si="31"/>
        <v/>
      </c>
      <c r="AB100" s="56" t="str">
        <f t="shared" si="32"/>
        <v/>
      </c>
      <c r="AC100" s="56" t="str">
        <f t="shared" si="33"/>
        <v/>
      </c>
      <c r="AD100" s="56" t="str">
        <f t="shared" si="34"/>
        <v/>
      </c>
      <c r="AE100" s="40"/>
      <c r="AF100" s="40"/>
      <c r="AG100" s="40"/>
      <c r="AH100" s="56" t="str">
        <f t="shared" si="18"/>
        <v/>
      </c>
      <c r="AI100" s="54"/>
      <c r="AJ100" s="54"/>
      <c r="AK100" s="54"/>
      <c r="AL100" s="54"/>
      <c r="AM100" s="54"/>
    </row>
    <row r="101" spans="1:39">
      <c r="A101" s="45" t="str" cm="1">
        <f t="array" ref="A101">IF(H101="PROJECT", CHAR(10) &amp; "- " &amp; _xlfn.TEXTJOIN(CHAR(10) &amp; "- ", TRUE, _xlfn._xlws.FILTER($I$9:$I$1000, ($B$9:$B$1000=B101) * ($H$9:$H$1000="Topic"))), "")</f>
        <v/>
      </c>
      <c r="B101" s="45" t="str">
        <f t="shared" si="19"/>
        <v/>
      </c>
      <c r="C101" s="95"/>
      <c r="D101" s="46"/>
      <c r="E101" s="58"/>
      <c r="F101" s="67"/>
      <c r="G101" s="53"/>
      <c r="H101" s="53"/>
      <c r="I101" s="50"/>
      <c r="J101" s="51"/>
      <c r="K101" s="129" t="str">
        <f t="shared" si="20"/>
        <v/>
      </c>
      <c r="L101" s="103" t="str">
        <f t="shared" si="21"/>
        <v/>
      </c>
      <c r="M101" s="53">
        <v>0</v>
      </c>
      <c r="N101" s="102" t="str">
        <f t="shared" si="22"/>
        <v/>
      </c>
      <c r="O101" s="103" t="str">
        <f t="shared" si="23"/>
        <v/>
      </c>
      <c r="P101" s="53">
        <v>0</v>
      </c>
      <c r="Q101" s="102" t="str">
        <f t="shared" si="24"/>
        <v/>
      </c>
      <c r="R101" s="103" t="str">
        <f t="shared" si="25"/>
        <v/>
      </c>
      <c r="S101" s="53">
        <v>0</v>
      </c>
      <c r="T101" s="102" t="str">
        <f t="shared" si="26"/>
        <v/>
      </c>
      <c r="U101" s="103" t="str">
        <f t="shared" si="27"/>
        <v/>
      </c>
      <c r="V101" s="53">
        <v>0</v>
      </c>
      <c r="W101" s="87" t="str">
        <f t="shared" si="28"/>
        <v/>
      </c>
      <c r="X101" s="103" t="str">
        <f t="shared" si="29"/>
        <v/>
      </c>
      <c r="Y101" s="53">
        <v>0</v>
      </c>
      <c r="Z101" s="56" t="str">
        <f t="shared" si="30"/>
        <v/>
      </c>
      <c r="AA101" s="56" t="str">
        <f t="shared" si="31"/>
        <v/>
      </c>
      <c r="AB101" s="56" t="str">
        <f t="shared" si="32"/>
        <v/>
      </c>
      <c r="AC101" s="56" t="str">
        <f t="shared" si="33"/>
        <v/>
      </c>
      <c r="AD101" s="56" t="str">
        <f t="shared" si="34"/>
        <v/>
      </c>
      <c r="AE101" s="40"/>
      <c r="AF101" s="40"/>
      <c r="AG101" s="40"/>
      <c r="AH101" s="56" t="str">
        <f t="shared" si="18"/>
        <v/>
      </c>
      <c r="AI101" s="54"/>
      <c r="AJ101" s="54"/>
      <c r="AK101" s="54"/>
      <c r="AL101" s="54"/>
      <c r="AM101" s="54"/>
    </row>
    <row r="102" spans="1:39">
      <c r="A102" s="45" t="str" cm="1">
        <f t="array" ref="A102">IF(H102="PROJECT", CHAR(10) &amp; "- " &amp; _xlfn.TEXTJOIN(CHAR(10) &amp; "- ", TRUE, _xlfn._xlws.FILTER($I$9:$I$1000, ($B$9:$B$1000=B102) * ($H$9:$H$1000="Topic"))), "")</f>
        <v/>
      </c>
      <c r="B102" s="45" t="str">
        <f t="shared" si="19"/>
        <v/>
      </c>
      <c r="C102" s="95"/>
      <c r="D102" s="57"/>
      <c r="E102" s="58"/>
      <c r="F102" s="54"/>
      <c r="G102" s="52"/>
      <c r="H102" s="52"/>
      <c r="I102" s="61"/>
      <c r="J102" s="62"/>
      <c r="K102" s="129" t="str">
        <f t="shared" si="20"/>
        <v/>
      </c>
      <c r="L102" s="103" t="str">
        <f t="shared" si="21"/>
        <v/>
      </c>
      <c r="M102" s="52">
        <v>0</v>
      </c>
      <c r="N102" s="102" t="str">
        <f t="shared" si="22"/>
        <v/>
      </c>
      <c r="O102" s="103" t="str">
        <f t="shared" si="23"/>
        <v/>
      </c>
      <c r="P102" s="52">
        <v>0</v>
      </c>
      <c r="Q102" s="102" t="str">
        <f t="shared" si="24"/>
        <v/>
      </c>
      <c r="R102" s="103" t="str">
        <f t="shared" si="25"/>
        <v/>
      </c>
      <c r="S102" s="52">
        <v>0</v>
      </c>
      <c r="T102" s="102" t="str">
        <f t="shared" si="26"/>
        <v/>
      </c>
      <c r="U102" s="103" t="str">
        <f t="shared" si="27"/>
        <v/>
      </c>
      <c r="V102" s="52">
        <v>0</v>
      </c>
      <c r="W102" s="87" t="str">
        <f t="shared" si="28"/>
        <v/>
      </c>
      <c r="X102" s="103" t="str">
        <f t="shared" si="29"/>
        <v/>
      </c>
      <c r="Y102" s="52">
        <v>0</v>
      </c>
      <c r="Z102" s="56" t="str">
        <f t="shared" si="30"/>
        <v/>
      </c>
      <c r="AA102" s="56" t="str">
        <f t="shared" si="31"/>
        <v/>
      </c>
      <c r="AB102" s="56" t="str">
        <f t="shared" si="32"/>
        <v/>
      </c>
      <c r="AC102" s="56" t="str">
        <f t="shared" si="33"/>
        <v/>
      </c>
      <c r="AD102" s="56" t="str">
        <f t="shared" si="34"/>
        <v/>
      </c>
      <c r="AE102" s="40"/>
      <c r="AF102" s="40"/>
      <c r="AG102" s="40"/>
      <c r="AH102" s="56" t="str">
        <f t="shared" si="18"/>
        <v/>
      </c>
      <c r="AI102" s="54"/>
      <c r="AJ102" s="54"/>
      <c r="AK102" s="54"/>
      <c r="AL102" s="54"/>
      <c r="AM102" s="54"/>
    </row>
    <row r="103" spans="1:39">
      <c r="A103" s="45" t="str" cm="1">
        <f t="array" ref="A103">IF(H103="PROJECT", CHAR(10) &amp; "- " &amp; _xlfn.TEXTJOIN(CHAR(10) &amp; "- ", TRUE, _xlfn._xlws.FILTER($I$9:$I$1000, ($B$9:$B$1000=B103) * ($H$9:$H$1000="Topic"))), "")</f>
        <v/>
      </c>
      <c r="B103" s="45" t="str">
        <f t="shared" si="19"/>
        <v/>
      </c>
      <c r="C103" s="95"/>
      <c r="D103" s="46"/>
      <c r="E103" s="58"/>
      <c r="F103" s="67"/>
      <c r="G103" s="53"/>
      <c r="H103" s="53"/>
      <c r="I103" s="50"/>
      <c r="J103" s="51"/>
      <c r="K103" s="129" t="str">
        <f t="shared" si="20"/>
        <v/>
      </c>
      <c r="L103" s="103" t="str">
        <f t="shared" si="21"/>
        <v/>
      </c>
      <c r="M103" s="53">
        <v>0</v>
      </c>
      <c r="N103" s="102" t="str">
        <f t="shared" si="22"/>
        <v/>
      </c>
      <c r="O103" s="103" t="str">
        <f t="shared" si="23"/>
        <v/>
      </c>
      <c r="P103" s="53">
        <v>0</v>
      </c>
      <c r="Q103" s="102" t="str">
        <f t="shared" si="24"/>
        <v/>
      </c>
      <c r="R103" s="103" t="str">
        <f t="shared" si="25"/>
        <v/>
      </c>
      <c r="S103" s="53">
        <v>0</v>
      </c>
      <c r="T103" s="102" t="str">
        <f t="shared" si="26"/>
        <v/>
      </c>
      <c r="U103" s="103" t="str">
        <f t="shared" si="27"/>
        <v/>
      </c>
      <c r="V103" s="53">
        <v>0</v>
      </c>
      <c r="W103" s="87" t="str">
        <f t="shared" si="28"/>
        <v/>
      </c>
      <c r="X103" s="103" t="str">
        <f t="shared" si="29"/>
        <v/>
      </c>
      <c r="Y103" s="53">
        <v>0</v>
      </c>
      <c r="Z103" s="56" t="str">
        <f t="shared" si="30"/>
        <v/>
      </c>
      <c r="AA103" s="56" t="str">
        <f t="shared" si="31"/>
        <v/>
      </c>
      <c r="AB103" s="56" t="str">
        <f t="shared" si="32"/>
        <v/>
      </c>
      <c r="AC103" s="56" t="str">
        <f t="shared" si="33"/>
        <v/>
      </c>
      <c r="AD103" s="56" t="str">
        <f t="shared" si="34"/>
        <v/>
      </c>
      <c r="AE103" s="40"/>
      <c r="AF103" s="40"/>
      <c r="AG103" s="40"/>
      <c r="AH103" s="56" t="str">
        <f t="shared" si="18"/>
        <v/>
      </c>
      <c r="AI103" s="54"/>
      <c r="AJ103" s="54"/>
      <c r="AK103" s="54"/>
      <c r="AL103" s="54"/>
      <c r="AM103" s="54"/>
    </row>
    <row r="104" spans="1:39">
      <c r="A104" s="45" t="str" cm="1">
        <f t="array" ref="A104">IF(H104="PROJECT", CHAR(10) &amp; "- " &amp; _xlfn.TEXTJOIN(CHAR(10) &amp; "- ", TRUE, _xlfn._xlws.FILTER($I$9:$I$1000, ($B$9:$B$1000=B104) * ($H$9:$H$1000="Topic"))), "")</f>
        <v/>
      </c>
      <c r="B104" s="45" t="str">
        <f t="shared" si="19"/>
        <v/>
      </c>
      <c r="C104" s="95"/>
      <c r="D104" s="57"/>
      <c r="E104" s="58"/>
      <c r="F104" s="54"/>
      <c r="G104" s="52"/>
      <c r="H104" s="52"/>
      <c r="I104" s="61"/>
      <c r="J104" s="62"/>
      <c r="K104" s="129" t="str">
        <f t="shared" si="20"/>
        <v/>
      </c>
      <c r="L104" s="103" t="str">
        <f t="shared" si="21"/>
        <v/>
      </c>
      <c r="M104" s="52">
        <v>0</v>
      </c>
      <c r="N104" s="102" t="str">
        <f t="shared" si="22"/>
        <v/>
      </c>
      <c r="O104" s="103" t="str">
        <f t="shared" si="23"/>
        <v/>
      </c>
      <c r="P104" s="52">
        <v>0</v>
      </c>
      <c r="Q104" s="102" t="str">
        <f t="shared" si="24"/>
        <v/>
      </c>
      <c r="R104" s="103" t="str">
        <f t="shared" si="25"/>
        <v/>
      </c>
      <c r="S104" s="52">
        <v>0</v>
      </c>
      <c r="T104" s="102" t="str">
        <f t="shared" si="26"/>
        <v/>
      </c>
      <c r="U104" s="103" t="str">
        <f t="shared" si="27"/>
        <v/>
      </c>
      <c r="V104" s="52">
        <v>0</v>
      </c>
      <c r="W104" s="87" t="str">
        <f t="shared" si="28"/>
        <v/>
      </c>
      <c r="X104" s="103" t="str">
        <f t="shared" si="29"/>
        <v/>
      </c>
      <c r="Y104" s="52">
        <v>0</v>
      </c>
      <c r="Z104" s="56" t="str">
        <f t="shared" si="30"/>
        <v/>
      </c>
      <c r="AA104" s="56" t="str">
        <f t="shared" si="31"/>
        <v/>
      </c>
      <c r="AB104" s="56" t="str">
        <f t="shared" si="32"/>
        <v/>
      </c>
      <c r="AC104" s="56" t="str">
        <f t="shared" si="33"/>
        <v/>
      </c>
      <c r="AD104" s="56" t="str">
        <f t="shared" si="34"/>
        <v/>
      </c>
      <c r="AE104" s="40"/>
      <c r="AF104" s="40"/>
      <c r="AG104" s="40"/>
      <c r="AH104" s="56" t="str">
        <f t="shared" si="18"/>
        <v/>
      </c>
      <c r="AI104" s="54"/>
      <c r="AJ104" s="54"/>
      <c r="AK104" s="54"/>
      <c r="AL104" s="54"/>
      <c r="AM104" s="54"/>
    </row>
    <row r="105" spans="1:39">
      <c r="A105" s="45" t="str" cm="1">
        <f t="array" ref="A105">IF(H105="PROJECT", CHAR(10) &amp; "- " &amp; _xlfn.TEXTJOIN(CHAR(10) &amp; "- ", TRUE, _xlfn._xlws.FILTER($I$9:$I$1000, ($B$9:$B$1000=B105) * ($H$9:$H$1000="Topic"))), "")</f>
        <v/>
      </c>
      <c r="B105" s="45" t="str">
        <f t="shared" si="19"/>
        <v/>
      </c>
      <c r="C105" s="95"/>
      <c r="D105" s="46"/>
      <c r="E105" s="58"/>
      <c r="F105" s="67"/>
      <c r="G105" s="53"/>
      <c r="H105" s="53"/>
      <c r="I105" s="50"/>
      <c r="J105" s="51"/>
      <c r="K105" s="129" t="str">
        <f t="shared" si="20"/>
        <v/>
      </c>
      <c r="L105" s="103" t="str">
        <f t="shared" si="21"/>
        <v/>
      </c>
      <c r="M105" s="53">
        <v>0</v>
      </c>
      <c r="N105" s="102" t="str">
        <f t="shared" si="22"/>
        <v/>
      </c>
      <c r="O105" s="103" t="str">
        <f t="shared" si="23"/>
        <v/>
      </c>
      <c r="P105" s="53">
        <v>0</v>
      </c>
      <c r="Q105" s="102" t="str">
        <f t="shared" si="24"/>
        <v/>
      </c>
      <c r="R105" s="103" t="str">
        <f t="shared" si="25"/>
        <v/>
      </c>
      <c r="S105" s="53">
        <v>0</v>
      </c>
      <c r="T105" s="102" t="str">
        <f t="shared" si="26"/>
        <v/>
      </c>
      <c r="U105" s="103" t="str">
        <f t="shared" si="27"/>
        <v/>
      </c>
      <c r="V105" s="53">
        <v>0</v>
      </c>
      <c r="W105" s="87" t="str">
        <f t="shared" si="28"/>
        <v/>
      </c>
      <c r="X105" s="103" t="str">
        <f t="shared" si="29"/>
        <v/>
      </c>
      <c r="Y105" s="53">
        <v>0</v>
      </c>
      <c r="Z105" s="56" t="str">
        <f t="shared" si="30"/>
        <v/>
      </c>
      <c r="AA105" s="56" t="str">
        <f t="shared" si="31"/>
        <v/>
      </c>
      <c r="AB105" s="56" t="str">
        <f t="shared" si="32"/>
        <v/>
      </c>
      <c r="AC105" s="56" t="str">
        <f t="shared" si="33"/>
        <v/>
      </c>
      <c r="AD105" s="56" t="str">
        <f t="shared" si="34"/>
        <v/>
      </c>
      <c r="AE105" s="40"/>
      <c r="AF105" s="40"/>
      <c r="AG105" s="40"/>
      <c r="AH105" s="56" t="str">
        <f t="shared" ref="AH105:AH136" si="35">IF(AE105=$B$6,AG105,"")</f>
        <v/>
      </c>
      <c r="AI105" s="54"/>
      <c r="AJ105" s="54"/>
      <c r="AK105" s="54"/>
      <c r="AL105" s="54"/>
      <c r="AM105" s="54"/>
    </row>
    <row r="106" spans="1:39">
      <c r="A106" s="45" t="str" cm="1">
        <f t="array" ref="A106">IF(H106="PROJECT", CHAR(10) &amp; "- " &amp; _xlfn.TEXTJOIN(CHAR(10) &amp; "- ", TRUE, _xlfn._xlws.FILTER($I$9:$I$1000, ($B$9:$B$1000=B106) * ($H$9:$H$1000="Topic"))), "")</f>
        <v/>
      </c>
      <c r="B106" s="45" t="str">
        <f t="shared" si="19"/>
        <v/>
      </c>
      <c r="C106" s="95"/>
      <c r="D106" s="57"/>
      <c r="E106" s="58"/>
      <c r="F106" s="54"/>
      <c r="G106" s="52"/>
      <c r="H106" s="52"/>
      <c r="I106" s="61"/>
      <c r="J106" s="62"/>
      <c r="K106" s="129" t="str">
        <f t="shared" si="20"/>
        <v/>
      </c>
      <c r="L106" s="103" t="str">
        <f t="shared" si="21"/>
        <v/>
      </c>
      <c r="M106" s="52">
        <v>0</v>
      </c>
      <c r="N106" s="102" t="str">
        <f t="shared" si="22"/>
        <v/>
      </c>
      <c r="O106" s="103" t="str">
        <f t="shared" si="23"/>
        <v/>
      </c>
      <c r="P106" s="52">
        <v>0</v>
      </c>
      <c r="Q106" s="102" t="str">
        <f t="shared" si="24"/>
        <v/>
      </c>
      <c r="R106" s="103" t="str">
        <f t="shared" si="25"/>
        <v/>
      </c>
      <c r="S106" s="52">
        <v>0</v>
      </c>
      <c r="T106" s="102" t="str">
        <f t="shared" si="26"/>
        <v/>
      </c>
      <c r="U106" s="103" t="str">
        <f t="shared" si="27"/>
        <v/>
      </c>
      <c r="V106" s="52">
        <v>0</v>
      </c>
      <c r="W106" s="87" t="str">
        <f t="shared" si="28"/>
        <v/>
      </c>
      <c r="X106" s="103" t="str">
        <f t="shared" si="29"/>
        <v/>
      </c>
      <c r="Y106" s="52">
        <v>0</v>
      </c>
      <c r="Z106" s="56" t="str">
        <f t="shared" si="30"/>
        <v/>
      </c>
      <c r="AA106" s="56" t="str">
        <f t="shared" si="31"/>
        <v/>
      </c>
      <c r="AB106" s="56" t="str">
        <f t="shared" si="32"/>
        <v/>
      </c>
      <c r="AC106" s="56" t="str">
        <f t="shared" si="33"/>
        <v/>
      </c>
      <c r="AD106" s="56" t="str">
        <f t="shared" si="34"/>
        <v/>
      </c>
      <c r="AE106" s="40"/>
      <c r="AF106" s="40"/>
      <c r="AG106" s="40"/>
      <c r="AH106" s="56" t="str">
        <f t="shared" si="35"/>
        <v/>
      </c>
      <c r="AI106" s="54"/>
      <c r="AJ106" s="54"/>
      <c r="AK106" s="54"/>
      <c r="AL106" s="54"/>
      <c r="AM106" s="54"/>
    </row>
    <row r="107" spans="1:39">
      <c r="A107" s="45" t="str" cm="1">
        <f t="array" ref="A107">IF(H107="PROJECT", CHAR(10) &amp; "- " &amp; _xlfn.TEXTJOIN(CHAR(10) &amp; "- ", TRUE, _xlfn._xlws.FILTER($I$9:$I$1000, ($B$9:$B$1000=B107) * ($H$9:$H$1000="Topic"))), "")</f>
        <v/>
      </c>
      <c r="B107" s="45" t="str">
        <f t="shared" si="19"/>
        <v/>
      </c>
      <c r="C107" s="95"/>
      <c r="D107" s="46"/>
      <c r="E107" s="58"/>
      <c r="F107" s="67"/>
      <c r="G107" s="53"/>
      <c r="H107" s="53"/>
      <c r="I107" s="50"/>
      <c r="J107" s="51"/>
      <c r="K107" s="129" t="str">
        <f t="shared" si="20"/>
        <v/>
      </c>
      <c r="L107" s="103" t="str">
        <f t="shared" si="21"/>
        <v/>
      </c>
      <c r="M107" s="53">
        <v>0</v>
      </c>
      <c r="N107" s="102" t="str">
        <f t="shared" si="22"/>
        <v/>
      </c>
      <c r="O107" s="103" t="str">
        <f t="shared" si="23"/>
        <v/>
      </c>
      <c r="P107" s="53">
        <v>0</v>
      </c>
      <c r="Q107" s="102" t="str">
        <f t="shared" si="24"/>
        <v/>
      </c>
      <c r="R107" s="103" t="str">
        <f t="shared" si="25"/>
        <v/>
      </c>
      <c r="S107" s="53">
        <v>0</v>
      </c>
      <c r="T107" s="102" t="str">
        <f t="shared" si="26"/>
        <v/>
      </c>
      <c r="U107" s="103" t="str">
        <f t="shared" si="27"/>
        <v/>
      </c>
      <c r="V107" s="53">
        <v>0</v>
      </c>
      <c r="W107" s="87" t="str">
        <f t="shared" si="28"/>
        <v/>
      </c>
      <c r="X107" s="103" t="str">
        <f t="shared" si="29"/>
        <v/>
      </c>
      <c r="Y107" s="53">
        <v>0</v>
      </c>
      <c r="Z107" s="56" t="str">
        <f t="shared" si="30"/>
        <v/>
      </c>
      <c r="AA107" s="56" t="str">
        <f t="shared" si="31"/>
        <v/>
      </c>
      <c r="AB107" s="56" t="str">
        <f t="shared" si="32"/>
        <v/>
      </c>
      <c r="AC107" s="56" t="str">
        <f t="shared" si="33"/>
        <v/>
      </c>
      <c r="AD107" s="56" t="str">
        <f t="shared" si="34"/>
        <v/>
      </c>
      <c r="AE107" s="40"/>
      <c r="AF107" s="40"/>
      <c r="AG107" s="40"/>
      <c r="AH107" s="56" t="str">
        <f t="shared" si="35"/>
        <v/>
      </c>
      <c r="AI107" s="54"/>
      <c r="AJ107" s="54"/>
      <c r="AK107" s="54"/>
      <c r="AL107" s="54"/>
      <c r="AM107" s="54"/>
    </row>
    <row r="108" spans="1:39">
      <c r="A108" s="45" t="str" cm="1">
        <f t="array" ref="A108">IF(H108="PROJECT", CHAR(10) &amp; "- " &amp; _xlfn.TEXTJOIN(CHAR(10) &amp; "- ", TRUE, _xlfn._xlws.FILTER($I$9:$I$1000, ($B$9:$B$1000=B108) * ($H$9:$H$1000="Topic"))), "")</f>
        <v/>
      </c>
      <c r="B108" s="45" t="str">
        <f t="shared" si="19"/>
        <v/>
      </c>
      <c r="C108" s="95"/>
      <c r="D108" s="57"/>
      <c r="E108" s="58"/>
      <c r="F108" s="54"/>
      <c r="G108" s="52"/>
      <c r="H108" s="52"/>
      <c r="I108" s="61"/>
      <c r="J108" s="62"/>
      <c r="K108" s="129" t="str">
        <f t="shared" si="20"/>
        <v/>
      </c>
      <c r="L108" s="103" t="str">
        <f t="shared" si="21"/>
        <v/>
      </c>
      <c r="M108" s="52">
        <v>0</v>
      </c>
      <c r="N108" s="102" t="str">
        <f t="shared" si="22"/>
        <v/>
      </c>
      <c r="O108" s="103" t="str">
        <f t="shared" si="23"/>
        <v/>
      </c>
      <c r="P108" s="52">
        <v>0</v>
      </c>
      <c r="Q108" s="102" t="str">
        <f t="shared" si="24"/>
        <v/>
      </c>
      <c r="R108" s="103" t="str">
        <f t="shared" si="25"/>
        <v/>
      </c>
      <c r="S108" s="52">
        <v>0</v>
      </c>
      <c r="T108" s="102" t="str">
        <f t="shared" si="26"/>
        <v/>
      </c>
      <c r="U108" s="103" t="str">
        <f t="shared" si="27"/>
        <v/>
      </c>
      <c r="V108" s="52">
        <v>0</v>
      </c>
      <c r="W108" s="87" t="str">
        <f t="shared" si="28"/>
        <v/>
      </c>
      <c r="X108" s="103" t="str">
        <f t="shared" si="29"/>
        <v/>
      </c>
      <c r="Y108" s="52">
        <v>0</v>
      </c>
      <c r="Z108" s="56" t="str">
        <f t="shared" si="30"/>
        <v/>
      </c>
      <c r="AA108" s="56" t="str">
        <f t="shared" si="31"/>
        <v/>
      </c>
      <c r="AB108" s="56" t="str">
        <f t="shared" si="32"/>
        <v/>
      </c>
      <c r="AC108" s="56" t="str">
        <f t="shared" si="33"/>
        <v/>
      </c>
      <c r="AD108" s="56" t="str">
        <f t="shared" si="34"/>
        <v/>
      </c>
      <c r="AE108" s="40"/>
      <c r="AF108" s="40"/>
      <c r="AG108" s="40"/>
      <c r="AH108" s="56" t="str">
        <f t="shared" si="35"/>
        <v/>
      </c>
      <c r="AI108" s="54"/>
      <c r="AJ108" s="54"/>
      <c r="AK108" s="54"/>
      <c r="AL108" s="54"/>
      <c r="AM108" s="54"/>
    </row>
    <row r="109" spans="1:39">
      <c r="A109" s="45" t="str" cm="1">
        <f t="array" ref="A109">IF(H109="PROJECT", CHAR(10) &amp; "- " &amp; _xlfn.TEXTJOIN(CHAR(10) &amp; "- ", TRUE, _xlfn._xlws.FILTER($I$9:$I$1000, ($B$9:$B$1000=B109) * ($H$9:$H$1000="Topic"))), "")</f>
        <v/>
      </c>
      <c r="B109" s="45" t="str">
        <f t="shared" si="19"/>
        <v/>
      </c>
      <c r="C109" s="95"/>
      <c r="D109" s="46"/>
      <c r="E109" s="58"/>
      <c r="F109" s="67"/>
      <c r="G109" s="53"/>
      <c r="H109" s="53"/>
      <c r="I109" s="50"/>
      <c r="J109" s="51"/>
      <c r="K109" s="129" t="str">
        <f t="shared" si="20"/>
        <v/>
      </c>
      <c r="L109" s="103" t="str">
        <f t="shared" si="21"/>
        <v/>
      </c>
      <c r="M109" s="53">
        <v>0</v>
      </c>
      <c r="N109" s="102" t="str">
        <f t="shared" si="22"/>
        <v/>
      </c>
      <c r="O109" s="103" t="str">
        <f t="shared" si="23"/>
        <v/>
      </c>
      <c r="P109" s="53">
        <v>0</v>
      </c>
      <c r="Q109" s="102" t="str">
        <f t="shared" si="24"/>
        <v/>
      </c>
      <c r="R109" s="103" t="str">
        <f t="shared" si="25"/>
        <v/>
      </c>
      <c r="S109" s="53">
        <v>0</v>
      </c>
      <c r="T109" s="102" t="str">
        <f t="shared" si="26"/>
        <v/>
      </c>
      <c r="U109" s="103" t="str">
        <f t="shared" si="27"/>
        <v/>
      </c>
      <c r="V109" s="53">
        <v>0</v>
      </c>
      <c r="W109" s="87" t="str">
        <f t="shared" si="28"/>
        <v/>
      </c>
      <c r="X109" s="103" t="str">
        <f t="shared" si="29"/>
        <v/>
      </c>
      <c r="Y109" s="53">
        <v>0</v>
      </c>
      <c r="Z109" s="56" t="str">
        <f t="shared" si="30"/>
        <v/>
      </c>
      <c r="AA109" s="56" t="str">
        <f t="shared" si="31"/>
        <v/>
      </c>
      <c r="AB109" s="56" t="str">
        <f t="shared" si="32"/>
        <v/>
      </c>
      <c r="AC109" s="56" t="str">
        <f t="shared" si="33"/>
        <v/>
      </c>
      <c r="AD109" s="56" t="str">
        <f t="shared" si="34"/>
        <v/>
      </c>
      <c r="AE109" s="40"/>
      <c r="AF109" s="40"/>
      <c r="AG109" s="40"/>
      <c r="AH109" s="56" t="str">
        <f t="shared" si="35"/>
        <v/>
      </c>
      <c r="AI109" s="54"/>
      <c r="AJ109" s="54"/>
      <c r="AK109" s="54"/>
      <c r="AL109" s="54"/>
      <c r="AM109" s="54"/>
    </row>
    <row r="110" spans="1:39">
      <c r="A110" s="45" t="str" cm="1">
        <f t="array" ref="A110">IF(H110="PROJECT", CHAR(10) &amp; "- " &amp; _xlfn.TEXTJOIN(CHAR(10) &amp; "- ", TRUE, _xlfn._xlws.FILTER($I$9:$I$1000, ($B$9:$B$1000=B110) * ($H$9:$H$1000="Topic"))), "")</f>
        <v/>
      </c>
      <c r="B110" s="45" t="str">
        <f t="shared" si="19"/>
        <v/>
      </c>
      <c r="C110" s="95"/>
      <c r="D110" s="57"/>
      <c r="E110" s="58"/>
      <c r="F110" s="54"/>
      <c r="G110" s="52"/>
      <c r="H110" s="52"/>
      <c r="I110" s="61"/>
      <c r="J110" s="62"/>
      <c r="K110" s="129" t="str">
        <f t="shared" si="20"/>
        <v/>
      </c>
      <c r="L110" s="103" t="str">
        <f t="shared" si="21"/>
        <v/>
      </c>
      <c r="M110" s="52">
        <v>0</v>
      </c>
      <c r="N110" s="102" t="str">
        <f t="shared" si="22"/>
        <v/>
      </c>
      <c r="O110" s="103" t="str">
        <f t="shared" si="23"/>
        <v/>
      </c>
      <c r="P110" s="52">
        <v>0</v>
      </c>
      <c r="Q110" s="102" t="str">
        <f t="shared" si="24"/>
        <v/>
      </c>
      <c r="R110" s="103" t="str">
        <f t="shared" si="25"/>
        <v/>
      </c>
      <c r="S110" s="52">
        <v>0</v>
      </c>
      <c r="T110" s="102" t="str">
        <f t="shared" si="26"/>
        <v/>
      </c>
      <c r="U110" s="103" t="str">
        <f t="shared" si="27"/>
        <v/>
      </c>
      <c r="V110" s="52">
        <v>0</v>
      </c>
      <c r="W110" s="87" t="str">
        <f t="shared" si="28"/>
        <v/>
      </c>
      <c r="X110" s="103" t="str">
        <f t="shared" si="29"/>
        <v/>
      </c>
      <c r="Y110" s="52">
        <v>0</v>
      </c>
      <c r="Z110" s="56" t="str">
        <f t="shared" si="30"/>
        <v/>
      </c>
      <c r="AA110" s="56" t="str">
        <f t="shared" si="31"/>
        <v/>
      </c>
      <c r="AB110" s="56" t="str">
        <f t="shared" si="32"/>
        <v/>
      </c>
      <c r="AC110" s="56" t="str">
        <f t="shared" si="33"/>
        <v/>
      </c>
      <c r="AD110" s="56" t="str">
        <f t="shared" si="34"/>
        <v/>
      </c>
      <c r="AE110" s="40"/>
      <c r="AF110" s="40"/>
      <c r="AG110" s="40"/>
      <c r="AH110" s="56" t="str">
        <f t="shared" si="35"/>
        <v/>
      </c>
      <c r="AI110" s="54"/>
      <c r="AJ110" s="54"/>
      <c r="AK110" s="54"/>
      <c r="AL110" s="54"/>
      <c r="AM110" s="54"/>
    </row>
    <row r="111" spans="1:39">
      <c r="A111" s="45" t="str" cm="1">
        <f t="array" ref="A111">IF(H111="PROJECT", CHAR(10) &amp; "- " &amp; _xlfn.TEXTJOIN(CHAR(10) &amp; "- ", TRUE, _xlfn._xlws.FILTER($I$9:$I$1000, ($B$9:$B$1000=B111) * ($H$9:$H$1000="Topic"))), "")</f>
        <v/>
      </c>
      <c r="B111" s="45" t="str">
        <f t="shared" si="19"/>
        <v/>
      </c>
      <c r="C111" s="95"/>
      <c r="D111" s="46"/>
      <c r="E111" s="58"/>
      <c r="F111" s="67"/>
      <c r="G111" s="53"/>
      <c r="H111" s="53"/>
      <c r="I111" s="50"/>
      <c r="J111" s="51"/>
      <c r="K111" s="129" t="str">
        <f t="shared" si="20"/>
        <v/>
      </c>
      <c r="L111" s="103" t="str">
        <f t="shared" si="21"/>
        <v/>
      </c>
      <c r="M111" s="53">
        <v>0</v>
      </c>
      <c r="N111" s="102" t="str">
        <f t="shared" si="22"/>
        <v/>
      </c>
      <c r="O111" s="103" t="str">
        <f t="shared" si="23"/>
        <v/>
      </c>
      <c r="P111" s="53">
        <v>0</v>
      </c>
      <c r="Q111" s="102" t="str">
        <f t="shared" si="24"/>
        <v/>
      </c>
      <c r="R111" s="103" t="str">
        <f t="shared" si="25"/>
        <v/>
      </c>
      <c r="S111" s="53">
        <v>0</v>
      </c>
      <c r="T111" s="102" t="str">
        <f t="shared" si="26"/>
        <v/>
      </c>
      <c r="U111" s="103" t="str">
        <f t="shared" si="27"/>
        <v/>
      </c>
      <c r="V111" s="53">
        <v>0</v>
      </c>
      <c r="W111" s="87" t="str">
        <f t="shared" si="28"/>
        <v/>
      </c>
      <c r="X111" s="103" t="str">
        <f t="shared" si="29"/>
        <v/>
      </c>
      <c r="Y111" s="53">
        <v>0</v>
      </c>
      <c r="Z111" s="56" t="str">
        <f t="shared" si="30"/>
        <v/>
      </c>
      <c r="AA111" s="56" t="str">
        <f t="shared" si="31"/>
        <v/>
      </c>
      <c r="AB111" s="56" t="str">
        <f t="shared" si="32"/>
        <v/>
      </c>
      <c r="AC111" s="56" t="str">
        <f t="shared" si="33"/>
        <v/>
      </c>
      <c r="AD111" s="56" t="str">
        <f t="shared" si="34"/>
        <v/>
      </c>
      <c r="AE111" s="40"/>
      <c r="AF111" s="40"/>
      <c r="AG111" s="40"/>
      <c r="AH111" s="56" t="str">
        <f t="shared" si="35"/>
        <v/>
      </c>
      <c r="AI111" s="54"/>
      <c r="AJ111" s="54"/>
      <c r="AK111" s="54"/>
      <c r="AL111" s="54"/>
      <c r="AM111" s="54"/>
    </row>
    <row r="112" spans="1:39">
      <c r="A112" s="45" t="str" cm="1">
        <f t="array" ref="A112">IF(H112="PROJECT", CHAR(10) &amp; "- " &amp; _xlfn.TEXTJOIN(CHAR(10) &amp; "- ", TRUE, _xlfn._xlws.FILTER($I$9:$I$1000, ($B$9:$B$1000=B112) * ($H$9:$H$1000="Topic"))), "")</f>
        <v/>
      </c>
      <c r="B112" s="45" t="str">
        <f t="shared" si="19"/>
        <v/>
      </c>
      <c r="C112" s="95"/>
      <c r="D112" s="57"/>
      <c r="E112" s="58"/>
      <c r="F112" s="54"/>
      <c r="G112" s="52"/>
      <c r="H112" s="52"/>
      <c r="I112" s="61"/>
      <c r="J112" s="62"/>
      <c r="K112" s="129" t="str">
        <f t="shared" si="20"/>
        <v/>
      </c>
      <c r="L112" s="103" t="str">
        <f t="shared" si="21"/>
        <v/>
      </c>
      <c r="M112" s="52">
        <v>0</v>
      </c>
      <c r="N112" s="102" t="str">
        <f t="shared" si="22"/>
        <v/>
      </c>
      <c r="O112" s="103" t="str">
        <f t="shared" si="23"/>
        <v/>
      </c>
      <c r="P112" s="52">
        <v>0</v>
      </c>
      <c r="Q112" s="102" t="str">
        <f t="shared" si="24"/>
        <v/>
      </c>
      <c r="R112" s="103" t="str">
        <f t="shared" si="25"/>
        <v/>
      </c>
      <c r="S112" s="52">
        <v>0</v>
      </c>
      <c r="T112" s="102" t="str">
        <f t="shared" si="26"/>
        <v/>
      </c>
      <c r="U112" s="103" t="str">
        <f t="shared" si="27"/>
        <v/>
      </c>
      <c r="V112" s="52">
        <v>0</v>
      </c>
      <c r="W112" s="87" t="str">
        <f t="shared" si="28"/>
        <v/>
      </c>
      <c r="X112" s="103" t="str">
        <f t="shared" si="29"/>
        <v/>
      </c>
      <c r="Y112" s="52">
        <v>0</v>
      </c>
      <c r="Z112" s="56" t="str">
        <f t="shared" si="30"/>
        <v/>
      </c>
      <c r="AA112" s="56" t="str">
        <f t="shared" si="31"/>
        <v/>
      </c>
      <c r="AB112" s="56" t="str">
        <f t="shared" si="32"/>
        <v/>
      </c>
      <c r="AC112" s="56" t="str">
        <f t="shared" si="33"/>
        <v/>
      </c>
      <c r="AD112" s="56" t="str">
        <f t="shared" si="34"/>
        <v/>
      </c>
      <c r="AE112" s="40"/>
      <c r="AF112" s="40"/>
      <c r="AG112" s="40"/>
      <c r="AH112" s="56" t="str">
        <f t="shared" si="35"/>
        <v/>
      </c>
      <c r="AI112" s="54"/>
      <c r="AJ112" s="54"/>
      <c r="AK112" s="54"/>
      <c r="AL112" s="54"/>
      <c r="AM112" s="54"/>
    </row>
    <row r="113" spans="1:39">
      <c r="A113" s="45" t="str" cm="1">
        <f t="array" ref="A113">IF(H113="PROJECT", CHAR(10) &amp; "- " &amp; _xlfn.TEXTJOIN(CHAR(10) &amp; "- ", TRUE, _xlfn._xlws.FILTER($I$9:$I$1000, ($B$9:$B$1000=B113) * ($H$9:$H$1000="Topic"))), "")</f>
        <v/>
      </c>
      <c r="B113" s="45" t="str">
        <f t="shared" si="19"/>
        <v/>
      </c>
      <c r="C113" s="95"/>
      <c r="D113" s="46"/>
      <c r="E113" s="58"/>
      <c r="F113" s="67"/>
      <c r="G113" s="53"/>
      <c r="H113" s="53"/>
      <c r="I113" s="50"/>
      <c r="J113" s="51"/>
      <c r="K113" s="129" t="str">
        <f t="shared" si="20"/>
        <v/>
      </c>
      <c r="L113" s="103" t="str">
        <f t="shared" si="21"/>
        <v/>
      </c>
      <c r="M113" s="53">
        <v>0</v>
      </c>
      <c r="N113" s="102" t="str">
        <f t="shared" si="22"/>
        <v/>
      </c>
      <c r="O113" s="103" t="str">
        <f t="shared" si="23"/>
        <v/>
      </c>
      <c r="P113" s="53">
        <v>0</v>
      </c>
      <c r="Q113" s="102" t="str">
        <f t="shared" si="24"/>
        <v/>
      </c>
      <c r="R113" s="103" t="str">
        <f t="shared" si="25"/>
        <v/>
      </c>
      <c r="S113" s="53">
        <v>0</v>
      </c>
      <c r="T113" s="102" t="str">
        <f t="shared" si="26"/>
        <v/>
      </c>
      <c r="U113" s="103" t="str">
        <f t="shared" si="27"/>
        <v/>
      </c>
      <c r="V113" s="53">
        <v>0</v>
      </c>
      <c r="W113" s="87" t="str">
        <f t="shared" si="28"/>
        <v/>
      </c>
      <c r="X113" s="103" t="str">
        <f t="shared" si="29"/>
        <v/>
      </c>
      <c r="Y113" s="53">
        <v>0</v>
      </c>
      <c r="Z113" s="56" t="str">
        <f t="shared" si="30"/>
        <v/>
      </c>
      <c r="AA113" s="56" t="str">
        <f t="shared" si="31"/>
        <v/>
      </c>
      <c r="AB113" s="56" t="str">
        <f t="shared" si="32"/>
        <v/>
      </c>
      <c r="AC113" s="56" t="str">
        <f t="shared" si="33"/>
        <v/>
      </c>
      <c r="AD113" s="56" t="str">
        <f t="shared" si="34"/>
        <v/>
      </c>
      <c r="AE113" s="40"/>
      <c r="AF113" s="40"/>
      <c r="AG113" s="40"/>
      <c r="AH113" s="56" t="str">
        <f t="shared" si="35"/>
        <v/>
      </c>
      <c r="AI113" s="54"/>
      <c r="AJ113" s="54"/>
      <c r="AK113" s="54"/>
      <c r="AL113" s="54"/>
      <c r="AM113" s="54"/>
    </row>
    <row r="114" spans="1:39">
      <c r="A114" s="45" t="str" cm="1">
        <f t="array" ref="A114">IF(H114="PROJECT", CHAR(10) &amp; "- " &amp; _xlfn.TEXTJOIN(CHAR(10) &amp; "- ", TRUE, _xlfn._xlws.FILTER($I$9:$I$1000, ($B$9:$B$1000=B114) * ($H$9:$H$1000="Topic"))), "")</f>
        <v/>
      </c>
      <c r="B114" s="45" t="str">
        <f t="shared" si="19"/>
        <v/>
      </c>
      <c r="C114" s="95"/>
      <c r="D114" s="57"/>
      <c r="E114" s="58"/>
      <c r="F114" s="54"/>
      <c r="G114" s="52"/>
      <c r="H114" s="52"/>
      <c r="I114" s="61"/>
      <c r="J114" s="62"/>
      <c r="K114" s="129" t="str">
        <f t="shared" si="20"/>
        <v/>
      </c>
      <c r="L114" s="103" t="str">
        <f t="shared" si="21"/>
        <v/>
      </c>
      <c r="M114" s="52">
        <v>0</v>
      </c>
      <c r="N114" s="102" t="str">
        <f t="shared" si="22"/>
        <v/>
      </c>
      <c r="O114" s="103" t="str">
        <f t="shared" si="23"/>
        <v/>
      </c>
      <c r="P114" s="52">
        <v>0</v>
      </c>
      <c r="Q114" s="102" t="str">
        <f t="shared" si="24"/>
        <v/>
      </c>
      <c r="R114" s="103" t="str">
        <f t="shared" si="25"/>
        <v/>
      </c>
      <c r="S114" s="52">
        <v>0</v>
      </c>
      <c r="T114" s="102" t="str">
        <f t="shared" si="26"/>
        <v/>
      </c>
      <c r="U114" s="103" t="str">
        <f t="shared" si="27"/>
        <v/>
      </c>
      <c r="V114" s="52">
        <v>0</v>
      </c>
      <c r="W114" s="87" t="str">
        <f t="shared" si="28"/>
        <v/>
      </c>
      <c r="X114" s="103" t="str">
        <f t="shared" si="29"/>
        <v/>
      </c>
      <c r="Y114" s="52">
        <v>0</v>
      </c>
      <c r="Z114" s="56" t="str">
        <f t="shared" si="30"/>
        <v/>
      </c>
      <c r="AA114" s="56" t="str">
        <f t="shared" si="31"/>
        <v/>
      </c>
      <c r="AB114" s="56" t="str">
        <f t="shared" si="32"/>
        <v/>
      </c>
      <c r="AC114" s="56" t="str">
        <f t="shared" si="33"/>
        <v/>
      </c>
      <c r="AD114" s="56" t="str">
        <f t="shared" si="34"/>
        <v/>
      </c>
      <c r="AE114" s="40"/>
      <c r="AF114" s="40"/>
      <c r="AG114" s="40"/>
      <c r="AH114" s="56" t="str">
        <f t="shared" si="35"/>
        <v/>
      </c>
      <c r="AI114" s="54"/>
      <c r="AJ114" s="54"/>
      <c r="AK114" s="54"/>
      <c r="AL114" s="54"/>
      <c r="AM114" s="54"/>
    </row>
    <row r="115" spans="1:39">
      <c r="A115" s="45" t="str" cm="1">
        <f t="array" ref="A115">IF(H115="PROJECT", CHAR(10) &amp; "- " &amp; _xlfn.TEXTJOIN(CHAR(10) &amp; "- ", TRUE, _xlfn._xlws.FILTER($I$9:$I$1000, ($B$9:$B$1000=B115) * ($H$9:$H$1000="Topic"))), "")</f>
        <v/>
      </c>
      <c r="B115" s="45" t="str">
        <f t="shared" si="19"/>
        <v/>
      </c>
      <c r="C115" s="95"/>
      <c r="D115" s="46"/>
      <c r="E115" s="58"/>
      <c r="F115" s="67"/>
      <c r="G115" s="53"/>
      <c r="H115" s="53"/>
      <c r="I115" s="50"/>
      <c r="J115" s="51"/>
      <c r="K115" s="129" t="str">
        <f t="shared" si="20"/>
        <v/>
      </c>
      <c r="L115" s="103" t="str">
        <f t="shared" si="21"/>
        <v/>
      </c>
      <c r="M115" s="53">
        <v>0</v>
      </c>
      <c r="N115" s="102" t="str">
        <f t="shared" si="22"/>
        <v/>
      </c>
      <c r="O115" s="103" t="str">
        <f t="shared" si="23"/>
        <v/>
      </c>
      <c r="P115" s="53">
        <v>0</v>
      </c>
      <c r="Q115" s="102" t="str">
        <f t="shared" si="24"/>
        <v/>
      </c>
      <c r="R115" s="103" t="str">
        <f t="shared" si="25"/>
        <v/>
      </c>
      <c r="S115" s="53">
        <v>0</v>
      </c>
      <c r="T115" s="102" t="str">
        <f t="shared" si="26"/>
        <v/>
      </c>
      <c r="U115" s="103" t="str">
        <f t="shared" si="27"/>
        <v/>
      </c>
      <c r="V115" s="53">
        <v>0</v>
      </c>
      <c r="W115" s="87" t="str">
        <f t="shared" si="28"/>
        <v/>
      </c>
      <c r="X115" s="103" t="str">
        <f t="shared" si="29"/>
        <v/>
      </c>
      <c r="Y115" s="53">
        <v>0</v>
      </c>
      <c r="Z115" s="56" t="str">
        <f t="shared" si="30"/>
        <v/>
      </c>
      <c r="AA115" s="56" t="str">
        <f t="shared" si="31"/>
        <v/>
      </c>
      <c r="AB115" s="56" t="str">
        <f t="shared" si="32"/>
        <v/>
      </c>
      <c r="AC115" s="56" t="str">
        <f t="shared" si="33"/>
        <v/>
      </c>
      <c r="AD115" s="56" t="str">
        <f t="shared" si="34"/>
        <v/>
      </c>
      <c r="AE115" s="40"/>
      <c r="AF115" s="40"/>
      <c r="AG115" s="40"/>
      <c r="AH115" s="56" t="str">
        <f t="shared" si="35"/>
        <v/>
      </c>
      <c r="AI115" s="54"/>
      <c r="AJ115" s="54"/>
      <c r="AK115" s="54"/>
      <c r="AL115" s="54"/>
      <c r="AM115" s="54"/>
    </row>
    <row r="116" spans="1:39">
      <c r="A116" s="45" t="str" cm="1">
        <f t="array" ref="A116">IF(H116="PROJECT", CHAR(10) &amp; "- " &amp; _xlfn.TEXTJOIN(CHAR(10) &amp; "- ", TRUE, _xlfn._xlws.FILTER($I$9:$I$1000, ($B$9:$B$1000=B116) * ($H$9:$H$1000="Topic"))), "")</f>
        <v/>
      </c>
      <c r="B116" s="45" t="str">
        <f t="shared" si="19"/>
        <v/>
      </c>
      <c r="C116" s="95"/>
      <c r="D116" s="57"/>
      <c r="E116" s="58"/>
      <c r="F116" s="54"/>
      <c r="G116" s="52"/>
      <c r="H116" s="52"/>
      <c r="I116" s="61"/>
      <c r="J116" s="62"/>
      <c r="K116" s="129" t="str">
        <f t="shared" si="20"/>
        <v/>
      </c>
      <c r="L116" s="103" t="str">
        <f t="shared" si="21"/>
        <v/>
      </c>
      <c r="M116" s="52">
        <v>0</v>
      </c>
      <c r="N116" s="102" t="str">
        <f t="shared" si="22"/>
        <v/>
      </c>
      <c r="O116" s="103" t="str">
        <f t="shared" si="23"/>
        <v/>
      </c>
      <c r="P116" s="52">
        <v>0</v>
      </c>
      <c r="Q116" s="102" t="str">
        <f t="shared" si="24"/>
        <v/>
      </c>
      <c r="R116" s="103" t="str">
        <f t="shared" si="25"/>
        <v/>
      </c>
      <c r="S116" s="52">
        <v>0</v>
      </c>
      <c r="T116" s="102" t="str">
        <f t="shared" si="26"/>
        <v/>
      </c>
      <c r="U116" s="103" t="str">
        <f t="shared" si="27"/>
        <v/>
      </c>
      <c r="V116" s="52">
        <v>0</v>
      </c>
      <c r="W116" s="87" t="str">
        <f t="shared" si="28"/>
        <v/>
      </c>
      <c r="X116" s="103" t="str">
        <f t="shared" si="29"/>
        <v/>
      </c>
      <c r="Y116" s="52">
        <v>0</v>
      </c>
      <c r="Z116" s="56" t="str">
        <f t="shared" si="30"/>
        <v/>
      </c>
      <c r="AA116" s="56" t="str">
        <f t="shared" si="31"/>
        <v/>
      </c>
      <c r="AB116" s="56" t="str">
        <f t="shared" si="32"/>
        <v/>
      </c>
      <c r="AC116" s="56" t="str">
        <f t="shared" si="33"/>
        <v/>
      </c>
      <c r="AD116" s="56" t="str">
        <f t="shared" si="34"/>
        <v/>
      </c>
      <c r="AE116" s="40"/>
      <c r="AF116" s="40"/>
      <c r="AG116" s="40"/>
      <c r="AH116" s="56" t="str">
        <f t="shared" si="35"/>
        <v/>
      </c>
      <c r="AI116" s="54"/>
      <c r="AJ116" s="54"/>
      <c r="AK116" s="54"/>
      <c r="AL116" s="54"/>
      <c r="AM116" s="54"/>
    </row>
    <row r="117" spans="1:39">
      <c r="A117" s="45" t="str" cm="1">
        <f t="array" ref="A117">IF(H117="PROJECT", CHAR(10) &amp; "- " &amp; _xlfn.TEXTJOIN(CHAR(10) &amp; "- ", TRUE, _xlfn._xlws.FILTER($I$9:$I$1000, ($B$9:$B$1000=B117) * ($H$9:$H$1000="Topic"))), "")</f>
        <v/>
      </c>
      <c r="B117" s="45" t="str">
        <f t="shared" si="19"/>
        <v/>
      </c>
      <c r="C117" s="95"/>
      <c r="D117" s="46"/>
      <c r="E117" s="58"/>
      <c r="F117" s="67"/>
      <c r="G117" s="53"/>
      <c r="H117" s="53"/>
      <c r="I117" s="50"/>
      <c r="J117" s="51"/>
      <c r="K117" s="129" t="str">
        <f t="shared" si="20"/>
        <v/>
      </c>
      <c r="L117" s="103" t="str">
        <f t="shared" si="21"/>
        <v/>
      </c>
      <c r="M117" s="53">
        <v>0</v>
      </c>
      <c r="N117" s="102" t="str">
        <f t="shared" si="22"/>
        <v/>
      </c>
      <c r="O117" s="103" t="str">
        <f t="shared" si="23"/>
        <v/>
      </c>
      <c r="P117" s="53">
        <v>0</v>
      </c>
      <c r="Q117" s="102" t="str">
        <f t="shared" si="24"/>
        <v/>
      </c>
      <c r="R117" s="103" t="str">
        <f t="shared" si="25"/>
        <v/>
      </c>
      <c r="S117" s="53">
        <v>0</v>
      </c>
      <c r="T117" s="102" t="str">
        <f t="shared" si="26"/>
        <v/>
      </c>
      <c r="U117" s="103" t="str">
        <f t="shared" si="27"/>
        <v/>
      </c>
      <c r="V117" s="53">
        <v>0</v>
      </c>
      <c r="W117" s="87" t="str">
        <f t="shared" si="28"/>
        <v/>
      </c>
      <c r="X117" s="103" t="str">
        <f t="shared" si="29"/>
        <v/>
      </c>
      <c r="Y117" s="53">
        <v>0</v>
      </c>
      <c r="Z117" s="56" t="str">
        <f t="shared" si="30"/>
        <v/>
      </c>
      <c r="AA117" s="56" t="str">
        <f t="shared" si="31"/>
        <v/>
      </c>
      <c r="AB117" s="56" t="str">
        <f t="shared" si="32"/>
        <v/>
      </c>
      <c r="AC117" s="56" t="str">
        <f t="shared" si="33"/>
        <v/>
      </c>
      <c r="AD117" s="56" t="str">
        <f t="shared" si="34"/>
        <v/>
      </c>
      <c r="AE117" s="40"/>
      <c r="AF117" s="40"/>
      <c r="AG117" s="40"/>
      <c r="AH117" s="56" t="str">
        <f t="shared" si="35"/>
        <v/>
      </c>
      <c r="AI117" s="54"/>
      <c r="AJ117" s="54"/>
      <c r="AK117" s="54"/>
      <c r="AL117" s="54"/>
      <c r="AM117" s="54"/>
    </row>
    <row r="118" spans="1:39">
      <c r="A118" s="45" t="str" cm="1">
        <f t="array" ref="A118">IF(H118="PROJECT", CHAR(10) &amp; "- " &amp; _xlfn.TEXTJOIN(CHAR(10) &amp; "- ", TRUE, _xlfn._xlws.FILTER($I$9:$I$1000, ($B$9:$B$1000=B118) * ($H$9:$H$1000="Topic"))), "")</f>
        <v/>
      </c>
      <c r="B118" s="45" t="str">
        <f t="shared" si="19"/>
        <v/>
      </c>
      <c r="C118" s="95"/>
      <c r="D118" s="57"/>
      <c r="E118" s="58"/>
      <c r="F118" s="54"/>
      <c r="G118" s="52"/>
      <c r="H118" s="52"/>
      <c r="I118" s="61"/>
      <c r="J118" s="62"/>
      <c r="K118" s="129" t="str">
        <f t="shared" si="20"/>
        <v/>
      </c>
      <c r="L118" s="103" t="str">
        <f t="shared" si="21"/>
        <v/>
      </c>
      <c r="M118" s="52">
        <v>0</v>
      </c>
      <c r="N118" s="102" t="str">
        <f t="shared" si="22"/>
        <v/>
      </c>
      <c r="O118" s="103" t="str">
        <f t="shared" si="23"/>
        <v/>
      </c>
      <c r="P118" s="52">
        <v>0</v>
      </c>
      <c r="Q118" s="102" t="str">
        <f t="shared" si="24"/>
        <v/>
      </c>
      <c r="R118" s="103" t="str">
        <f t="shared" si="25"/>
        <v/>
      </c>
      <c r="S118" s="52">
        <v>0</v>
      </c>
      <c r="T118" s="102" t="str">
        <f t="shared" si="26"/>
        <v/>
      </c>
      <c r="U118" s="103" t="str">
        <f t="shared" si="27"/>
        <v/>
      </c>
      <c r="V118" s="52">
        <v>0</v>
      </c>
      <c r="W118" s="87" t="str">
        <f t="shared" si="28"/>
        <v/>
      </c>
      <c r="X118" s="103" t="str">
        <f t="shared" si="29"/>
        <v/>
      </c>
      <c r="Y118" s="52">
        <v>0</v>
      </c>
      <c r="Z118" s="56" t="str">
        <f t="shared" si="30"/>
        <v/>
      </c>
      <c r="AA118" s="56" t="str">
        <f t="shared" si="31"/>
        <v/>
      </c>
      <c r="AB118" s="56" t="str">
        <f t="shared" si="32"/>
        <v/>
      </c>
      <c r="AC118" s="56" t="str">
        <f t="shared" si="33"/>
        <v/>
      </c>
      <c r="AD118" s="56" t="str">
        <f t="shared" si="34"/>
        <v/>
      </c>
      <c r="AE118" s="40"/>
      <c r="AF118" s="40"/>
      <c r="AG118" s="40"/>
      <c r="AH118" s="56" t="str">
        <f t="shared" si="35"/>
        <v/>
      </c>
      <c r="AI118" s="54"/>
      <c r="AJ118" s="54"/>
      <c r="AK118" s="54"/>
      <c r="AL118" s="54"/>
      <c r="AM118" s="54"/>
    </row>
    <row r="119" spans="1:39">
      <c r="A119" s="45" t="str" cm="1">
        <f t="array" ref="A119">IF(H119="PROJECT", CHAR(10) &amp; "- " &amp; _xlfn.TEXTJOIN(CHAR(10) &amp; "- ", TRUE, _xlfn._xlws.FILTER($I$9:$I$1000, ($B$9:$B$1000=B119) * ($H$9:$H$1000="Topic"))), "")</f>
        <v/>
      </c>
      <c r="B119" s="45" t="str">
        <f t="shared" si="19"/>
        <v/>
      </c>
      <c r="C119" s="95"/>
      <c r="D119" s="46"/>
      <c r="E119" s="58"/>
      <c r="F119" s="67"/>
      <c r="G119" s="53"/>
      <c r="H119" s="53"/>
      <c r="I119" s="50"/>
      <c r="J119" s="51"/>
      <c r="K119" s="129" t="str">
        <f t="shared" si="20"/>
        <v/>
      </c>
      <c r="L119" s="103" t="str">
        <f t="shared" si="21"/>
        <v/>
      </c>
      <c r="M119" s="53">
        <v>0</v>
      </c>
      <c r="N119" s="102" t="str">
        <f t="shared" si="22"/>
        <v/>
      </c>
      <c r="O119" s="103" t="str">
        <f t="shared" si="23"/>
        <v/>
      </c>
      <c r="P119" s="53">
        <v>0</v>
      </c>
      <c r="Q119" s="102" t="str">
        <f t="shared" si="24"/>
        <v/>
      </c>
      <c r="R119" s="103" t="str">
        <f t="shared" si="25"/>
        <v/>
      </c>
      <c r="S119" s="53">
        <v>0</v>
      </c>
      <c r="T119" s="102" t="str">
        <f t="shared" si="26"/>
        <v/>
      </c>
      <c r="U119" s="103" t="str">
        <f t="shared" si="27"/>
        <v/>
      </c>
      <c r="V119" s="53">
        <v>0</v>
      </c>
      <c r="W119" s="87" t="str">
        <f t="shared" si="28"/>
        <v/>
      </c>
      <c r="X119" s="103" t="str">
        <f t="shared" si="29"/>
        <v/>
      </c>
      <c r="Y119" s="53">
        <v>0</v>
      </c>
      <c r="Z119" s="56" t="str">
        <f t="shared" si="30"/>
        <v/>
      </c>
      <c r="AA119" s="56" t="str">
        <f t="shared" si="31"/>
        <v/>
      </c>
      <c r="AB119" s="56" t="str">
        <f t="shared" si="32"/>
        <v/>
      </c>
      <c r="AC119" s="56" t="str">
        <f t="shared" si="33"/>
        <v/>
      </c>
      <c r="AD119" s="56" t="str">
        <f t="shared" si="34"/>
        <v/>
      </c>
      <c r="AE119" s="40"/>
      <c r="AF119" s="40"/>
      <c r="AG119" s="40"/>
      <c r="AH119" s="56" t="str">
        <f t="shared" si="35"/>
        <v/>
      </c>
      <c r="AI119" s="54"/>
      <c r="AJ119" s="54"/>
      <c r="AK119" s="54"/>
      <c r="AL119" s="54"/>
      <c r="AM119" s="54"/>
    </row>
    <row r="120" spans="1:39">
      <c r="A120" s="45" t="str" cm="1">
        <f t="array" ref="A120">IF(H120="PROJECT", CHAR(10) &amp; "- " &amp; _xlfn.TEXTJOIN(CHAR(10) &amp; "- ", TRUE, _xlfn._xlws.FILTER($I$9:$I$1000, ($B$9:$B$1000=B120) * ($H$9:$H$1000="Topic"))), "")</f>
        <v/>
      </c>
      <c r="B120" s="45" t="str">
        <f t="shared" si="19"/>
        <v/>
      </c>
      <c r="C120" s="95"/>
      <c r="D120" s="57"/>
      <c r="E120" s="58"/>
      <c r="F120" s="54"/>
      <c r="G120" s="52"/>
      <c r="H120" s="52"/>
      <c r="I120" s="61"/>
      <c r="J120" s="62"/>
      <c r="K120" s="129" t="str">
        <f t="shared" si="20"/>
        <v/>
      </c>
      <c r="L120" s="103" t="str">
        <f t="shared" si="21"/>
        <v/>
      </c>
      <c r="M120" s="52">
        <v>0</v>
      </c>
      <c r="N120" s="102" t="str">
        <f t="shared" si="22"/>
        <v/>
      </c>
      <c r="O120" s="103" t="str">
        <f t="shared" si="23"/>
        <v/>
      </c>
      <c r="P120" s="52">
        <v>0</v>
      </c>
      <c r="Q120" s="102" t="str">
        <f t="shared" si="24"/>
        <v/>
      </c>
      <c r="R120" s="103" t="str">
        <f t="shared" si="25"/>
        <v/>
      </c>
      <c r="S120" s="52">
        <v>0</v>
      </c>
      <c r="T120" s="102" t="str">
        <f t="shared" si="26"/>
        <v/>
      </c>
      <c r="U120" s="103" t="str">
        <f t="shared" si="27"/>
        <v/>
      </c>
      <c r="V120" s="52">
        <v>0</v>
      </c>
      <c r="W120" s="87" t="str">
        <f t="shared" si="28"/>
        <v/>
      </c>
      <c r="X120" s="103" t="str">
        <f t="shared" si="29"/>
        <v/>
      </c>
      <c r="Y120" s="52">
        <v>0</v>
      </c>
      <c r="Z120" s="56" t="str">
        <f t="shared" si="30"/>
        <v/>
      </c>
      <c r="AA120" s="56" t="str">
        <f t="shared" si="31"/>
        <v/>
      </c>
      <c r="AB120" s="56" t="str">
        <f t="shared" si="32"/>
        <v/>
      </c>
      <c r="AC120" s="56" t="str">
        <f t="shared" si="33"/>
        <v/>
      </c>
      <c r="AD120" s="56" t="str">
        <f t="shared" si="34"/>
        <v/>
      </c>
      <c r="AE120" s="40"/>
      <c r="AF120" s="40"/>
      <c r="AG120" s="40"/>
      <c r="AH120" s="56" t="str">
        <f t="shared" si="35"/>
        <v/>
      </c>
      <c r="AI120" s="54"/>
      <c r="AJ120" s="54"/>
      <c r="AK120" s="54"/>
      <c r="AL120" s="54"/>
      <c r="AM120" s="54"/>
    </row>
    <row r="121" spans="1:39">
      <c r="A121" s="45" t="str" cm="1">
        <f t="array" ref="A121">IF(H121="PROJECT", CHAR(10) &amp; "- " &amp; _xlfn.TEXTJOIN(CHAR(10) &amp; "- ", TRUE, _xlfn._xlws.FILTER($I$9:$I$1000, ($B$9:$B$1000=B121) * ($H$9:$H$1000="Topic"))), "")</f>
        <v/>
      </c>
      <c r="B121" s="45" t="str">
        <f t="shared" si="19"/>
        <v/>
      </c>
      <c r="C121" s="95"/>
      <c r="D121" s="46"/>
      <c r="E121" s="58"/>
      <c r="F121" s="67"/>
      <c r="G121" s="53"/>
      <c r="H121" s="53"/>
      <c r="I121" s="50"/>
      <c r="J121" s="51"/>
      <c r="K121" s="129" t="str">
        <f t="shared" si="20"/>
        <v/>
      </c>
      <c r="L121" s="103" t="str">
        <f t="shared" si="21"/>
        <v/>
      </c>
      <c r="M121" s="53">
        <v>0</v>
      </c>
      <c r="N121" s="102" t="str">
        <f t="shared" si="22"/>
        <v/>
      </c>
      <c r="O121" s="103" t="str">
        <f t="shared" si="23"/>
        <v/>
      </c>
      <c r="P121" s="53">
        <v>0</v>
      </c>
      <c r="Q121" s="102" t="str">
        <f t="shared" si="24"/>
        <v/>
      </c>
      <c r="R121" s="103" t="str">
        <f t="shared" si="25"/>
        <v/>
      </c>
      <c r="S121" s="53">
        <v>0</v>
      </c>
      <c r="T121" s="102" t="str">
        <f t="shared" si="26"/>
        <v/>
      </c>
      <c r="U121" s="103" t="str">
        <f t="shared" si="27"/>
        <v/>
      </c>
      <c r="V121" s="53">
        <v>0</v>
      </c>
      <c r="W121" s="87" t="str">
        <f t="shared" si="28"/>
        <v/>
      </c>
      <c r="X121" s="103" t="str">
        <f t="shared" si="29"/>
        <v/>
      </c>
      <c r="Y121" s="53">
        <v>0</v>
      </c>
      <c r="Z121" s="56" t="str">
        <f t="shared" si="30"/>
        <v/>
      </c>
      <c r="AA121" s="56" t="str">
        <f t="shared" si="31"/>
        <v/>
      </c>
      <c r="AB121" s="56" t="str">
        <f t="shared" si="32"/>
        <v/>
      </c>
      <c r="AC121" s="56" t="str">
        <f t="shared" si="33"/>
        <v/>
      </c>
      <c r="AD121" s="56" t="str">
        <f t="shared" si="34"/>
        <v/>
      </c>
      <c r="AE121" s="40"/>
      <c r="AF121" s="40"/>
      <c r="AG121" s="40"/>
      <c r="AH121" s="56" t="str">
        <f t="shared" si="35"/>
        <v/>
      </c>
      <c r="AI121" s="54"/>
      <c r="AJ121" s="54"/>
      <c r="AK121" s="54"/>
      <c r="AL121" s="54"/>
      <c r="AM121" s="54"/>
    </row>
    <row r="122" spans="1:39">
      <c r="A122" s="45" t="str" cm="1">
        <f t="array" ref="A122">IF(H122="PROJECT", CHAR(10) &amp; "- " &amp; _xlfn.TEXTJOIN(CHAR(10) &amp; "- ", TRUE, _xlfn._xlws.FILTER($I$9:$I$1000, ($B$9:$B$1000=B122) * ($H$9:$H$1000="Topic"))), "")</f>
        <v/>
      </c>
      <c r="B122" s="45" t="str">
        <f t="shared" si="19"/>
        <v/>
      </c>
      <c r="C122" s="95"/>
      <c r="D122" s="57"/>
      <c r="E122" s="58"/>
      <c r="F122" s="54"/>
      <c r="G122" s="52"/>
      <c r="H122" s="52"/>
      <c r="I122" s="61"/>
      <c r="J122" s="62"/>
      <c r="K122" s="129" t="str">
        <f t="shared" si="20"/>
        <v/>
      </c>
      <c r="L122" s="103" t="str">
        <f t="shared" si="21"/>
        <v/>
      </c>
      <c r="M122" s="52">
        <v>0</v>
      </c>
      <c r="N122" s="102" t="str">
        <f t="shared" si="22"/>
        <v/>
      </c>
      <c r="O122" s="103" t="str">
        <f t="shared" si="23"/>
        <v/>
      </c>
      <c r="P122" s="52">
        <v>0</v>
      </c>
      <c r="Q122" s="102" t="str">
        <f t="shared" si="24"/>
        <v/>
      </c>
      <c r="R122" s="103" t="str">
        <f t="shared" si="25"/>
        <v/>
      </c>
      <c r="S122" s="52">
        <v>0</v>
      </c>
      <c r="T122" s="102" t="str">
        <f t="shared" si="26"/>
        <v/>
      </c>
      <c r="U122" s="103" t="str">
        <f t="shared" si="27"/>
        <v/>
      </c>
      <c r="V122" s="52">
        <v>0</v>
      </c>
      <c r="W122" s="87" t="str">
        <f t="shared" si="28"/>
        <v/>
      </c>
      <c r="X122" s="103" t="str">
        <f t="shared" si="29"/>
        <v/>
      </c>
      <c r="Y122" s="52">
        <v>0</v>
      </c>
      <c r="Z122" s="56" t="str">
        <f t="shared" si="30"/>
        <v/>
      </c>
      <c r="AA122" s="56" t="str">
        <f t="shared" si="31"/>
        <v/>
      </c>
      <c r="AB122" s="56" t="str">
        <f t="shared" si="32"/>
        <v/>
      </c>
      <c r="AC122" s="56" t="str">
        <f t="shared" si="33"/>
        <v/>
      </c>
      <c r="AD122" s="56" t="str">
        <f t="shared" si="34"/>
        <v/>
      </c>
      <c r="AE122" s="40"/>
      <c r="AF122" s="40"/>
      <c r="AG122" s="40"/>
      <c r="AH122" s="56" t="str">
        <f t="shared" si="35"/>
        <v/>
      </c>
      <c r="AI122" s="54"/>
      <c r="AJ122" s="54"/>
      <c r="AK122" s="54"/>
      <c r="AL122" s="54"/>
      <c r="AM122" s="54"/>
    </row>
    <row r="123" spans="1:39">
      <c r="A123" s="45" t="str" cm="1">
        <f t="array" ref="A123">IF(H123="PROJECT", CHAR(10) &amp; "- " &amp; _xlfn.TEXTJOIN(CHAR(10) &amp; "- ", TRUE, _xlfn._xlws.FILTER($I$9:$I$1000, ($B$9:$B$1000=B123) * ($H$9:$H$1000="Topic"))), "")</f>
        <v/>
      </c>
      <c r="B123" s="45" t="str">
        <f t="shared" si="19"/>
        <v/>
      </c>
      <c r="C123" s="95"/>
      <c r="D123" s="46"/>
      <c r="E123" s="58"/>
      <c r="F123" s="67"/>
      <c r="G123" s="53"/>
      <c r="H123" s="53"/>
      <c r="I123" s="50"/>
      <c r="J123" s="51"/>
      <c r="K123" s="129" t="str">
        <f t="shared" si="20"/>
        <v/>
      </c>
      <c r="L123" s="103" t="str">
        <f t="shared" si="21"/>
        <v/>
      </c>
      <c r="M123" s="53">
        <v>0</v>
      </c>
      <c r="N123" s="102" t="str">
        <f t="shared" si="22"/>
        <v/>
      </c>
      <c r="O123" s="103" t="str">
        <f t="shared" si="23"/>
        <v/>
      </c>
      <c r="P123" s="53">
        <v>0</v>
      </c>
      <c r="Q123" s="102" t="str">
        <f t="shared" si="24"/>
        <v/>
      </c>
      <c r="R123" s="103" t="str">
        <f t="shared" si="25"/>
        <v/>
      </c>
      <c r="S123" s="53">
        <v>0</v>
      </c>
      <c r="T123" s="102" t="str">
        <f t="shared" si="26"/>
        <v/>
      </c>
      <c r="U123" s="103" t="str">
        <f t="shared" si="27"/>
        <v/>
      </c>
      <c r="V123" s="53">
        <v>0</v>
      </c>
      <c r="W123" s="87" t="str">
        <f t="shared" si="28"/>
        <v/>
      </c>
      <c r="X123" s="103" t="str">
        <f t="shared" si="29"/>
        <v/>
      </c>
      <c r="Y123" s="53">
        <v>0</v>
      </c>
      <c r="Z123" s="56" t="str">
        <f t="shared" si="30"/>
        <v/>
      </c>
      <c r="AA123" s="56" t="str">
        <f t="shared" si="31"/>
        <v/>
      </c>
      <c r="AB123" s="56" t="str">
        <f t="shared" si="32"/>
        <v/>
      </c>
      <c r="AC123" s="56" t="str">
        <f t="shared" si="33"/>
        <v/>
      </c>
      <c r="AD123" s="56" t="str">
        <f t="shared" si="34"/>
        <v/>
      </c>
      <c r="AE123" s="40"/>
      <c r="AF123" s="40"/>
      <c r="AG123" s="40"/>
      <c r="AH123" s="56" t="str">
        <f t="shared" si="35"/>
        <v/>
      </c>
      <c r="AI123" s="54"/>
      <c r="AJ123" s="54"/>
      <c r="AK123" s="54"/>
      <c r="AL123" s="54"/>
      <c r="AM123" s="54"/>
    </row>
    <row r="124" spans="1:39">
      <c r="A124" s="45" t="str" cm="1">
        <f t="array" ref="A124">IF(H124="PROJECT", CHAR(10) &amp; "- " &amp; _xlfn.TEXTJOIN(CHAR(10) &amp; "- ", TRUE, _xlfn._xlws.FILTER($I$9:$I$1000, ($B$9:$B$1000=B124) * ($H$9:$H$1000="Topic"))), "")</f>
        <v/>
      </c>
      <c r="B124" s="45" t="str">
        <f t="shared" si="19"/>
        <v/>
      </c>
      <c r="C124" s="95"/>
      <c r="D124" s="57"/>
      <c r="E124" s="58"/>
      <c r="F124" s="54"/>
      <c r="G124" s="52"/>
      <c r="H124" s="52"/>
      <c r="I124" s="61"/>
      <c r="J124" s="62"/>
      <c r="K124" s="129" t="str">
        <f t="shared" si="20"/>
        <v/>
      </c>
      <c r="L124" s="103" t="str">
        <f t="shared" si="21"/>
        <v/>
      </c>
      <c r="M124" s="52">
        <v>0</v>
      </c>
      <c r="N124" s="102" t="str">
        <f t="shared" si="22"/>
        <v/>
      </c>
      <c r="O124" s="103" t="str">
        <f t="shared" si="23"/>
        <v/>
      </c>
      <c r="P124" s="52">
        <v>0</v>
      </c>
      <c r="Q124" s="102" t="str">
        <f t="shared" si="24"/>
        <v/>
      </c>
      <c r="R124" s="103" t="str">
        <f t="shared" si="25"/>
        <v/>
      </c>
      <c r="S124" s="52">
        <v>0</v>
      </c>
      <c r="T124" s="102" t="str">
        <f t="shared" si="26"/>
        <v/>
      </c>
      <c r="U124" s="103" t="str">
        <f t="shared" si="27"/>
        <v/>
      </c>
      <c r="V124" s="52">
        <v>0</v>
      </c>
      <c r="W124" s="87" t="str">
        <f t="shared" si="28"/>
        <v/>
      </c>
      <c r="X124" s="103" t="str">
        <f t="shared" si="29"/>
        <v/>
      </c>
      <c r="Y124" s="52">
        <v>0</v>
      </c>
      <c r="Z124" s="56" t="str">
        <f t="shared" si="30"/>
        <v/>
      </c>
      <c r="AA124" s="56" t="str">
        <f t="shared" si="31"/>
        <v/>
      </c>
      <c r="AB124" s="56" t="str">
        <f t="shared" si="32"/>
        <v/>
      </c>
      <c r="AC124" s="56" t="str">
        <f t="shared" si="33"/>
        <v/>
      </c>
      <c r="AD124" s="56" t="str">
        <f t="shared" si="34"/>
        <v/>
      </c>
      <c r="AE124" s="40"/>
      <c r="AF124" s="40"/>
      <c r="AG124" s="40"/>
      <c r="AH124" s="56" t="str">
        <f t="shared" si="35"/>
        <v/>
      </c>
      <c r="AI124" s="54"/>
      <c r="AJ124" s="54"/>
      <c r="AK124" s="54"/>
      <c r="AL124" s="54"/>
      <c r="AM124" s="54"/>
    </row>
    <row r="125" spans="1:39">
      <c r="A125" s="45" t="str" cm="1">
        <f t="array" ref="A125">IF(H125="PROJECT", CHAR(10) &amp; "- " &amp; _xlfn.TEXTJOIN(CHAR(10) &amp; "- ", TRUE, _xlfn._xlws.FILTER($I$9:$I$1000, ($B$9:$B$1000=B125) * ($H$9:$H$1000="Topic"))), "")</f>
        <v/>
      </c>
      <c r="B125" s="45" t="str">
        <f t="shared" si="19"/>
        <v/>
      </c>
      <c r="C125" s="95"/>
      <c r="D125" s="46"/>
      <c r="E125" s="58"/>
      <c r="F125" s="67"/>
      <c r="G125" s="53"/>
      <c r="H125" s="53"/>
      <c r="I125" s="50"/>
      <c r="J125" s="51"/>
      <c r="K125" s="129" t="str">
        <f t="shared" si="20"/>
        <v/>
      </c>
      <c r="L125" s="103" t="str">
        <f t="shared" si="21"/>
        <v/>
      </c>
      <c r="M125" s="53">
        <v>0</v>
      </c>
      <c r="N125" s="102" t="str">
        <f t="shared" si="22"/>
        <v/>
      </c>
      <c r="O125" s="103" t="str">
        <f t="shared" si="23"/>
        <v/>
      </c>
      <c r="P125" s="53">
        <v>0</v>
      </c>
      <c r="Q125" s="102" t="str">
        <f t="shared" si="24"/>
        <v/>
      </c>
      <c r="R125" s="103" t="str">
        <f t="shared" si="25"/>
        <v/>
      </c>
      <c r="S125" s="53">
        <v>0</v>
      </c>
      <c r="T125" s="102" t="str">
        <f t="shared" si="26"/>
        <v/>
      </c>
      <c r="U125" s="103" t="str">
        <f t="shared" si="27"/>
        <v/>
      </c>
      <c r="V125" s="53">
        <v>0</v>
      </c>
      <c r="W125" s="87" t="str">
        <f t="shared" si="28"/>
        <v/>
      </c>
      <c r="X125" s="103" t="str">
        <f t="shared" si="29"/>
        <v/>
      </c>
      <c r="Y125" s="53">
        <v>0</v>
      </c>
      <c r="Z125" s="56" t="str">
        <f t="shared" si="30"/>
        <v/>
      </c>
      <c r="AA125" s="56" t="str">
        <f t="shared" si="31"/>
        <v/>
      </c>
      <c r="AB125" s="56" t="str">
        <f t="shared" si="32"/>
        <v/>
      </c>
      <c r="AC125" s="56" t="str">
        <f t="shared" si="33"/>
        <v/>
      </c>
      <c r="AD125" s="56" t="str">
        <f t="shared" si="34"/>
        <v/>
      </c>
      <c r="AE125" s="40"/>
      <c r="AF125" s="40"/>
      <c r="AG125" s="40"/>
      <c r="AH125" s="56" t="str">
        <f t="shared" si="35"/>
        <v/>
      </c>
      <c r="AI125" s="54"/>
      <c r="AJ125" s="54"/>
      <c r="AK125" s="54"/>
      <c r="AL125" s="54"/>
      <c r="AM125" s="54"/>
    </row>
    <row r="126" spans="1:39">
      <c r="A126" s="45" t="str" cm="1">
        <f t="array" ref="A126">IF(H126="PROJECT", CHAR(10) &amp; "- " &amp; _xlfn.TEXTJOIN(CHAR(10) &amp; "- ", TRUE, _xlfn._xlws.FILTER($I$9:$I$1000, ($B$9:$B$1000=B126) * ($H$9:$H$1000="Topic"))), "")</f>
        <v/>
      </c>
      <c r="B126" s="45" t="str">
        <f t="shared" si="19"/>
        <v/>
      </c>
      <c r="C126" s="95"/>
      <c r="D126" s="57"/>
      <c r="E126" s="58"/>
      <c r="F126" s="54"/>
      <c r="G126" s="52"/>
      <c r="H126" s="52"/>
      <c r="I126" s="61"/>
      <c r="J126" s="62"/>
      <c r="K126" s="129" t="str">
        <f t="shared" si="20"/>
        <v/>
      </c>
      <c r="L126" s="103" t="str">
        <f t="shared" si="21"/>
        <v/>
      </c>
      <c r="M126" s="52">
        <v>0</v>
      </c>
      <c r="N126" s="102" t="str">
        <f t="shared" si="22"/>
        <v/>
      </c>
      <c r="O126" s="103" t="str">
        <f t="shared" si="23"/>
        <v/>
      </c>
      <c r="P126" s="52">
        <v>0</v>
      </c>
      <c r="Q126" s="102" t="str">
        <f t="shared" si="24"/>
        <v/>
      </c>
      <c r="R126" s="103" t="str">
        <f t="shared" si="25"/>
        <v/>
      </c>
      <c r="S126" s="52">
        <v>0</v>
      </c>
      <c r="T126" s="102" t="str">
        <f t="shared" si="26"/>
        <v/>
      </c>
      <c r="U126" s="103" t="str">
        <f t="shared" si="27"/>
        <v/>
      </c>
      <c r="V126" s="52">
        <v>0</v>
      </c>
      <c r="W126" s="87" t="str">
        <f t="shared" si="28"/>
        <v/>
      </c>
      <c r="X126" s="103" t="str">
        <f t="shared" si="29"/>
        <v/>
      </c>
      <c r="Y126" s="52">
        <v>0</v>
      </c>
      <c r="Z126" s="56" t="str">
        <f t="shared" si="30"/>
        <v/>
      </c>
      <c r="AA126" s="56" t="str">
        <f t="shared" si="31"/>
        <v/>
      </c>
      <c r="AB126" s="56" t="str">
        <f t="shared" si="32"/>
        <v/>
      </c>
      <c r="AC126" s="56" t="str">
        <f t="shared" si="33"/>
        <v/>
      </c>
      <c r="AD126" s="56" t="str">
        <f t="shared" si="34"/>
        <v/>
      </c>
      <c r="AE126" s="40"/>
      <c r="AF126" s="40"/>
      <c r="AG126" s="40"/>
      <c r="AH126" s="56" t="str">
        <f t="shared" si="35"/>
        <v/>
      </c>
      <c r="AI126" s="54"/>
      <c r="AJ126" s="54"/>
      <c r="AK126" s="54"/>
      <c r="AL126" s="54"/>
      <c r="AM126" s="54"/>
    </row>
    <row r="127" spans="1:39">
      <c r="A127" s="45" t="str" cm="1">
        <f t="array" ref="A127">IF(H127="PROJECT", CHAR(10) &amp; "- " &amp; _xlfn.TEXTJOIN(CHAR(10) &amp; "- ", TRUE, _xlfn._xlws.FILTER($I$9:$I$1000, ($B$9:$B$1000=B127) * ($H$9:$H$1000="Topic"))), "")</f>
        <v/>
      </c>
      <c r="B127" s="45" t="str">
        <f t="shared" si="19"/>
        <v/>
      </c>
      <c r="C127" s="95"/>
      <c r="D127" s="46"/>
      <c r="E127" s="58"/>
      <c r="F127" s="67"/>
      <c r="G127" s="53"/>
      <c r="H127" s="53"/>
      <c r="I127" s="50"/>
      <c r="J127" s="51"/>
      <c r="K127" s="129" t="str">
        <f t="shared" si="20"/>
        <v/>
      </c>
      <c r="L127" s="103" t="str">
        <f t="shared" si="21"/>
        <v/>
      </c>
      <c r="M127" s="53">
        <v>0</v>
      </c>
      <c r="N127" s="102" t="str">
        <f t="shared" si="22"/>
        <v/>
      </c>
      <c r="O127" s="103" t="str">
        <f t="shared" si="23"/>
        <v/>
      </c>
      <c r="P127" s="53">
        <v>0</v>
      </c>
      <c r="Q127" s="102" t="str">
        <f t="shared" si="24"/>
        <v/>
      </c>
      <c r="R127" s="103" t="str">
        <f t="shared" si="25"/>
        <v/>
      </c>
      <c r="S127" s="53">
        <v>0</v>
      </c>
      <c r="T127" s="102" t="str">
        <f t="shared" si="26"/>
        <v/>
      </c>
      <c r="U127" s="103" t="str">
        <f t="shared" si="27"/>
        <v/>
      </c>
      <c r="V127" s="53">
        <v>0</v>
      </c>
      <c r="W127" s="87" t="str">
        <f t="shared" si="28"/>
        <v/>
      </c>
      <c r="X127" s="103" t="str">
        <f t="shared" si="29"/>
        <v/>
      </c>
      <c r="Y127" s="53">
        <v>0</v>
      </c>
      <c r="Z127" s="56" t="str">
        <f t="shared" si="30"/>
        <v/>
      </c>
      <c r="AA127" s="56" t="str">
        <f t="shared" si="31"/>
        <v/>
      </c>
      <c r="AB127" s="56" t="str">
        <f t="shared" si="32"/>
        <v/>
      </c>
      <c r="AC127" s="56" t="str">
        <f t="shared" si="33"/>
        <v/>
      </c>
      <c r="AD127" s="56" t="str">
        <f t="shared" si="34"/>
        <v/>
      </c>
      <c r="AE127" s="40"/>
      <c r="AF127" s="40"/>
      <c r="AG127" s="40"/>
      <c r="AH127" s="56" t="str">
        <f t="shared" si="35"/>
        <v/>
      </c>
      <c r="AI127" s="54"/>
      <c r="AJ127" s="54"/>
      <c r="AK127" s="54"/>
      <c r="AL127" s="54"/>
      <c r="AM127" s="54"/>
    </row>
    <row r="128" spans="1:39">
      <c r="A128" s="45" t="str" cm="1">
        <f t="array" ref="A128">IF(H128="PROJECT", CHAR(10) &amp; "- " &amp; _xlfn.TEXTJOIN(CHAR(10) &amp; "- ", TRUE, _xlfn._xlws.FILTER($I$9:$I$1000, ($B$9:$B$1000=B128) * ($H$9:$H$1000="Topic"))), "")</f>
        <v/>
      </c>
      <c r="B128" s="45" t="str">
        <f t="shared" si="19"/>
        <v/>
      </c>
      <c r="C128" s="95"/>
      <c r="D128" s="57"/>
      <c r="E128" s="58"/>
      <c r="F128" s="54"/>
      <c r="G128" s="52"/>
      <c r="H128" s="52"/>
      <c r="I128" s="61"/>
      <c r="J128" s="62"/>
      <c r="K128" s="129" t="str">
        <f t="shared" si="20"/>
        <v/>
      </c>
      <c r="L128" s="103" t="str">
        <f t="shared" si="21"/>
        <v/>
      </c>
      <c r="M128" s="52">
        <v>0</v>
      </c>
      <c r="N128" s="102" t="str">
        <f t="shared" si="22"/>
        <v/>
      </c>
      <c r="O128" s="103" t="str">
        <f t="shared" si="23"/>
        <v/>
      </c>
      <c r="P128" s="52">
        <v>0</v>
      </c>
      <c r="Q128" s="102" t="str">
        <f t="shared" si="24"/>
        <v/>
      </c>
      <c r="R128" s="103" t="str">
        <f t="shared" si="25"/>
        <v/>
      </c>
      <c r="S128" s="52">
        <v>0</v>
      </c>
      <c r="T128" s="102" t="str">
        <f t="shared" si="26"/>
        <v/>
      </c>
      <c r="U128" s="103" t="str">
        <f t="shared" si="27"/>
        <v/>
      </c>
      <c r="V128" s="52">
        <v>0</v>
      </c>
      <c r="W128" s="87" t="str">
        <f t="shared" si="28"/>
        <v/>
      </c>
      <c r="X128" s="103" t="str">
        <f t="shared" si="29"/>
        <v/>
      </c>
      <c r="Y128" s="52">
        <v>0</v>
      </c>
      <c r="Z128" s="56" t="str">
        <f t="shared" si="30"/>
        <v/>
      </c>
      <c r="AA128" s="56" t="str">
        <f t="shared" si="31"/>
        <v/>
      </c>
      <c r="AB128" s="56" t="str">
        <f t="shared" si="32"/>
        <v/>
      </c>
      <c r="AC128" s="56" t="str">
        <f t="shared" si="33"/>
        <v/>
      </c>
      <c r="AD128" s="56" t="str">
        <f t="shared" si="34"/>
        <v/>
      </c>
      <c r="AE128" s="40"/>
      <c r="AF128" s="40"/>
      <c r="AG128" s="40"/>
      <c r="AH128" s="56" t="str">
        <f t="shared" si="35"/>
        <v/>
      </c>
      <c r="AI128" s="54"/>
      <c r="AJ128" s="54"/>
      <c r="AK128" s="54"/>
      <c r="AL128" s="54"/>
      <c r="AM128" s="54"/>
    </row>
    <row r="129" spans="1:39">
      <c r="A129" s="45" t="str" cm="1">
        <f t="array" ref="A129">IF(H129="PROJECT", CHAR(10) &amp; "- " &amp; _xlfn.TEXTJOIN(CHAR(10) &amp; "- ", TRUE, _xlfn._xlws.FILTER($I$9:$I$1000, ($B$9:$B$1000=B129) * ($H$9:$H$1000="Topic"))), "")</f>
        <v/>
      </c>
      <c r="B129" s="45" t="str">
        <f t="shared" si="19"/>
        <v/>
      </c>
      <c r="C129" s="95"/>
      <c r="D129" s="46"/>
      <c r="E129" s="58"/>
      <c r="F129" s="67"/>
      <c r="G129" s="53"/>
      <c r="H129" s="53"/>
      <c r="I129" s="50"/>
      <c r="J129" s="51"/>
      <c r="K129" s="129" t="str">
        <f t="shared" si="20"/>
        <v/>
      </c>
      <c r="L129" s="103" t="str">
        <f t="shared" si="21"/>
        <v/>
      </c>
      <c r="M129" s="53">
        <v>0</v>
      </c>
      <c r="N129" s="102" t="str">
        <f t="shared" si="22"/>
        <v/>
      </c>
      <c r="O129" s="103" t="str">
        <f t="shared" si="23"/>
        <v/>
      </c>
      <c r="P129" s="53">
        <v>0</v>
      </c>
      <c r="Q129" s="102" t="str">
        <f t="shared" si="24"/>
        <v/>
      </c>
      <c r="R129" s="103" t="str">
        <f t="shared" si="25"/>
        <v/>
      </c>
      <c r="S129" s="53">
        <v>0</v>
      </c>
      <c r="T129" s="102" t="str">
        <f t="shared" si="26"/>
        <v/>
      </c>
      <c r="U129" s="103" t="str">
        <f t="shared" si="27"/>
        <v/>
      </c>
      <c r="V129" s="53">
        <v>0</v>
      </c>
      <c r="W129" s="87" t="str">
        <f t="shared" si="28"/>
        <v/>
      </c>
      <c r="X129" s="103" t="str">
        <f t="shared" si="29"/>
        <v/>
      </c>
      <c r="Y129" s="53">
        <v>0</v>
      </c>
      <c r="Z129" s="56" t="str">
        <f t="shared" si="30"/>
        <v/>
      </c>
      <c r="AA129" s="56" t="str">
        <f t="shared" si="31"/>
        <v/>
      </c>
      <c r="AB129" s="56" t="str">
        <f t="shared" si="32"/>
        <v/>
      </c>
      <c r="AC129" s="56" t="str">
        <f t="shared" si="33"/>
        <v/>
      </c>
      <c r="AD129" s="56" t="str">
        <f t="shared" si="34"/>
        <v/>
      </c>
      <c r="AE129" s="40"/>
      <c r="AF129" s="40"/>
      <c r="AG129" s="40"/>
      <c r="AH129" s="56" t="str">
        <f t="shared" si="35"/>
        <v/>
      </c>
      <c r="AI129" s="54"/>
      <c r="AJ129" s="54"/>
      <c r="AK129" s="54"/>
      <c r="AL129" s="54"/>
      <c r="AM129" s="54"/>
    </row>
    <row r="130" spans="1:39">
      <c r="A130" s="45" t="str" cm="1">
        <f t="array" ref="A130">IF(H130="PROJECT", CHAR(10) &amp; "- " &amp; _xlfn.TEXTJOIN(CHAR(10) &amp; "- ", TRUE, _xlfn._xlws.FILTER($I$9:$I$1000, ($B$9:$B$1000=B130) * ($H$9:$H$1000="Topic"))), "")</f>
        <v/>
      </c>
      <c r="B130" s="45" t="str">
        <f t="shared" si="19"/>
        <v/>
      </c>
      <c r="C130" s="95"/>
      <c r="D130" s="57"/>
      <c r="E130" s="58"/>
      <c r="F130" s="54"/>
      <c r="G130" s="52"/>
      <c r="H130" s="52"/>
      <c r="I130" s="61"/>
      <c r="J130" s="62"/>
      <c r="K130" s="129" t="str">
        <f t="shared" si="20"/>
        <v/>
      </c>
      <c r="L130" s="103" t="str">
        <f t="shared" si="21"/>
        <v/>
      </c>
      <c r="M130" s="52">
        <v>0</v>
      </c>
      <c r="N130" s="102" t="str">
        <f t="shared" si="22"/>
        <v/>
      </c>
      <c r="O130" s="103" t="str">
        <f t="shared" si="23"/>
        <v/>
      </c>
      <c r="P130" s="52">
        <v>0</v>
      </c>
      <c r="Q130" s="102" t="str">
        <f t="shared" si="24"/>
        <v/>
      </c>
      <c r="R130" s="103" t="str">
        <f t="shared" si="25"/>
        <v/>
      </c>
      <c r="S130" s="52">
        <v>0</v>
      </c>
      <c r="T130" s="102" t="str">
        <f t="shared" si="26"/>
        <v/>
      </c>
      <c r="U130" s="103" t="str">
        <f t="shared" si="27"/>
        <v/>
      </c>
      <c r="V130" s="52">
        <v>0</v>
      </c>
      <c r="W130" s="87" t="str">
        <f t="shared" si="28"/>
        <v/>
      </c>
      <c r="X130" s="103" t="str">
        <f t="shared" si="29"/>
        <v/>
      </c>
      <c r="Y130" s="52">
        <v>0</v>
      </c>
      <c r="Z130" s="56" t="str">
        <f t="shared" si="30"/>
        <v/>
      </c>
      <c r="AA130" s="56" t="str">
        <f t="shared" si="31"/>
        <v/>
      </c>
      <c r="AB130" s="56" t="str">
        <f t="shared" si="32"/>
        <v/>
      </c>
      <c r="AC130" s="56" t="str">
        <f t="shared" si="33"/>
        <v/>
      </c>
      <c r="AD130" s="56" t="str">
        <f t="shared" si="34"/>
        <v/>
      </c>
      <c r="AE130" s="40"/>
      <c r="AF130" s="40"/>
      <c r="AG130" s="40"/>
      <c r="AH130" s="56" t="str">
        <f t="shared" si="35"/>
        <v/>
      </c>
      <c r="AI130" s="54"/>
      <c r="AJ130" s="54"/>
      <c r="AK130" s="54"/>
      <c r="AL130" s="54"/>
      <c r="AM130" s="54"/>
    </row>
    <row r="131" spans="1:39">
      <c r="A131" s="45" t="str" cm="1">
        <f t="array" ref="A131">IF(H131="PROJECT", CHAR(10) &amp; "- " &amp; _xlfn.TEXTJOIN(CHAR(10) &amp; "- ", TRUE, _xlfn._xlws.FILTER($I$9:$I$1000, ($B$9:$B$1000=B131) * ($H$9:$H$1000="Topic"))), "")</f>
        <v/>
      </c>
      <c r="B131" s="45" t="str">
        <f t="shared" si="19"/>
        <v/>
      </c>
      <c r="C131" s="95"/>
      <c r="D131" s="46"/>
      <c r="E131" s="58"/>
      <c r="F131" s="67"/>
      <c r="G131" s="53"/>
      <c r="H131" s="53"/>
      <c r="I131" s="50"/>
      <c r="J131" s="51"/>
      <c r="K131" s="129" t="str">
        <f t="shared" si="20"/>
        <v/>
      </c>
      <c r="L131" s="103" t="str">
        <f t="shared" si="21"/>
        <v/>
      </c>
      <c r="M131" s="53">
        <v>0</v>
      </c>
      <c r="N131" s="102" t="str">
        <f t="shared" si="22"/>
        <v/>
      </c>
      <c r="O131" s="103" t="str">
        <f t="shared" si="23"/>
        <v/>
      </c>
      <c r="P131" s="53">
        <v>0</v>
      </c>
      <c r="Q131" s="102" t="str">
        <f t="shared" si="24"/>
        <v/>
      </c>
      <c r="R131" s="103" t="str">
        <f t="shared" si="25"/>
        <v/>
      </c>
      <c r="S131" s="53">
        <v>0</v>
      </c>
      <c r="T131" s="102" t="str">
        <f t="shared" si="26"/>
        <v/>
      </c>
      <c r="U131" s="103" t="str">
        <f t="shared" si="27"/>
        <v/>
      </c>
      <c r="V131" s="53">
        <v>0</v>
      </c>
      <c r="W131" s="87" t="str">
        <f t="shared" si="28"/>
        <v/>
      </c>
      <c r="X131" s="103" t="str">
        <f t="shared" si="29"/>
        <v/>
      </c>
      <c r="Y131" s="53">
        <v>0</v>
      </c>
      <c r="Z131" s="56" t="str">
        <f t="shared" si="30"/>
        <v/>
      </c>
      <c r="AA131" s="56" t="str">
        <f t="shared" si="31"/>
        <v/>
      </c>
      <c r="AB131" s="56" t="str">
        <f t="shared" si="32"/>
        <v/>
      </c>
      <c r="AC131" s="56" t="str">
        <f t="shared" si="33"/>
        <v/>
      </c>
      <c r="AD131" s="56" t="str">
        <f t="shared" si="34"/>
        <v/>
      </c>
      <c r="AE131" s="40"/>
      <c r="AF131" s="40"/>
      <c r="AG131" s="40"/>
      <c r="AH131" s="56" t="str">
        <f t="shared" si="35"/>
        <v/>
      </c>
      <c r="AI131" s="54"/>
      <c r="AJ131" s="54"/>
      <c r="AK131" s="54"/>
      <c r="AL131" s="54"/>
      <c r="AM131" s="54"/>
    </row>
    <row r="132" spans="1:39">
      <c r="A132" s="45" t="str" cm="1">
        <f t="array" ref="A132">IF(H132="PROJECT", CHAR(10) &amp; "- " &amp; _xlfn.TEXTJOIN(CHAR(10) &amp; "- ", TRUE, _xlfn._xlws.FILTER($I$9:$I$1000, ($B$9:$B$1000=B132) * ($H$9:$H$1000="Topic"))), "")</f>
        <v/>
      </c>
      <c r="B132" s="45" t="str">
        <f t="shared" si="19"/>
        <v/>
      </c>
      <c r="C132" s="95"/>
      <c r="D132" s="57"/>
      <c r="E132" s="58"/>
      <c r="F132" s="54"/>
      <c r="G132" s="52"/>
      <c r="H132" s="52"/>
      <c r="I132" s="61"/>
      <c r="J132" s="62"/>
      <c r="K132" s="129" t="str">
        <f t="shared" si="20"/>
        <v/>
      </c>
      <c r="L132" s="103" t="str">
        <f t="shared" si="21"/>
        <v/>
      </c>
      <c r="M132" s="52">
        <v>0</v>
      </c>
      <c r="N132" s="102" t="str">
        <f t="shared" si="22"/>
        <v/>
      </c>
      <c r="O132" s="103" t="str">
        <f t="shared" si="23"/>
        <v/>
      </c>
      <c r="P132" s="52">
        <v>0</v>
      </c>
      <c r="Q132" s="102" t="str">
        <f t="shared" si="24"/>
        <v/>
      </c>
      <c r="R132" s="103" t="str">
        <f t="shared" si="25"/>
        <v/>
      </c>
      <c r="S132" s="52">
        <v>0</v>
      </c>
      <c r="T132" s="102" t="str">
        <f t="shared" si="26"/>
        <v/>
      </c>
      <c r="U132" s="103" t="str">
        <f t="shared" si="27"/>
        <v/>
      </c>
      <c r="V132" s="52">
        <v>0</v>
      </c>
      <c r="W132" s="87" t="str">
        <f t="shared" si="28"/>
        <v/>
      </c>
      <c r="X132" s="103" t="str">
        <f t="shared" si="29"/>
        <v/>
      </c>
      <c r="Y132" s="52">
        <v>0</v>
      </c>
      <c r="Z132" s="56" t="str">
        <f t="shared" si="30"/>
        <v/>
      </c>
      <c r="AA132" s="56" t="str">
        <f t="shared" si="31"/>
        <v/>
      </c>
      <c r="AB132" s="56" t="str">
        <f t="shared" si="32"/>
        <v/>
      </c>
      <c r="AC132" s="56" t="str">
        <f t="shared" si="33"/>
        <v/>
      </c>
      <c r="AD132" s="56" t="str">
        <f t="shared" si="34"/>
        <v/>
      </c>
      <c r="AE132" s="40"/>
      <c r="AF132" s="40"/>
      <c r="AG132" s="40"/>
      <c r="AH132" s="56" t="str">
        <f t="shared" si="35"/>
        <v/>
      </c>
      <c r="AI132" s="54"/>
      <c r="AJ132" s="54"/>
      <c r="AK132" s="54"/>
      <c r="AL132" s="54"/>
      <c r="AM132" s="54"/>
    </row>
    <row r="133" spans="1:39">
      <c r="A133" s="45" t="str" cm="1">
        <f t="array" ref="A133">IF(H133="PROJECT", CHAR(10) &amp; "- " &amp; _xlfn.TEXTJOIN(CHAR(10) &amp; "- ", TRUE, _xlfn._xlws.FILTER($I$9:$I$1000, ($B$9:$B$1000=B133) * ($H$9:$H$1000="Topic"))), "")</f>
        <v/>
      </c>
      <c r="B133" s="45" t="str">
        <f t="shared" si="19"/>
        <v/>
      </c>
      <c r="C133" s="95"/>
      <c r="D133" s="46"/>
      <c r="E133" s="58"/>
      <c r="F133" s="67"/>
      <c r="G133" s="53"/>
      <c r="H133" s="53"/>
      <c r="I133" s="50"/>
      <c r="J133" s="51"/>
      <c r="K133" s="129" t="str">
        <f t="shared" si="20"/>
        <v/>
      </c>
      <c r="L133" s="103" t="str">
        <f t="shared" si="21"/>
        <v/>
      </c>
      <c r="M133" s="53">
        <v>0</v>
      </c>
      <c r="N133" s="102" t="str">
        <f t="shared" si="22"/>
        <v/>
      </c>
      <c r="O133" s="103" t="str">
        <f t="shared" si="23"/>
        <v/>
      </c>
      <c r="P133" s="53">
        <v>0</v>
      </c>
      <c r="Q133" s="102" t="str">
        <f t="shared" si="24"/>
        <v/>
      </c>
      <c r="R133" s="103" t="str">
        <f t="shared" si="25"/>
        <v/>
      </c>
      <c r="S133" s="53">
        <v>0</v>
      </c>
      <c r="T133" s="102" t="str">
        <f t="shared" si="26"/>
        <v/>
      </c>
      <c r="U133" s="103" t="str">
        <f t="shared" si="27"/>
        <v/>
      </c>
      <c r="V133" s="53">
        <v>0</v>
      </c>
      <c r="W133" s="87" t="str">
        <f t="shared" si="28"/>
        <v/>
      </c>
      <c r="X133" s="103" t="str">
        <f t="shared" si="29"/>
        <v/>
      </c>
      <c r="Y133" s="53">
        <v>0</v>
      </c>
      <c r="Z133" s="56" t="str">
        <f t="shared" si="30"/>
        <v/>
      </c>
      <c r="AA133" s="56" t="str">
        <f t="shared" si="31"/>
        <v/>
      </c>
      <c r="AB133" s="56" t="str">
        <f t="shared" si="32"/>
        <v/>
      </c>
      <c r="AC133" s="56" t="str">
        <f t="shared" si="33"/>
        <v/>
      </c>
      <c r="AD133" s="56" t="str">
        <f t="shared" si="34"/>
        <v/>
      </c>
      <c r="AE133" s="40"/>
      <c r="AF133" s="40"/>
      <c r="AG133" s="40"/>
      <c r="AH133" s="56" t="str">
        <f t="shared" si="35"/>
        <v/>
      </c>
      <c r="AI133" s="54"/>
      <c r="AJ133" s="54"/>
      <c r="AK133" s="54"/>
      <c r="AL133" s="54"/>
      <c r="AM133" s="54"/>
    </row>
    <row r="134" spans="1:39">
      <c r="A134" s="45" t="str" cm="1">
        <f t="array" ref="A134">IF(H134="PROJECT", CHAR(10) &amp; "- " &amp; _xlfn.TEXTJOIN(CHAR(10) &amp; "- ", TRUE, _xlfn._xlws.FILTER($I$9:$I$1000, ($B$9:$B$1000=B134) * ($H$9:$H$1000="Topic"))), "")</f>
        <v/>
      </c>
      <c r="B134" s="45" t="str">
        <f t="shared" si="19"/>
        <v/>
      </c>
      <c r="C134" s="95"/>
      <c r="D134" s="57"/>
      <c r="E134" s="58"/>
      <c r="F134" s="54"/>
      <c r="G134" s="52"/>
      <c r="H134" s="52"/>
      <c r="I134" s="61"/>
      <c r="J134" s="62"/>
      <c r="K134" s="129" t="str">
        <f t="shared" si="20"/>
        <v/>
      </c>
      <c r="L134" s="103" t="str">
        <f t="shared" si="21"/>
        <v/>
      </c>
      <c r="M134" s="52">
        <v>0</v>
      </c>
      <c r="N134" s="102" t="str">
        <f t="shared" si="22"/>
        <v/>
      </c>
      <c r="O134" s="103" t="str">
        <f t="shared" si="23"/>
        <v/>
      </c>
      <c r="P134" s="52">
        <v>0</v>
      </c>
      <c r="Q134" s="102" t="str">
        <f t="shared" si="24"/>
        <v/>
      </c>
      <c r="R134" s="103" t="str">
        <f t="shared" si="25"/>
        <v/>
      </c>
      <c r="S134" s="52">
        <v>0</v>
      </c>
      <c r="T134" s="102" t="str">
        <f t="shared" si="26"/>
        <v/>
      </c>
      <c r="U134" s="103" t="str">
        <f t="shared" si="27"/>
        <v/>
      </c>
      <c r="V134" s="52">
        <v>0</v>
      </c>
      <c r="W134" s="87" t="str">
        <f t="shared" si="28"/>
        <v/>
      </c>
      <c r="X134" s="103" t="str">
        <f t="shared" si="29"/>
        <v/>
      </c>
      <c r="Y134" s="52">
        <v>0</v>
      </c>
      <c r="Z134" s="56" t="str">
        <f t="shared" si="30"/>
        <v/>
      </c>
      <c r="AA134" s="56" t="str">
        <f t="shared" si="31"/>
        <v/>
      </c>
      <c r="AB134" s="56" t="str">
        <f t="shared" si="32"/>
        <v/>
      </c>
      <c r="AC134" s="56" t="str">
        <f t="shared" si="33"/>
        <v/>
      </c>
      <c r="AD134" s="56" t="str">
        <f t="shared" si="34"/>
        <v/>
      </c>
      <c r="AE134" s="40"/>
      <c r="AF134" s="40"/>
      <c r="AG134" s="40"/>
      <c r="AH134" s="56" t="str">
        <f t="shared" si="35"/>
        <v/>
      </c>
      <c r="AI134" s="54"/>
      <c r="AJ134" s="54"/>
      <c r="AK134" s="54"/>
      <c r="AL134" s="54"/>
      <c r="AM134" s="54"/>
    </row>
    <row r="135" spans="1:39">
      <c r="A135" s="45" t="str" cm="1">
        <f t="array" ref="A135">IF(H135="PROJECT", CHAR(10) &amp; "- " &amp; _xlfn.TEXTJOIN(CHAR(10) &amp; "- ", TRUE, _xlfn._xlws.FILTER($I$9:$I$1000, ($B$9:$B$1000=B135) * ($H$9:$H$1000="Topic"))), "")</f>
        <v/>
      </c>
      <c r="B135" s="45" t="str">
        <f t="shared" si="19"/>
        <v/>
      </c>
      <c r="C135" s="95"/>
      <c r="D135" s="46"/>
      <c r="E135" s="58"/>
      <c r="F135" s="67"/>
      <c r="G135" s="53"/>
      <c r="H135" s="53"/>
      <c r="I135" s="50"/>
      <c r="J135" s="51"/>
      <c r="K135" s="129" t="str">
        <f t="shared" si="20"/>
        <v/>
      </c>
      <c r="L135" s="103" t="str">
        <f t="shared" si="21"/>
        <v/>
      </c>
      <c r="M135" s="53">
        <v>0</v>
      </c>
      <c r="N135" s="102" t="str">
        <f t="shared" si="22"/>
        <v/>
      </c>
      <c r="O135" s="103" t="str">
        <f t="shared" si="23"/>
        <v/>
      </c>
      <c r="P135" s="53">
        <v>0</v>
      </c>
      <c r="Q135" s="102" t="str">
        <f t="shared" si="24"/>
        <v/>
      </c>
      <c r="R135" s="103" t="str">
        <f t="shared" si="25"/>
        <v/>
      </c>
      <c r="S135" s="53">
        <v>0</v>
      </c>
      <c r="T135" s="102" t="str">
        <f t="shared" si="26"/>
        <v/>
      </c>
      <c r="U135" s="103" t="str">
        <f t="shared" si="27"/>
        <v/>
      </c>
      <c r="V135" s="53">
        <v>0</v>
      </c>
      <c r="W135" s="87" t="str">
        <f t="shared" si="28"/>
        <v/>
      </c>
      <c r="X135" s="103" t="str">
        <f t="shared" si="29"/>
        <v/>
      </c>
      <c r="Y135" s="53">
        <v>0</v>
      </c>
      <c r="Z135" s="56" t="str">
        <f t="shared" si="30"/>
        <v/>
      </c>
      <c r="AA135" s="56" t="str">
        <f t="shared" si="31"/>
        <v/>
      </c>
      <c r="AB135" s="56" t="str">
        <f t="shared" si="32"/>
        <v/>
      </c>
      <c r="AC135" s="56" t="str">
        <f t="shared" si="33"/>
        <v/>
      </c>
      <c r="AD135" s="56" t="str">
        <f t="shared" si="34"/>
        <v/>
      </c>
      <c r="AE135" s="40"/>
      <c r="AF135" s="40"/>
      <c r="AG135" s="40"/>
      <c r="AH135" s="56" t="str">
        <f t="shared" si="35"/>
        <v/>
      </c>
      <c r="AI135" s="54"/>
      <c r="AJ135" s="54"/>
      <c r="AK135" s="54"/>
      <c r="AL135" s="54"/>
      <c r="AM135" s="54"/>
    </row>
    <row r="136" spans="1:39">
      <c r="A136" s="45" t="str" cm="1">
        <f t="array" ref="A136">IF(H136="PROJECT", CHAR(10) &amp; "- " &amp; _xlfn.TEXTJOIN(CHAR(10) &amp; "- ", TRUE, _xlfn._xlws.FILTER($I$9:$I$1000, ($B$9:$B$1000=B136) * ($H$9:$H$1000="Topic"))), "")</f>
        <v/>
      </c>
      <c r="B136" s="45" t="str">
        <f t="shared" si="19"/>
        <v/>
      </c>
      <c r="C136" s="95"/>
      <c r="D136" s="57"/>
      <c r="E136" s="58"/>
      <c r="F136" s="54"/>
      <c r="G136" s="52"/>
      <c r="H136" s="52"/>
      <c r="I136" s="61"/>
      <c r="J136" s="62"/>
      <c r="K136" s="129" t="str">
        <f t="shared" si="20"/>
        <v/>
      </c>
      <c r="L136" s="103" t="str">
        <f t="shared" si="21"/>
        <v/>
      </c>
      <c r="M136" s="52">
        <v>0</v>
      </c>
      <c r="N136" s="102" t="str">
        <f t="shared" si="22"/>
        <v/>
      </c>
      <c r="O136" s="103" t="str">
        <f t="shared" si="23"/>
        <v/>
      </c>
      <c r="P136" s="52">
        <v>0</v>
      </c>
      <c r="Q136" s="102" t="str">
        <f t="shared" si="24"/>
        <v/>
      </c>
      <c r="R136" s="103" t="str">
        <f t="shared" si="25"/>
        <v/>
      </c>
      <c r="S136" s="52">
        <v>0</v>
      </c>
      <c r="T136" s="102" t="str">
        <f t="shared" si="26"/>
        <v/>
      </c>
      <c r="U136" s="103" t="str">
        <f t="shared" si="27"/>
        <v/>
      </c>
      <c r="V136" s="52">
        <v>0</v>
      </c>
      <c r="W136" s="87" t="str">
        <f t="shared" si="28"/>
        <v/>
      </c>
      <c r="X136" s="103" t="str">
        <f t="shared" si="29"/>
        <v/>
      </c>
      <c r="Y136" s="52">
        <v>0</v>
      </c>
      <c r="Z136" s="56" t="str">
        <f t="shared" si="30"/>
        <v/>
      </c>
      <c r="AA136" s="56" t="str">
        <f t="shared" si="31"/>
        <v/>
      </c>
      <c r="AB136" s="56" t="str">
        <f t="shared" si="32"/>
        <v/>
      </c>
      <c r="AC136" s="56" t="str">
        <f t="shared" si="33"/>
        <v/>
      </c>
      <c r="AD136" s="56" t="str">
        <f t="shared" si="34"/>
        <v/>
      </c>
      <c r="AE136" s="40"/>
      <c r="AF136" s="40"/>
      <c r="AG136" s="40"/>
      <c r="AH136" s="56" t="str">
        <f t="shared" si="35"/>
        <v/>
      </c>
      <c r="AI136" s="54"/>
      <c r="AJ136" s="54"/>
      <c r="AK136" s="54"/>
      <c r="AL136" s="54"/>
      <c r="AM136" s="54"/>
    </row>
    <row r="137" spans="1:39">
      <c r="A137" s="45" t="str" cm="1">
        <f t="array" ref="A137">IF(H137="PROJECT", CHAR(10) &amp; "- " &amp; _xlfn.TEXTJOIN(CHAR(10) &amp; "- ", TRUE, _xlfn._xlws.FILTER($I$9:$I$1000, ($B$9:$B$1000=B137) * ($H$9:$H$1000="Topic"))), "")</f>
        <v/>
      </c>
      <c r="B137" s="45" t="str">
        <f t="shared" si="19"/>
        <v/>
      </c>
      <c r="C137" s="95"/>
      <c r="D137" s="46"/>
      <c r="E137" s="58"/>
      <c r="F137" s="67"/>
      <c r="G137" s="53"/>
      <c r="H137" s="53"/>
      <c r="I137" s="50"/>
      <c r="J137" s="51"/>
      <c r="K137" s="129" t="str">
        <f t="shared" si="20"/>
        <v/>
      </c>
      <c r="L137" s="103" t="str">
        <f t="shared" si="21"/>
        <v/>
      </c>
      <c r="M137" s="53">
        <v>0</v>
      </c>
      <c r="N137" s="102" t="str">
        <f t="shared" si="22"/>
        <v/>
      </c>
      <c r="O137" s="103" t="str">
        <f t="shared" si="23"/>
        <v/>
      </c>
      <c r="P137" s="53">
        <v>0</v>
      </c>
      <c r="Q137" s="102" t="str">
        <f t="shared" si="24"/>
        <v/>
      </c>
      <c r="R137" s="103" t="str">
        <f t="shared" si="25"/>
        <v/>
      </c>
      <c r="S137" s="53">
        <v>0</v>
      </c>
      <c r="T137" s="102" t="str">
        <f t="shared" si="26"/>
        <v/>
      </c>
      <c r="U137" s="103" t="str">
        <f t="shared" si="27"/>
        <v/>
      </c>
      <c r="V137" s="53">
        <v>0</v>
      </c>
      <c r="W137" s="87" t="str">
        <f t="shared" si="28"/>
        <v/>
      </c>
      <c r="X137" s="103" t="str">
        <f t="shared" si="29"/>
        <v/>
      </c>
      <c r="Y137" s="53">
        <v>0</v>
      </c>
      <c r="Z137" s="56" t="str">
        <f t="shared" si="30"/>
        <v/>
      </c>
      <c r="AA137" s="56" t="str">
        <f t="shared" si="31"/>
        <v/>
      </c>
      <c r="AB137" s="56" t="str">
        <f t="shared" si="32"/>
        <v/>
      </c>
      <c r="AC137" s="56" t="str">
        <f t="shared" si="33"/>
        <v/>
      </c>
      <c r="AD137" s="56" t="str">
        <f t="shared" si="34"/>
        <v/>
      </c>
      <c r="AE137" s="40"/>
      <c r="AF137" s="40"/>
      <c r="AG137" s="40"/>
      <c r="AH137" s="56" t="str">
        <f t="shared" ref="AH137:AH168" si="36">IF(AE137=$B$6,AG137,"")</f>
        <v/>
      </c>
      <c r="AI137" s="54"/>
      <c r="AJ137" s="54"/>
      <c r="AK137" s="54"/>
      <c r="AL137" s="54"/>
      <c r="AM137" s="54"/>
    </row>
    <row r="138" spans="1:39">
      <c r="A138" s="45" t="str" cm="1">
        <f t="array" ref="A138">IF(H138="PROJECT", CHAR(10) &amp; "- " &amp; _xlfn.TEXTJOIN(CHAR(10) &amp; "- ", TRUE, _xlfn._xlws.FILTER($I$9:$I$1000, ($B$9:$B$1000=B138) * ($H$9:$H$1000="Topic"))), "")</f>
        <v/>
      </c>
      <c r="B138" s="45" t="str">
        <f t="shared" ref="B138:B200" si="37">IF(H138="","",IF(AND(H138="Topic",H137="PROJECT"),B137+1,IF(H138="PROJECT",B137,IF(AND(H138="Topic",H137="Topic"),B137,B137+1))))</f>
        <v/>
      </c>
      <c r="C138" s="95"/>
      <c r="D138" s="57"/>
      <c r="E138" s="58"/>
      <c r="F138" s="54"/>
      <c r="G138" s="52"/>
      <c r="H138" s="52"/>
      <c r="I138" s="61"/>
      <c r="J138" s="62"/>
      <c r="K138" s="129" t="str">
        <f t="shared" ref="K138:K200" si="38">IF(H138="Topic",
"[ROLE] Friendly tutor specializing in " &amp; $I$2 &amp; " | " &amp;
"[TOPIC] " &amp; I138 &amp; " | " &amp;
"[LEVEL] " &amp; G138 &amp; " | " &amp;
"[COUNT] " &amp; D138 &amp; " examples | " &amp;
"[LIBRARY BEING LEARNED] " &amp; $I$3 &amp; " | " &amp;
"[ECOSYSTEM ORIENTATION RULE] If a data manipulation library, external package, or ecosystem like Pandas or NumPy is specified in " &amp; $I$3 &amp; _xlfn._LONGTEXT(",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$C138 &amp; " lines of EXECUTABLE code (STRICT: Do NOT count comments or blank lines). - NEVER exceed this limit. | " &amp;
"[FUNCTION RULE] Rule: " &amp; IF(G138="Beginner","Use basic async/await functions in main(). NO complex event loops or isolates.", IF(G138="Intermediate", "REQUIREMENT: Include async methods, Streams, try/catch error handling, and Future.delayed in each example.", "Advanced Concurrency: Isolates (Isolate.spawn), StreamControllers, async generators (async*, yield).")) &amp; " | " &amp;
_xlfn._LONGTEXT("[CODE_CONSTRAINTS_RULE]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 &amp;
"[I_O_PARADIGM] Use Asynchronous file operations or non-blocking stream inputs/outputs. and gracefully handle print() statements with string interpolation to display asynchronous outputs clearly. when applicable. | " &amp;
_xlfn._LONGTEXT("[INLINE_PACKAGE_MANAGER] If using external packages, use Dart asynchronous primitives, Futures, Streams, async/await flows, and isolate execution models utilizing top-level main().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F138 &amp; " | Stage 1 📖 Practice | " &amp; IF($I$3="", $I$2, $I$2&amp; " - " &amp;$I$3) &amp; " | 📊 Level: " &amp; G138 &amp; " | 🌐 Coding5s.com" &amp; CHAR(10) &amp; "**Concept:** " &amp; J138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D138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IF(AJ138&lt;&gt;"", AJ138,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IF(H138="PROJECT", Z138, ""))</f>
        <v/>
      </c>
      <c r="L138" s="103" t="str">
        <f t="shared" ref="L138:L200" si="39">IF(OR(H138="Topic", UPPER(H138)="PROJECT"),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IF(UPPER(H138)="PROJECT", "building a PROJECT: " &amp; I138 &amp; ". Topics applied in this project: " &amp; A138 &amp; ". Project objective: " &amp; J138, "learning: " &amp; I138 &amp; ". Topic details: " &amp; J138)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IF(G138="Beginner", "Evaluate based on basic async/await usage and Future resolution inside main(). Do NOT expect raw isolates or complex stream transformers unless explicitly demanded.", IF(G138="Intermediate", "Expect clean asynchronous functions, proper error handling (try-catch), Stream listeners, and correct event-loop flow control. Enforce solid concurrency principles.", "Expect advanced multi-threading architecture using Isolate, bidirectional communication ports (SendPort/ReceivePort), custom async generators, and stream manipulation.")) &amp; " | " &amp;
_xlfn._LONGTEXT("[CODE_QUALITY_POLICIES]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&amp; IF(AJ138&lt;&gt;"", "[MENTOR CONTEXT ALERT] Be aware of the following infrastructure limitation for this exercise: " &amp; AJ138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IF(UPPER(H138)="PROJECT",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IF(UPPER(H138)="PROJECT",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IF(UPPER(H138)="PROJECT", "Project #", "Topic #") &amp; F138 &amp; " | Practice | " &amp; IF($I$3="", $I$2, $I$2&amp; " - " &amp;$I$3) &amp; " | 📊 Level: " &amp; G138 &amp; CHAR(10) &amp; "**" &amp; IF(UPPER(H138)="PROJECT", "Project", "Topic") &amp; ":** " &amp; I138 &amp; CHAR(10) &amp; "---" &amp; CHAR(10) &amp; " | " &amp;
"[FOOTER RULE - STRICT] End your response with: '--- ⚡ *Coding5s Mentor System — Eliminating Epistemic Debt*' | ","")</f>
        <v/>
      </c>
      <c r="M138" s="52">
        <v>0</v>
      </c>
      <c r="N138" s="102" t="str">
        <f t="shared" ref="N138:N200" si="40">IF(H138="Topic",
"[ROLE] Careless " &amp; $I$2 &amp; " Developer | " &amp;
"[TASK] Generate debugging challenges in " &amp; $I$2 &amp; " | | " &amp;
"[TOPIC] " &amp; I138 &amp; " | | " &amp;
"[LEVEL] " &amp; G138 &amp; " | | " &amp;
"[COUNT] " &amp; D138 &amp; " challenges | " &amp;
"[LIBRARY BEING LEARNED] " &amp; $I$3 &amp; " | " &amp;
"[ECOSYSTEM ORIENTATION RULE] If a data manipulation library, external package, or ecosystem like Pandas or NumPy is specified in " &amp; $I$3 &amp; _xlfn._LONGTEXT(",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 &amp;
"[HEADER RULE - STRICT] You MUST start your entire response EXACTLY with this markdown block (do not print anything before it):" &amp; CHAR(10) &amp; "### 🔹 Topic #" &amp; F138 &amp; " | Stage 2 🐛 Debug | " &amp; IF($I$3="", $I$2, $I$2&amp; " - " &amp;$I$3) &amp; " | 📊 Level: " &amp; G138 &amp; " | 🌐 Coding5s.com" &amp; CHAR(10) &amp; "Concept: " &amp; J138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 &amp;
"[TESTING_FRAMEWORK_RULE] Validation using print() statements or native assert statements. Avoid complex dart test suites; keep asynchronous validation inside main(). | " &amp;
"[DEPENDENCY_MANAGEMENT_RULE] Standard Dart runtime context. If external packages are needed, specify them strictly in pubspec.yaml support files. | " &amp;
"[CODE CONSTRAINTS] Each challenge MUST include: asynchronous data fetching OR stream handling, at least 1 print statement, at least 1 async/await construct, EXACTLY 1 asynchronous function, and EXACTLY 1 function call within main(). - " &amp; IF(G138="Beginner", "5–15", IF(G138="Intermediate", "10–25", "15–35")) &amp; _xlfn._LONGTEXT(" lines of EXECUTABLE broken Dart code per challenge (STRICT: Do NOT count blank lines). All concurrency logic MUST be encapsulated inside async methods and executed via main().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D138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IF(H138="PROJECT", AA138, ""))</f>
        <v/>
      </c>
      <c r="O138" s="103" t="str">
        <f t="shared" ref="O138:O200" si="41">IF(OR(H138="Topic", UPPER(H138)="PROJECT"),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IF(UPPER(H138)="PROJECT", "PROJECT: " &amp; I138 &amp; ". Topics involved: " &amp; A138 &amp; ". Project objective: " &amp; J138, "TOPIC: " &amp; I138 &amp; ". Topic details: " &amp; J138)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IF(UPPER(H138)="PROJECT", "Project #", "Topic #") &amp; F138 &amp; " | Debug | " &amp; IF($I$3="", $I$2, $I$2&amp; " - " &amp;$I$3) &amp; " | 📊 Level: " &amp; G138 &amp; CHAR(10) &amp; "**" &amp; IF(UPPER(H138)="PROJECT", "Project", "Topic") &amp; ":** " &amp; I138 &amp; CHAR(10) &amp; "---" &amp; CHAR(10) &amp; " | " &amp;
_xlfn._LONGTEXT("[CORE_QUALITY_POLICY]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38" s="52">
        <v>0</v>
      </c>
      <c r="Q138" s="102" t="str">
        <f t="shared" ref="Q138:Q200" si="42">IF(H138="Topic",
"[ROLE] Tech Lead | " &amp;
"[TASK] Assign incomplete " &amp; $I$2 &amp; " script challenges | " &amp;
"[TOPIC] " &amp; I138 &amp; " | " &amp;
"[LEVEL] " &amp; G138 &amp; " | " &amp;
"[COUNT] " &amp; D138 &amp; " challenges | " &amp;
"[LIBRARY BEING LEARNED] " &amp; $I$3 &amp; " | " &amp;
"[ECOSYSTEM ORIENTATION RULE] If a data manipulation library, external package, or ecosystem like Pandas or NumPy is specified in " &amp; $I$3 &amp; _xlfn._LONGTEXT(",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 &amp;
"[HEADER RULE - STRICT] You MUST start your entire response EXACTLY with this markdown block (do not print anything before it):" &amp; CHAR(10) &amp; "### 🔹 Topic #" &amp; F138 &amp; " | Stage 3 🧩 Complete | " &amp; IF($I$3="", $I$2, $I$2&amp; " - " &amp;$I$3) &amp; " | 📊 Level: " &amp; G138 &amp; " | 🌐 Coding5s.com" &amp; CHAR(10) &amp; "**Concept:** " &amp; J138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Dart built-ins (dart:async, dart:io, dart:isolate). Strictly ZERO external pub.dev packages required for core concurrency topics. | " &amp;
"[TESTING_FRAMEWORK_PROTOCOL] Simple console output verification via standard print() statements. | " &amp;
"[CHALLENGE_CONSTRAINTS_POLICY] For Beginner level, // TODO MUST be atomic (1-2 simple lines max, e.g., adding await, creating a Future, or printing stream data). NO complex buffer redirections. - " &amp; IF(G138="Beginner","5–15", IF(G138="Intermediate","10–25","15–35")) &amp; " 5-15 lines of EXECUTABLE base code with a main() entry point. Code outside // TODO MUST be 100% valid and readable. Asynchronous context and event loops must be correctly structured.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D138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I138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IF(G138="Beginner", "Clear explicit hint (no code) | ", IF(G138="Intermediate",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IF(H138="PROJECT", AB138, ""))</f>
        <v/>
      </c>
      <c r="R138" s="103" t="str">
        <f t="shared" ref="R138:R200" si="43">IF(OR(H138="Topic", UPPER(H138)="PROJECT"),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IF(UPPER(H138)="PROJECT", "PROJECT: " &amp; I138 &amp; ". Topics involved: " &amp; A138 &amp; ". Project objective: " &amp; J138, "TOPIC: " &amp; I138 &amp; ". Topic details: " &amp; J138)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IF(UPPER(H138)="PROJECT", "Project #", "Topic #") &amp; F138 &amp; " | Complete | " &amp; IF($I$3="", $I$2, $I$2&amp; " - " &amp;$I$3) &amp; " | 📊 Level: " &amp; G138 &amp; CHAR(10) &amp; "**" &amp; IF(UPPER(H138)="PROJECT", "Project", "Topic") &amp; ":** " &amp; I138 &amp; CHAR(10) &amp; "---" &amp; CHAR(10) &amp; " | " &amp;
_xlfn._LONGTEXT("[CORE_QUALITY_POLICY]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38" s="52">
        <v>0</v>
      </c>
      <c r="T138" s="102" t="str">
        <f t="shared" ref="T138:T200" si="44">IF(H138="Topic",
"[ROLE] Tech Lead | " &amp;
"[TASK] Provide intentionally messy but functional code for learning debugging and improvement | " &amp;
"[TOPIC] " &amp; I138 &amp; " | " &amp;
"[LEVEL] " &amp; G138 &amp; " | " &amp;
"[COUNT] " &amp; D138 &amp; " challenges | " &amp;
"[LIBRARY BEING LEARNED] " &amp; $I$3 &amp; " | " &amp;
_xlfn._LONGTEXT("[ECOSYSTEM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F138 &amp; " | Stage 4 🧹 Refactor | " &amp; IF($I$3="", $I$2, $I$2&amp; " - " &amp;$I$3) &amp; " | 📊 Level: " &amp; G138 &amp; " | 🌐 Coding5s.com" &amp; CHAR(10) &amp; "**Concept:** " &amp; J138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D138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IF(G138="Beginner", "5–15", IF(G138="Intermediate",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IF(H138="PROJECT", AC138, ""))</f>
        <v/>
      </c>
      <c r="U138" s="103" t="str">
        <f t="shared" ref="U138:U200" si="45">IF(OR(H138="Topic", UPPER(H138)="PROJECT"),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IF(UPPER(H138)="PROJECT", "PROJECT: " &amp; I138 &amp; ". Topics involved: " &amp; A138 &amp; ". Project objective: " &amp; J138, "TOPIC: " &amp; I138 &amp; ". Topic details: " &amp; J138)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IF(UPPER(H138)="PROJECT", "Project #", "Topic #") &amp; F138 &amp; " | Refactor | " &amp; IF($I$3="", $I$2, $I$2&amp; " - " &amp;$I$3) &amp; " | 📊 Level: " &amp; G138 &amp; CHAR(10) &amp; "**" &amp; IF(UPPER(H138)="PROJECT", "Project", "Topic") &amp; ":** " &amp; I138 &amp; CHAR(10) &amp; "---" &amp; CHAR(10) &amp; " | " &amp;
_xlfn._LONGTEXT("[PYTHON QUALITY RULE - STRICT] Code MUST adhere strictly to Effective Dart guidelines. Use camelCase for methods/variables, PascalCase for types. Avoid global mutable state; emphasize strong static typing, robust Future/Stream pipelines, and clean non-blo","cking architectures.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38" s="52">
        <v>0</v>
      </c>
      <c r="W138" s="87" t="str">
        <f t="shared" ref="W138:W200" si="46">IF(H138="Topic",
"[ROLE] Tech Product Manager assigning a " &amp; $I$2 &amp; " Jira Ticket | " &amp;
"[TASK] Provide a guided implementation exercise with full solution for learning purposes | " &amp;
"[TOPIC] " &amp; I138 &amp; " | " &amp;
"[LEVEL] " &amp; G138 &amp; " | " &amp;
"[LIBRARY BEING LEARNED] " &amp; $I$3 &amp; " | " &amp;
_xlfn._LONGTEXT("[ECOSYSTEM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F138 &amp; " | Stage 5 | " &amp; IF($I$3="", $I$2, $I$2&amp; " - " &amp;$I$3) &amp; " | 📊 Level: " &amp; G138 &amp; " | 🌐 Coding5s.com" &amp; CHAR(10) &amp; "**Concept:** " &amp; J138 &amp; CHAR(10) &amp; "---" &amp; CHAR(10) &amp; " | " &amp;
"[FUNCTIONAL_STRUCTURE_POLICY] Rule: " &amp; IF(G138="Beginner", "Use simple scripts or minimal functions. ", IF(G138="Intermediate",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IF(G138="Beginner", "10–20", IF(G138="Intermediate", "15–30", "25–40")) &amp; " lines of EXECUTABLE code (STRICT) - V1.1 MUST be between " &amp; IF(G138="Beginner", "15–30", IF(G138="Intermediate",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IF(H138="PROJECT", AD138, ""))</f>
        <v/>
      </c>
      <c r="X138" s="103" t="str">
        <f t="shared" ref="X138:X200" si="47">IF(OR(H138="Topic", UPPER(H138)="PROJECT"),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IF(UPPER(H138)="PROJECT", "PROJECT: " &amp; I138 &amp; ". Topics integrated: " &amp; A138 &amp; ". Business Goal: " &amp; J138, "TOPIC: " &amp; I138 &amp; ". Goal: " &amp; J138)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IF(UPPER(H138)="PROJECT", "Project #", "Topic #") &amp; F138 &amp; " | Extend | " &amp; IF($I$3="", $I$2, $I$2&amp; " - " &amp;$I$3) &amp; " | 📊 Level: " &amp; G138 &amp; CHAR(10) &amp; "**" &amp; IF(UPPER(H138)="PROJECT", "Project", "Topic") &amp; ":** " &amp; I138 &amp; CHAR(10) &amp; "---" &amp; CHAR(10) &amp; " | " &amp;
_xlfn._LONGTEXT("[CODE_QUALITY_PROTOCOL]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38" s="52">
        <v>0</v>
      </c>
      <c r="Z138" s="56" t="str">
        <f t="shared" ref="Z138:Z200" si="48">IF(H138&lt;&gt;"PROJECT","",
"[TASK] Teach through a practical " &amp; $I$2 &amp; " - " &amp; $I$3 &amp; " project following the micro-learning methodology, acting as a supportive tutor, creating a project about  " &amp; I138 &amp; " | " &amp;
"[TOPICS USED] " &amp; A138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_xlfn._LONGTEXT("[INLINE_PACKAGE_MANAGER] If using external packages, use Dart asynchronous primitives, Futures, Streams, async/await flows, and isolate execution models utilizing top-level main(). at the top of the code block. Assume no project configuration file exists."," | ") &amp;
"[CODE_CONSTRAINTS_RULE] Standard basic logic validation using native assert statements. | " &amp;
_xlfn._LONGTEXT("[VISUAL_ARCHITECTURE_COMMENTS] 1. Use visual block tags separating script sections (e.g., '// --- BLOQUE 1: [NAME] ---') to map code to the planning phase. 2. Use comprehensive doc comments using triple slashes ('///') explaining asynchronous parameters, ","Future return types, and exceptions. 3. CRITICAL: NO comment or docstring line may exceed 80 characters (Effective Dart standard) in width. | ") &amp;
"[DATA ROBUSTNESS RULE] Handle real-world data safely | " &amp;
"[CODE CONSTRAINTS] MUST be between " &amp; IF(G138="Beginner", "25–40", IF(G138="Intermediate",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F138 &amp; " | Stage 1 | " &amp; IF($I$3="", $I$2, $I$2&amp; " - " &amp;$I$3) &amp; " | 📊 Level: " &amp; G138 &amp; " | 🌐 Coding5s.com" &amp; CHAR(10) &amp; "**Project:** " &amp; J138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38" s="56" t="str">
        <f t="shared" ref="AA138:AA200" si="49">IF(H138&lt;&gt;"PROJECT","",
"[ROLE] Careless " &amp; $I$2 &amp; " Developer | " &amp;
"[TASK] Generate debugging project in " &amp; $I$2 &amp; " | " &amp;
"[PROJECT] " &amp; I138 &amp; " | " &amp;
"[TOPICS USED] " &amp; A138 &amp; " | " &amp;
"[LEVEL] " &amp; G138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F138 &amp; " | Stage 2 | " &amp; IF($I$3="", $I$2, $I$2&amp; " - " &amp;$I$3) &amp; " | 📊 Level: " &amp; G138 &amp; " | 🌐 Coding5s.com" &amp; CHAR(10) &amp; "Project: " &amp; J138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AE136 &amp; " | " &amp;
"[LANGUAGE SEED CONTEXT] " &amp; IF($AE$7 = "", "Language Seed Not Necessary", "You MUST strictly follow this seed context to enhance, adapt, and naturalize your tone, vocabulary, and instructional quality in " &amp; $B$6 &amp; ": " &amp; $AE$7) &amp; " | " &amp;
_xlfn._LONGTEXT("[BUG RULE] Simulate a messy Dart concurrency script. The project MUST contain EXACTLY 2-5 bugs mixing unawaited futures, missing async/await keywords, concurrency logic errors, and runtime exceptions. 1. Syntax &amp; Type Errors (e.g., missing semicolons/brac","kets, returning raw values instead of Futures, unhandled null safety exceptions in streams), 2. Logic Errors (e.g., unawaited async calls causing race conditions, incorrect stream subscription logic, deadlock states), AND 3. Runtime Exceptions (e.g., Time","outException, StateError on closed controllers, IsolateSpawnException, FormatException).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IF(G138="Beginner", "25–40", IF(G138="Intermediate", "30–60", "40–100")) &amp; " lines of EXECUTABLE code (STRICT: Do NOT count blank lines towards this limit) - Multi-step flow - 2–4 functions ONLY - main() as entry point " &amp; IF(G138&lt;&gt;"Advanced",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38" s="56" t="str">
        <f t="shared" ref="AB138:AB200" si="50">IF(H138&lt;&gt;"PROJECT","",
"[ROLE] Tech Lead | " &amp;
"[TASK] Assign incomplete project script | " &amp;
"[PROJECT] " &amp; I138 &amp; " | " &amp;
"[TOPICS USED] " &amp; A138 &amp; " | " &amp;
"[LEVEL] " &amp; G138 &amp; " | " &amp;
"[LIBRARY BEING LEARNED] " &amp; $I$3 &amp; " | " &amp;
"[ECOSYSTEM ORIENTATION RULE] If a data manipulation library, external package, or ecosystem like Pandas or NumPy is specified in " &amp; $I$3 &amp; _xlfn._LONGTEXT(",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F138 &amp; " | Stage 3 | " &amp; IF($I$3="", $I$2, $I$2&amp; " - " &amp;$I$3) &amp; " | 📊 Level: " &amp; G138 &amp; " | 🌐 Coding5s.com" &amp; CHAR(10) &amp; "**Project:** " &amp; J138 &amp; CHAR(10) &amp; "---" &amp; CHAR(10) &amp; " | " &amp;
"[EXTERNAL_PACKAGE_PROTOCOL] Require standard dart pub tooling and pubspec.yaml file for external dependencies when applicable. | " &amp;
"[CHALLENGE_CONSTRAINTS_POLICY] MUST be between 25-40 lines of EXECUTABLE base Dart code (STRICT: Do NOT count comments or // TODO blocks). " &amp; IF(G138="Beginner","25–40", IF(G138="Intermediate","30–60","40–100")) &amp; " Asynchronous and concurrent script flow. Require at least 1 async worker or stream pipeline. Logica de integracion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38" s="56" t="str">
        <f t="shared" ref="AC138:AC200" si="51">IF(H138&lt;&gt;"PROJECT","",
"[ROLE] Tech Lead | " &amp;
"[TASK] Provide a messy but functional project for refactoring | " &amp;
"[PROJECT] " &amp; I138 &amp; " | " &amp;
"[TOPICS USED] " &amp; A138 &amp; " | " &amp;
"[LEVEL] " &amp; G138 &amp; " | " &amp;
"[PERSONA RULE] Act as a Tech Lead. A junior wrote this working but messy code. Tone: professional but exhausted | " &amp;
"[HEADER RULE - STRICT] You MUST start your entire response EXACTLY with this markdown block (do not print anything before it):" &amp; CHAR(10) &amp; "### 🚀 Project #" &amp; F138 &amp; " | Stage 4 | " &amp; IF($I$3="", $I$2, $I$2&amp; " - " &amp;$I$3) &amp; " | 📊 Level: " &amp; G138 &amp; " | 🌐 Coding5s.com" &amp; CHAR(10) &amp; "**Project:** " &amp; J138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IF(G138="Beginner", "25–40", IF(G138="Intermediate",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38" s="56" t="str">
        <f t="shared" ref="AD138:AD200" si="52">IF(H138&lt;&gt;"PROJECT","",
"[ROLE] Tech Product Manager assigning a " &amp; $I$2 &amp; " Jira Ticket | " &amp;
"[TASK] Provide a guided project implementation with full solution | " &amp;
"[PROJECT] " &amp; I138 &amp; " | " &amp;
"[TOPICS USED] " &amp; A138 &amp; " | " &amp;
"[LEVEL] " &amp; G138 &amp; " | " &amp;
"[PERSONA RULE] Act as a professional Tech Product Manager defining a project ticket | " &amp;
"[LIBRARY BEING LEARNED] " &amp; $I$3 &amp; " | " &amp;
_xlfn._LONGTEXT("[ECOSYSTEM ORIENTATION RULE] If a module or ecosystem like Dart asynchronous primitives, Futures, Streams, async/await flows, and isolate execution models utilizing top-level main(). is specified in Focus strictly on basic asynchronous functions using Fut","ure, async, and await inside main(). DO NOT use complex event loops or isolates., you are CRITICALLY FORBIDDEN from using STRICT REQUIREMENT: Integrate asynchronous methods, Stream processing, error handling with try/catch, and Future.delayed in EVERY exa","mple.. You MUST enforce the Advanced Concurrency: Dart Isolates (Isolate.spawn), StreamControllers, async generators (async*, yield), and multi-threaded data passing. and data structures of that specific library. | ") &amp;
"[HEADER RULE - STRICT] You MUST start your entire response EXACTLY with this markdown block (do not print anything before it):" &amp; CHAR(10) &amp; "### 🚀 Project #" &amp; F138 &amp; " | Stage 5 | " &amp; IF($I$3="", $I$2, $I$2&amp; " - " &amp;$I$3) &amp; " | 📊 Level: " &amp; G138 &amp; " | 🌐 Coding5s.com" &amp; CHAR(10) &amp; "**Project:** " &amp; J138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IF(G138="Beginner", "20–35", IF(G138="Intermediate", "30–50", "45–70")) &amp; " lines of EXECUTABLE code (STRICT) - V1.1 MUST be between " &amp; IF(G138="Beginner", "30–50", IF(G138="Intermediate",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IF(G138="Beginner", "Avoid complex structure. ", IF(G138="Intermediate",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38" s="40"/>
      <c r="AF138" s="40"/>
      <c r="AG138" s="40"/>
      <c r="AH138" s="56" t="str">
        <f t="shared" si="36"/>
        <v/>
      </c>
      <c r="AI138" s="54"/>
      <c r="AJ138" s="54"/>
      <c r="AK138" s="54"/>
      <c r="AL138" s="54"/>
      <c r="AM138" s="54"/>
    </row>
    <row r="139" spans="1:39">
      <c r="A139" s="45" t="str" cm="1">
        <f t="array" ref="A139">IF(H139="PROJECT", CHAR(10) &amp; "- " &amp; _xlfn.TEXTJOIN(CHAR(10) &amp; "- ", TRUE, _xlfn._xlws.FILTER($I$9:$I$1000, ($B$9:$B$1000=B139) * ($H$9:$H$1000="Topic"))), "")</f>
        <v/>
      </c>
      <c r="B139" s="45" t="str">
        <f t="shared" si="37"/>
        <v/>
      </c>
      <c r="C139" s="95"/>
      <c r="D139" s="46"/>
      <c r="E139" s="58"/>
      <c r="F139" s="67"/>
      <c r="G139" s="53"/>
      <c r="H139" s="53"/>
      <c r="I139" s="50"/>
      <c r="J139" s="51"/>
      <c r="K139" s="129" t="str">
        <f t="shared" si="38"/>
        <v/>
      </c>
      <c r="L139" s="103" t="str">
        <f t="shared" si="39"/>
        <v/>
      </c>
      <c r="M139" s="53">
        <v>0</v>
      </c>
      <c r="N139" s="102" t="str">
        <f t="shared" si="40"/>
        <v/>
      </c>
      <c r="O139" s="103" t="str">
        <f t="shared" si="41"/>
        <v/>
      </c>
      <c r="P139" s="53">
        <v>0</v>
      </c>
      <c r="Q139" s="102" t="str">
        <f t="shared" si="42"/>
        <v/>
      </c>
      <c r="R139" s="103" t="str">
        <f t="shared" si="43"/>
        <v/>
      </c>
      <c r="S139" s="53">
        <v>0</v>
      </c>
      <c r="T139" s="102" t="str">
        <f t="shared" si="44"/>
        <v/>
      </c>
      <c r="U139" s="103" t="str">
        <f t="shared" si="45"/>
        <v/>
      </c>
      <c r="V139" s="53">
        <v>0</v>
      </c>
      <c r="W139" s="87" t="str">
        <f t="shared" si="46"/>
        <v/>
      </c>
      <c r="X139" s="103" t="str">
        <f t="shared" si="47"/>
        <v/>
      </c>
      <c r="Y139" s="53">
        <v>0</v>
      </c>
      <c r="Z139" s="56" t="str">
        <f t="shared" si="48"/>
        <v/>
      </c>
      <c r="AA139" s="56" t="str">
        <f t="shared" si="49"/>
        <v/>
      </c>
      <c r="AB139" s="56" t="str">
        <f t="shared" si="50"/>
        <v/>
      </c>
      <c r="AC139" s="56" t="str">
        <f t="shared" si="51"/>
        <v/>
      </c>
      <c r="AD139" s="56" t="str">
        <f t="shared" si="52"/>
        <v/>
      </c>
      <c r="AE139" s="40"/>
      <c r="AF139" s="40"/>
      <c r="AG139" s="40"/>
      <c r="AH139" s="56" t="str">
        <f t="shared" si="36"/>
        <v/>
      </c>
      <c r="AI139" s="54"/>
      <c r="AJ139" s="54"/>
      <c r="AK139" s="54"/>
      <c r="AL139" s="54"/>
      <c r="AM139" s="54"/>
    </row>
    <row r="140" spans="1:39">
      <c r="A140" s="45" t="str" cm="1">
        <f t="array" ref="A140">IF(H140="PROJECT", CHAR(10) &amp; "- " &amp; _xlfn.TEXTJOIN(CHAR(10) &amp; "- ", TRUE, _xlfn._xlws.FILTER($I$9:$I$1000, ($B$9:$B$1000=B140) * ($H$9:$H$1000="Topic"))), "")</f>
        <v/>
      </c>
      <c r="B140" s="45" t="str">
        <f t="shared" si="37"/>
        <v/>
      </c>
      <c r="C140" s="95"/>
      <c r="D140" s="57"/>
      <c r="E140" s="58"/>
      <c r="F140" s="54"/>
      <c r="G140" s="52"/>
      <c r="H140" s="52"/>
      <c r="I140" s="61"/>
      <c r="J140" s="62"/>
      <c r="K140" s="129" t="str">
        <f t="shared" si="38"/>
        <v/>
      </c>
      <c r="L140" s="103" t="str">
        <f t="shared" si="39"/>
        <v/>
      </c>
      <c r="M140" s="52">
        <v>0</v>
      </c>
      <c r="N140" s="102" t="str">
        <f t="shared" si="40"/>
        <v/>
      </c>
      <c r="O140" s="103" t="str">
        <f t="shared" si="41"/>
        <v/>
      </c>
      <c r="P140" s="52">
        <v>0</v>
      </c>
      <c r="Q140" s="102" t="str">
        <f t="shared" si="42"/>
        <v/>
      </c>
      <c r="R140" s="103" t="str">
        <f t="shared" si="43"/>
        <v/>
      </c>
      <c r="S140" s="52">
        <v>0</v>
      </c>
      <c r="T140" s="102" t="str">
        <f t="shared" si="44"/>
        <v/>
      </c>
      <c r="U140" s="103" t="str">
        <f t="shared" si="45"/>
        <v/>
      </c>
      <c r="V140" s="52">
        <v>0</v>
      </c>
      <c r="W140" s="87" t="str">
        <f t="shared" si="46"/>
        <v/>
      </c>
      <c r="X140" s="103" t="str">
        <f t="shared" si="47"/>
        <v/>
      </c>
      <c r="Y140" s="52">
        <v>0</v>
      </c>
      <c r="Z140" s="56" t="str">
        <f t="shared" si="48"/>
        <v/>
      </c>
      <c r="AA140" s="56" t="str">
        <f t="shared" si="49"/>
        <v/>
      </c>
      <c r="AB140" s="56" t="str">
        <f t="shared" si="50"/>
        <v/>
      </c>
      <c r="AC140" s="56" t="str">
        <f t="shared" si="51"/>
        <v/>
      </c>
      <c r="AD140" s="56" t="str">
        <f t="shared" si="52"/>
        <v/>
      </c>
      <c r="AE140" s="40"/>
      <c r="AF140" s="40"/>
      <c r="AG140" s="40"/>
      <c r="AH140" s="56" t="str">
        <f t="shared" si="36"/>
        <v/>
      </c>
      <c r="AI140" s="54"/>
      <c r="AJ140" s="54"/>
      <c r="AK140" s="54"/>
      <c r="AL140" s="54"/>
      <c r="AM140" s="54"/>
    </row>
    <row r="141" spans="1:39">
      <c r="A141" s="45" t="str" cm="1">
        <f t="array" ref="A141">IF(H141="PROJECT", CHAR(10) &amp; "- " &amp; _xlfn.TEXTJOIN(CHAR(10) &amp; "- ", TRUE, _xlfn._xlws.FILTER($I$9:$I$1000, ($B$9:$B$1000=B141) * ($H$9:$H$1000="Topic"))), "")</f>
        <v/>
      </c>
      <c r="B141" s="45" t="str">
        <f t="shared" si="37"/>
        <v/>
      </c>
      <c r="C141" s="95"/>
      <c r="D141" s="46"/>
      <c r="E141" s="58"/>
      <c r="F141" s="67"/>
      <c r="G141" s="53"/>
      <c r="H141" s="53"/>
      <c r="I141" s="50"/>
      <c r="J141" s="51"/>
      <c r="K141" s="129" t="str">
        <f t="shared" si="38"/>
        <v/>
      </c>
      <c r="L141" s="103" t="str">
        <f t="shared" si="39"/>
        <v/>
      </c>
      <c r="M141" s="53">
        <v>0</v>
      </c>
      <c r="N141" s="102" t="str">
        <f t="shared" si="40"/>
        <v/>
      </c>
      <c r="O141" s="103" t="str">
        <f t="shared" si="41"/>
        <v/>
      </c>
      <c r="P141" s="53">
        <v>0</v>
      </c>
      <c r="Q141" s="102" t="str">
        <f t="shared" si="42"/>
        <v/>
      </c>
      <c r="R141" s="103" t="str">
        <f t="shared" si="43"/>
        <v/>
      </c>
      <c r="S141" s="53">
        <v>0</v>
      </c>
      <c r="T141" s="102" t="str">
        <f t="shared" si="44"/>
        <v/>
      </c>
      <c r="U141" s="103" t="str">
        <f t="shared" si="45"/>
        <v/>
      </c>
      <c r="V141" s="53">
        <v>0</v>
      </c>
      <c r="W141" s="87" t="str">
        <f t="shared" si="46"/>
        <v/>
      </c>
      <c r="X141" s="103" t="str">
        <f t="shared" si="47"/>
        <v/>
      </c>
      <c r="Y141" s="53">
        <v>0</v>
      </c>
      <c r="Z141" s="56" t="str">
        <f t="shared" si="48"/>
        <v/>
      </c>
      <c r="AA141" s="56" t="str">
        <f t="shared" si="49"/>
        <v/>
      </c>
      <c r="AB141" s="56" t="str">
        <f t="shared" si="50"/>
        <v/>
      </c>
      <c r="AC141" s="56" t="str">
        <f t="shared" si="51"/>
        <v/>
      </c>
      <c r="AD141" s="56" t="str">
        <f t="shared" si="52"/>
        <v/>
      </c>
      <c r="AE141" s="40"/>
      <c r="AF141" s="40"/>
      <c r="AG141" s="40"/>
      <c r="AH141" s="56" t="str">
        <f t="shared" si="36"/>
        <v/>
      </c>
      <c r="AI141" s="54"/>
      <c r="AJ141" s="54"/>
      <c r="AK141" s="54"/>
      <c r="AL141" s="54"/>
      <c r="AM141" s="54"/>
    </row>
    <row r="142" spans="1:39">
      <c r="A142" s="45" t="str" cm="1">
        <f t="array" ref="A142">IF(H142="PROJECT", CHAR(10) &amp; "- " &amp; _xlfn.TEXTJOIN(CHAR(10) &amp; "- ", TRUE, _xlfn._xlws.FILTER($I$9:$I$1000, ($B$9:$B$1000=B142) * ($H$9:$H$1000="Topic"))), "")</f>
        <v/>
      </c>
      <c r="B142" s="45" t="str">
        <f t="shared" si="37"/>
        <v/>
      </c>
      <c r="C142" s="95"/>
      <c r="D142" s="57"/>
      <c r="E142" s="58"/>
      <c r="F142" s="54"/>
      <c r="G142" s="52"/>
      <c r="H142" s="52"/>
      <c r="I142" s="61"/>
      <c r="J142" s="62"/>
      <c r="K142" s="129" t="str">
        <f t="shared" si="38"/>
        <v/>
      </c>
      <c r="L142" s="103" t="str">
        <f t="shared" si="39"/>
        <v/>
      </c>
      <c r="M142" s="52">
        <v>0</v>
      </c>
      <c r="N142" s="102" t="str">
        <f t="shared" si="40"/>
        <v/>
      </c>
      <c r="O142" s="103" t="str">
        <f t="shared" si="41"/>
        <v/>
      </c>
      <c r="P142" s="52">
        <v>0</v>
      </c>
      <c r="Q142" s="102" t="str">
        <f t="shared" si="42"/>
        <v/>
      </c>
      <c r="R142" s="103" t="str">
        <f t="shared" si="43"/>
        <v/>
      </c>
      <c r="S142" s="52">
        <v>0</v>
      </c>
      <c r="T142" s="102" t="str">
        <f t="shared" si="44"/>
        <v/>
      </c>
      <c r="U142" s="103" t="str">
        <f t="shared" si="45"/>
        <v/>
      </c>
      <c r="V142" s="52">
        <v>0</v>
      </c>
      <c r="W142" s="87" t="str">
        <f t="shared" si="46"/>
        <v/>
      </c>
      <c r="X142" s="103" t="str">
        <f t="shared" si="47"/>
        <v/>
      </c>
      <c r="Y142" s="52">
        <v>0</v>
      </c>
      <c r="Z142" s="56" t="str">
        <f t="shared" si="48"/>
        <v/>
      </c>
      <c r="AA142" s="56" t="str">
        <f t="shared" si="49"/>
        <v/>
      </c>
      <c r="AB142" s="56" t="str">
        <f t="shared" si="50"/>
        <v/>
      </c>
      <c r="AC142" s="56" t="str">
        <f t="shared" si="51"/>
        <v/>
      </c>
      <c r="AD142" s="56" t="str">
        <f t="shared" si="52"/>
        <v/>
      </c>
      <c r="AE142" s="40"/>
      <c r="AF142" s="40"/>
      <c r="AG142" s="40"/>
      <c r="AH142" s="56" t="str">
        <f t="shared" si="36"/>
        <v/>
      </c>
      <c r="AI142" s="54"/>
      <c r="AJ142" s="54"/>
      <c r="AK142" s="54"/>
      <c r="AL142" s="54"/>
      <c r="AM142" s="54"/>
    </row>
    <row r="143" spans="1:39">
      <c r="A143" s="45" t="str" cm="1">
        <f t="array" ref="A143">IF(H143="PROJECT", CHAR(10) &amp; "- " &amp; _xlfn.TEXTJOIN(CHAR(10) &amp; "- ", TRUE, _xlfn._xlws.FILTER($I$9:$I$1000, ($B$9:$B$1000=B143) * ($H$9:$H$1000="Topic"))), "")</f>
        <v/>
      </c>
      <c r="B143" s="45" t="str">
        <f t="shared" si="37"/>
        <v/>
      </c>
      <c r="C143" s="95"/>
      <c r="D143" s="46"/>
      <c r="E143" s="58"/>
      <c r="F143" s="67"/>
      <c r="G143" s="53"/>
      <c r="H143" s="53"/>
      <c r="I143" s="50"/>
      <c r="J143" s="51"/>
      <c r="K143" s="129" t="str">
        <f t="shared" si="38"/>
        <v/>
      </c>
      <c r="L143" s="103" t="str">
        <f t="shared" si="39"/>
        <v/>
      </c>
      <c r="M143" s="53">
        <v>0</v>
      </c>
      <c r="N143" s="102" t="str">
        <f t="shared" si="40"/>
        <v/>
      </c>
      <c r="O143" s="103" t="str">
        <f t="shared" si="41"/>
        <v/>
      </c>
      <c r="P143" s="53">
        <v>0</v>
      </c>
      <c r="Q143" s="102" t="str">
        <f t="shared" si="42"/>
        <v/>
      </c>
      <c r="R143" s="103" t="str">
        <f t="shared" si="43"/>
        <v/>
      </c>
      <c r="S143" s="53">
        <v>0</v>
      </c>
      <c r="T143" s="102" t="str">
        <f t="shared" si="44"/>
        <v/>
      </c>
      <c r="U143" s="103" t="str">
        <f t="shared" si="45"/>
        <v/>
      </c>
      <c r="V143" s="53">
        <v>0</v>
      </c>
      <c r="W143" s="87" t="str">
        <f t="shared" si="46"/>
        <v/>
      </c>
      <c r="X143" s="103" t="str">
        <f t="shared" si="47"/>
        <v/>
      </c>
      <c r="Y143" s="53">
        <v>0</v>
      </c>
      <c r="Z143" s="56" t="str">
        <f t="shared" si="48"/>
        <v/>
      </c>
      <c r="AA143" s="56" t="str">
        <f t="shared" si="49"/>
        <v/>
      </c>
      <c r="AB143" s="56" t="str">
        <f t="shared" si="50"/>
        <v/>
      </c>
      <c r="AC143" s="56" t="str">
        <f t="shared" si="51"/>
        <v/>
      </c>
      <c r="AD143" s="56" t="str">
        <f t="shared" si="52"/>
        <v/>
      </c>
      <c r="AE143" s="40"/>
      <c r="AF143" s="40"/>
      <c r="AG143" s="40"/>
      <c r="AH143" s="56" t="str">
        <f t="shared" si="36"/>
        <v/>
      </c>
      <c r="AI143" s="54"/>
      <c r="AJ143" s="54"/>
      <c r="AK143" s="54"/>
      <c r="AL143" s="54"/>
      <c r="AM143" s="54"/>
    </row>
    <row r="144" spans="1:39">
      <c r="A144" s="45" t="str" cm="1">
        <f t="array" ref="A144">IF(H144="PROJECT", CHAR(10) &amp; "- " &amp; _xlfn.TEXTJOIN(CHAR(10) &amp; "- ", TRUE, _xlfn._xlws.FILTER($I$9:$I$1000, ($B$9:$B$1000=B144) * ($H$9:$H$1000="Topic"))), "")</f>
        <v/>
      </c>
      <c r="B144" s="45" t="str">
        <f t="shared" si="37"/>
        <v/>
      </c>
      <c r="C144" s="95"/>
      <c r="D144" s="57"/>
      <c r="E144" s="58"/>
      <c r="F144" s="54"/>
      <c r="G144" s="52"/>
      <c r="H144" s="52"/>
      <c r="I144" s="61"/>
      <c r="J144" s="62"/>
      <c r="K144" s="129" t="str">
        <f t="shared" si="38"/>
        <v/>
      </c>
      <c r="L144" s="103" t="str">
        <f t="shared" si="39"/>
        <v/>
      </c>
      <c r="M144" s="52">
        <v>0</v>
      </c>
      <c r="N144" s="102" t="str">
        <f t="shared" si="40"/>
        <v/>
      </c>
      <c r="O144" s="103" t="str">
        <f t="shared" si="41"/>
        <v/>
      </c>
      <c r="P144" s="52">
        <v>0</v>
      </c>
      <c r="Q144" s="102" t="str">
        <f t="shared" si="42"/>
        <v/>
      </c>
      <c r="R144" s="103" t="str">
        <f t="shared" si="43"/>
        <v/>
      </c>
      <c r="S144" s="52">
        <v>0</v>
      </c>
      <c r="T144" s="102" t="str">
        <f t="shared" si="44"/>
        <v/>
      </c>
      <c r="U144" s="103" t="str">
        <f t="shared" si="45"/>
        <v/>
      </c>
      <c r="V144" s="52">
        <v>0</v>
      </c>
      <c r="W144" s="87" t="str">
        <f t="shared" si="46"/>
        <v/>
      </c>
      <c r="X144" s="103" t="str">
        <f t="shared" si="47"/>
        <v/>
      </c>
      <c r="Y144" s="52">
        <v>0</v>
      </c>
      <c r="Z144" s="56" t="str">
        <f t="shared" si="48"/>
        <v/>
      </c>
      <c r="AA144" s="56" t="str">
        <f t="shared" si="49"/>
        <v/>
      </c>
      <c r="AB144" s="56" t="str">
        <f t="shared" si="50"/>
        <v/>
      </c>
      <c r="AC144" s="56" t="str">
        <f t="shared" si="51"/>
        <v/>
      </c>
      <c r="AD144" s="56" t="str">
        <f t="shared" si="52"/>
        <v/>
      </c>
      <c r="AE144" s="40"/>
      <c r="AF144" s="40"/>
      <c r="AG144" s="40"/>
      <c r="AH144" s="56" t="str">
        <f t="shared" si="36"/>
        <v/>
      </c>
      <c r="AI144" s="54"/>
      <c r="AJ144" s="54"/>
      <c r="AK144" s="54"/>
      <c r="AL144" s="54"/>
      <c r="AM144" s="54"/>
    </row>
    <row r="145" spans="1:39">
      <c r="A145" s="45" t="str" cm="1">
        <f t="array" ref="A145">IF(H145="PROJECT", CHAR(10) &amp; "- " &amp; _xlfn.TEXTJOIN(CHAR(10) &amp; "- ", TRUE, _xlfn._xlws.FILTER($I$9:$I$1000, ($B$9:$B$1000=B145) * ($H$9:$H$1000="Topic"))), "")</f>
        <v/>
      </c>
      <c r="B145" s="45" t="str">
        <f t="shared" si="37"/>
        <v/>
      </c>
      <c r="C145" s="95"/>
      <c r="D145" s="46"/>
      <c r="E145" s="58"/>
      <c r="F145" s="67"/>
      <c r="G145" s="53"/>
      <c r="H145" s="53"/>
      <c r="I145" s="50"/>
      <c r="J145" s="51"/>
      <c r="K145" s="129" t="str">
        <f t="shared" si="38"/>
        <v/>
      </c>
      <c r="L145" s="103" t="str">
        <f t="shared" si="39"/>
        <v/>
      </c>
      <c r="M145" s="53">
        <v>0</v>
      </c>
      <c r="N145" s="102" t="str">
        <f t="shared" si="40"/>
        <v/>
      </c>
      <c r="O145" s="103" t="str">
        <f t="shared" si="41"/>
        <v/>
      </c>
      <c r="P145" s="53">
        <v>0</v>
      </c>
      <c r="Q145" s="102" t="str">
        <f t="shared" si="42"/>
        <v/>
      </c>
      <c r="R145" s="103" t="str">
        <f t="shared" si="43"/>
        <v/>
      </c>
      <c r="S145" s="53">
        <v>0</v>
      </c>
      <c r="T145" s="102" t="str">
        <f t="shared" si="44"/>
        <v/>
      </c>
      <c r="U145" s="103" t="str">
        <f t="shared" si="45"/>
        <v/>
      </c>
      <c r="V145" s="53">
        <v>0</v>
      </c>
      <c r="W145" s="87" t="str">
        <f t="shared" si="46"/>
        <v/>
      </c>
      <c r="X145" s="103" t="str">
        <f t="shared" si="47"/>
        <v/>
      </c>
      <c r="Y145" s="53">
        <v>0</v>
      </c>
      <c r="Z145" s="56" t="str">
        <f t="shared" si="48"/>
        <v/>
      </c>
      <c r="AA145" s="56" t="str">
        <f t="shared" si="49"/>
        <v/>
      </c>
      <c r="AB145" s="56" t="str">
        <f t="shared" si="50"/>
        <v/>
      </c>
      <c r="AC145" s="56" t="str">
        <f t="shared" si="51"/>
        <v/>
      </c>
      <c r="AD145" s="56" t="str">
        <f t="shared" si="52"/>
        <v/>
      </c>
      <c r="AE145" s="40"/>
      <c r="AF145" s="40"/>
      <c r="AG145" s="40"/>
      <c r="AH145" s="56" t="str">
        <f t="shared" si="36"/>
        <v/>
      </c>
      <c r="AI145" s="54"/>
      <c r="AJ145" s="54"/>
      <c r="AK145" s="54"/>
      <c r="AL145" s="54"/>
      <c r="AM145" s="54"/>
    </row>
    <row r="146" spans="1:39">
      <c r="A146" s="45" t="str" cm="1">
        <f t="array" ref="A146">IF(H146="PROJECT", CHAR(10) &amp; "- " &amp; _xlfn.TEXTJOIN(CHAR(10) &amp; "- ", TRUE, _xlfn._xlws.FILTER($I$9:$I$1000, ($B$9:$B$1000=B146) * ($H$9:$H$1000="Topic"))), "")</f>
        <v/>
      </c>
      <c r="B146" s="45" t="str">
        <f t="shared" si="37"/>
        <v/>
      </c>
      <c r="C146" s="95"/>
      <c r="D146" s="57"/>
      <c r="E146" s="58"/>
      <c r="F146" s="54"/>
      <c r="G146" s="52"/>
      <c r="H146" s="52"/>
      <c r="I146" s="61"/>
      <c r="J146" s="62"/>
      <c r="K146" s="129" t="str">
        <f t="shared" si="38"/>
        <v/>
      </c>
      <c r="L146" s="103" t="str">
        <f t="shared" si="39"/>
        <v/>
      </c>
      <c r="M146" s="52">
        <v>0</v>
      </c>
      <c r="N146" s="102" t="str">
        <f t="shared" si="40"/>
        <v/>
      </c>
      <c r="O146" s="103" t="str">
        <f t="shared" si="41"/>
        <v/>
      </c>
      <c r="P146" s="52">
        <v>0</v>
      </c>
      <c r="Q146" s="102" t="str">
        <f t="shared" si="42"/>
        <v/>
      </c>
      <c r="R146" s="103" t="str">
        <f t="shared" si="43"/>
        <v/>
      </c>
      <c r="S146" s="52">
        <v>0</v>
      </c>
      <c r="T146" s="102" t="str">
        <f t="shared" si="44"/>
        <v/>
      </c>
      <c r="U146" s="103" t="str">
        <f t="shared" si="45"/>
        <v/>
      </c>
      <c r="V146" s="52">
        <v>0</v>
      </c>
      <c r="W146" s="87" t="str">
        <f t="shared" si="46"/>
        <v/>
      </c>
      <c r="X146" s="103" t="str">
        <f t="shared" si="47"/>
        <v/>
      </c>
      <c r="Y146" s="52">
        <v>0</v>
      </c>
      <c r="Z146" s="56" t="str">
        <f t="shared" si="48"/>
        <v/>
      </c>
      <c r="AA146" s="56" t="str">
        <f t="shared" si="49"/>
        <v/>
      </c>
      <c r="AB146" s="56" t="str">
        <f t="shared" si="50"/>
        <v/>
      </c>
      <c r="AC146" s="56" t="str">
        <f t="shared" si="51"/>
        <v/>
      </c>
      <c r="AD146" s="56" t="str">
        <f t="shared" si="52"/>
        <v/>
      </c>
      <c r="AE146" s="40"/>
      <c r="AF146" s="40"/>
      <c r="AG146" s="40"/>
      <c r="AH146" s="56" t="str">
        <f t="shared" si="36"/>
        <v/>
      </c>
      <c r="AI146" s="54"/>
      <c r="AJ146" s="54"/>
      <c r="AK146" s="54"/>
      <c r="AL146" s="54"/>
      <c r="AM146" s="54"/>
    </row>
    <row r="147" spans="1:39">
      <c r="A147" s="45" t="str" cm="1">
        <f t="array" ref="A147">IF(H147="PROJECT", CHAR(10) &amp; "- " &amp; _xlfn.TEXTJOIN(CHAR(10) &amp; "- ", TRUE, _xlfn._xlws.FILTER($I$9:$I$1000, ($B$9:$B$1000=B147) * ($H$9:$H$1000="Topic"))), "")</f>
        <v/>
      </c>
      <c r="B147" s="45" t="str">
        <f t="shared" si="37"/>
        <v/>
      </c>
      <c r="C147" s="95"/>
      <c r="D147" s="46"/>
      <c r="E147" s="58"/>
      <c r="F147" s="67"/>
      <c r="G147" s="53"/>
      <c r="H147" s="53"/>
      <c r="I147" s="50"/>
      <c r="J147" s="51"/>
      <c r="K147" s="129" t="str">
        <f t="shared" si="38"/>
        <v/>
      </c>
      <c r="L147" s="103" t="str">
        <f t="shared" si="39"/>
        <v/>
      </c>
      <c r="M147" s="53">
        <v>0</v>
      </c>
      <c r="N147" s="102" t="str">
        <f t="shared" si="40"/>
        <v/>
      </c>
      <c r="O147" s="103" t="str">
        <f t="shared" si="41"/>
        <v/>
      </c>
      <c r="P147" s="53">
        <v>0</v>
      </c>
      <c r="Q147" s="102" t="str">
        <f t="shared" si="42"/>
        <v/>
      </c>
      <c r="R147" s="103" t="str">
        <f t="shared" si="43"/>
        <v/>
      </c>
      <c r="S147" s="53">
        <v>0</v>
      </c>
      <c r="T147" s="102" t="str">
        <f t="shared" si="44"/>
        <v/>
      </c>
      <c r="U147" s="103" t="str">
        <f t="shared" si="45"/>
        <v/>
      </c>
      <c r="V147" s="53">
        <v>0</v>
      </c>
      <c r="W147" s="87" t="str">
        <f t="shared" si="46"/>
        <v/>
      </c>
      <c r="X147" s="103" t="str">
        <f t="shared" si="47"/>
        <v/>
      </c>
      <c r="Y147" s="53">
        <v>0</v>
      </c>
      <c r="Z147" s="56" t="str">
        <f t="shared" si="48"/>
        <v/>
      </c>
      <c r="AA147" s="56" t="str">
        <f t="shared" si="49"/>
        <v/>
      </c>
      <c r="AB147" s="56" t="str">
        <f t="shared" si="50"/>
        <v/>
      </c>
      <c r="AC147" s="56" t="str">
        <f t="shared" si="51"/>
        <v/>
      </c>
      <c r="AD147" s="56" t="str">
        <f t="shared" si="52"/>
        <v/>
      </c>
      <c r="AE147" s="40"/>
      <c r="AF147" s="40"/>
      <c r="AG147" s="40"/>
      <c r="AH147" s="56" t="str">
        <f t="shared" si="36"/>
        <v/>
      </c>
      <c r="AI147" s="54"/>
      <c r="AJ147" s="54"/>
      <c r="AK147" s="54"/>
      <c r="AL147" s="54"/>
      <c r="AM147" s="54"/>
    </row>
    <row r="148" spans="1:39">
      <c r="A148" s="45" t="str" cm="1">
        <f t="array" ref="A148">IF(H148="PROJECT", CHAR(10) &amp; "- " &amp; _xlfn.TEXTJOIN(CHAR(10) &amp; "- ", TRUE, _xlfn._xlws.FILTER($I$9:$I$1000, ($B$9:$B$1000=B148) * ($H$9:$H$1000="Topic"))), "")</f>
        <v/>
      </c>
      <c r="B148" s="45" t="str">
        <f t="shared" si="37"/>
        <v/>
      </c>
      <c r="C148" s="95"/>
      <c r="D148" s="57"/>
      <c r="E148" s="58"/>
      <c r="F148" s="54"/>
      <c r="G148" s="52"/>
      <c r="H148" s="52"/>
      <c r="I148" s="61"/>
      <c r="J148" s="62"/>
      <c r="K148" s="129" t="str">
        <f t="shared" si="38"/>
        <v/>
      </c>
      <c r="L148" s="103" t="str">
        <f t="shared" si="39"/>
        <v/>
      </c>
      <c r="M148" s="52">
        <v>0</v>
      </c>
      <c r="N148" s="102" t="str">
        <f t="shared" si="40"/>
        <v/>
      </c>
      <c r="O148" s="103" t="str">
        <f t="shared" si="41"/>
        <v/>
      </c>
      <c r="P148" s="52">
        <v>0</v>
      </c>
      <c r="Q148" s="102" t="str">
        <f t="shared" si="42"/>
        <v/>
      </c>
      <c r="R148" s="103" t="str">
        <f t="shared" si="43"/>
        <v/>
      </c>
      <c r="S148" s="52">
        <v>0</v>
      </c>
      <c r="T148" s="102" t="str">
        <f t="shared" si="44"/>
        <v/>
      </c>
      <c r="U148" s="103" t="str">
        <f t="shared" si="45"/>
        <v/>
      </c>
      <c r="V148" s="52">
        <v>0</v>
      </c>
      <c r="W148" s="87" t="str">
        <f t="shared" si="46"/>
        <v/>
      </c>
      <c r="X148" s="103" t="str">
        <f t="shared" si="47"/>
        <v/>
      </c>
      <c r="Y148" s="52">
        <v>0</v>
      </c>
      <c r="Z148" s="56" t="str">
        <f t="shared" si="48"/>
        <v/>
      </c>
      <c r="AA148" s="56" t="str">
        <f t="shared" si="49"/>
        <v/>
      </c>
      <c r="AB148" s="56" t="str">
        <f t="shared" si="50"/>
        <v/>
      </c>
      <c r="AC148" s="56" t="str">
        <f t="shared" si="51"/>
        <v/>
      </c>
      <c r="AD148" s="56" t="str">
        <f t="shared" si="52"/>
        <v/>
      </c>
      <c r="AE148" s="40"/>
      <c r="AF148" s="40"/>
      <c r="AG148" s="40"/>
      <c r="AH148" s="56" t="str">
        <f t="shared" si="36"/>
        <v/>
      </c>
      <c r="AI148" s="54"/>
      <c r="AJ148" s="54"/>
      <c r="AK148" s="54"/>
      <c r="AL148" s="54"/>
      <c r="AM148" s="54"/>
    </row>
    <row r="149" spans="1:39">
      <c r="A149" s="45" t="str" cm="1">
        <f t="array" ref="A149">IF(H149="PROJECT", CHAR(10) &amp; "- " &amp; _xlfn.TEXTJOIN(CHAR(10) &amp; "- ", TRUE, _xlfn._xlws.FILTER($I$9:$I$1000, ($B$9:$B$1000=B149) * ($H$9:$H$1000="Topic"))), "")</f>
        <v/>
      </c>
      <c r="B149" s="45" t="str">
        <f t="shared" si="37"/>
        <v/>
      </c>
      <c r="C149" s="95"/>
      <c r="D149" s="46"/>
      <c r="E149" s="58"/>
      <c r="F149" s="67"/>
      <c r="G149" s="53"/>
      <c r="H149" s="53"/>
      <c r="I149" s="50"/>
      <c r="J149" s="51"/>
      <c r="K149" s="129" t="str">
        <f t="shared" si="38"/>
        <v/>
      </c>
      <c r="L149" s="103" t="str">
        <f t="shared" si="39"/>
        <v/>
      </c>
      <c r="M149" s="53">
        <v>0</v>
      </c>
      <c r="N149" s="102" t="str">
        <f t="shared" si="40"/>
        <v/>
      </c>
      <c r="O149" s="103" t="str">
        <f t="shared" si="41"/>
        <v/>
      </c>
      <c r="P149" s="53">
        <v>0</v>
      </c>
      <c r="Q149" s="102" t="str">
        <f t="shared" si="42"/>
        <v/>
      </c>
      <c r="R149" s="103" t="str">
        <f t="shared" si="43"/>
        <v/>
      </c>
      <c r="S149" s="53">
        <v>0</v>
      </c>
      <c r="T149" s="102" t="str">
        <f t="shared" si="44"/>
        <v/>
      </c>
      <c r="U149" s="103" t="str">
        <f t="shared" si="45"/>
        <v/>
      </c>
      <c r="V149" s="53">
        <v>0</v>
      </c>
      <c r="W149" s="87" t="str">
        <f t="shared" si="46"/>
        <v/>
      </c>
      <c r="X149" s="103" t="str">
        <f t="shared" si="47"/>
        <v/>
      </c>
      <c r="Y149" s="53">
        <v>0</v>
      </c>
      <c r="Z149" s="56" t="str">
        <f t="shared" si="48"/>
        <v/>
      </c>
      <c r="AA149" s="56" t="str">
        <f t="shared" si="49"/>
        <v/>
      </c>
      <c r="AB149" s="56" t="str">
        <f t="shared" si="50"/>
        <v/>
      </c>
      <c r="AC149" s="56" t="str">
        <f t="shared" si="51"/>
        <v/>
      </c>
      <c r="AD149" s="56" t="str">
        <f t="shared" si="52"/>
        <v/>
      </c>
      <c r="AE149" s="40"/>
      <c r="AF149" s="40"/>
      <c r="AG149" s="40"/>
      <c r="AH149" s="56" t="str">
        <f t="shared" si="36"/>
        <v/>
      </c>
      <c r="AI149" s="54"/>
      <c r="AJ149" s="54"/>
      <c r="AK149" s="54"/>
      <c r="AL149" s="54"/>
      <c r="AM149" s="54"/>
    </row>
    <row r="150" spans="1:39">
      <c r="A150" s="45" t="str" cm="1">
        <f t="array" ref="A150">IF(H150="PROJECT", CHAR(10) &amp; "- " &amp; _xlfn.TEXTJOIN(CHAR(10) &amp; "- ", TRUE, _xlfn._xlws.FILTER($I$9:$I$1000, ($B$9:$B$1000=B150) * ($H$9:$H$1000="Topic"))), "")</f>
        <v/>
      </c>
      <c r="B150" s="45" t="str">
        <f t="shared" si="37"/>
        <v/>
      </c>
      <c r="C150" s="95"/>
      <c r="D150" s="57"/>
      <c r="E150" s="58"/>
      <c r="F150" s="54"/>
      <c r="G150" s="52"/>
      <c r="H150" s="52"/>
      <c r="I150" s="61"/>
      <c r="J150" s="62"/>
      <c r="K150" s="129" t="str">
        <f t="shared" si="38"/>
        <v/>
      </c>
      <c r="L150" s="103" t="str">
        <f t="shared" si="39"/>
        <v/>
      </c>
      <c r="M150" s="52">
        <v>0</v>
      </c>
      <c r="N150" s="102" t="str">
        <f t="shared" si="40"/>
        <v/>
      </c>
      <c r="O150" s="103" t="str">
        <f t="shared" si="41"/>
        <v/>
      </c>
      <c r="P150" s="52">
        <v>0</v>
      </c>
      <c r="Q150" s="102" t="str">
        <f t="shared" si="42"/>
        <v/>
      </c>
      <c r="R150" s="103" t="str">
        <f t="shared" si="43"/>
        <v/>
      </c>
      <c r="S150" s="52">
        <v>0</v>
      </c>
      <c r="T150" s="102" t="str">
        <f t="shared" si="44"/>
        <v/>
      </c>
      <c r="U150" s="103" t="str">
        <f t="shared" si="45"/>
        <v/>
      </c>
      <c r="V150" s="52">
        <v>0</v>
      </c>
      <c r="W150" s="87" t="str">
        <f t="shared" si="46"/>
        <v/>
      </c>
      <c r="X150" s="103" t="str">
        <f t="shared" si="47"/>
        <v/>
      </c>
      <c r="Y150" s="52">
        <v>0</v>
      </c>
      <c r="Z150" s="56" t="str">
        <f t="shared" si="48"/>
        <v/>
      </c>
      <c r="AA150" s="56" t="str">
        <f t="shared" si="49"/>
        <v/>
      </c>
      <c r="AB150" s="56" t="str">
        <f t="shared" si="50"/>
        <v/>
      </c>
      <c r="AC150" s="56" t="str">
        <f t="shared" si="51"/>
        <v/>
      </c>
      <c r="AD150" s="56" t="str">
        <f t="shared" si="52"/>
        <v/>
      </c>
      <c r="AE150" s="40"/>
      <c r="AF150" s="40"/>
      <c r="AG150" s="40"/>
      <c r="AH150" s="56" t="str">
        <f t="shared" si="36"/>
        <v/>
      </c>
      <c r="AI150" s="54"/>
      <c r="AJ150" s="54"/>
      <c r="AK150" s="54"/>
      <c r="AL150" s="54"/>
      <c r="AM150" s="54"/>
    </row>
    <row r="151" spans="1:39">
      <c r="A151" s="45" t="str" cm="1">
        <f t="array" ref="A151">IF(H151="PROJECT", CHAR(10) &amp; "- " &amp; _xlfn.TEXTJOIN(CHAR(10) &amp; "- ", TRUE, _xlfn._xlws.FILTER($I$9:$I$1000, ($B$9:$B$1000=B151) * ($H$9:$H$1000="Topic"))), "")</f>
        <v/>
      </c>
      <c r="B151" s="45" t="str">
        <f t="shared" si="37"/>
        <v/>
      </c>
      <c r="C151" s="95"/>
      <c r="D151" s="46"/>
      <c r="E151" s="58"/>
      <c r="F151" s="67"/>
      <c r="G151" s="53"/>
      <c r="H151" s="53"/>
      <c r="I151" s="50"/>
      <c r="J151" s="51"/>
      <c r="K151" s="129" t="str">
        <f t="shared" si="38"/>
        <v/>
      </c>
      <c r="L151" s="103" t="str">
        <f t="shared" si="39"/>
        <v/>
      </c>
      <c r="M151" s="53">
        <v>0</v>
      </c>
      <c r="N151" s="102" t="str">
        <f t="shared" si="40"/>
        <v/>
      </c>
      <c r="O151" s="103" t="str">
        <f t="shared" si="41"/>
        <v/>
      </c>
      <c r="P151" s="53">
        <v>0</v>
      </c>
      <c r="Q151" s="102" t="str">
        <f t="shared" si="42"/>
        <v/>
      </c>
      <c r="R151" s="103" t="str">
        <f t="shared" si="43"/>
        <v/>
      </c>
      <c r="S151" s="53">
        <v>0</v>
      </c>
      <c r="T151" s="102" t="str">
        <f t="shared" si="44"/>
        <v/>
      </c>
      <c r="U151" s="103" t="str">
        <f t="shared" si="45"/>
        <v/>
      </c>
      <c r="V151" s="53">
        <v>0</v>
      </c>
      <c r="W151" s="87" t="str">
        <f t="shared" si="46"/>
        <v/>
      </c>
      <c r="X151" s="103" t="str">
        <f t="shared" si="47"/>
        <v/>
      </c>
      <c r="Y151" s="53">
        <v>0</v>
      </c>
      <c r="Z151" s="56" t="str">
        <f t="shared" si="48"/>
        <v/>
      </c>
      <c r="AA151" s="56" t="str">
        <f t="shared" si="49"/>
        <v/>
      </c>
      <c r="AB151" s="56" t="str">
        <f t="shared" si="50"/>
        <v/>
      </c>
      <c r="AC151" s="56" t="str">
        <f t="shared" si="51"/>
        <v/>
      </c>
      <c r="AD151" s="56" t="str">
        <f t="shared" si="52"/>
        <v/>
      </c>
      <c r="AE151" s="40"/>
      <c r="AF151" s="40"/>
      <c r="AG151" s="40"/>
      <c r="AH151" s="56" t="str">
        <f t="shared" si="36"/>
        <v/>
      </c>
      <c r="AI151" s="54"/>
      <c r="AJ151" s="54"/>
      <c r="AK151" s="54"/>
      <c r="AL151" s="54"/>
      <c r="AM151" s="54"/>
    </row>
    <row r="152" spans="1:39">
      <c r="A152" s="45" t="str" cm="1">
        <f t="array" ref="A152">IF(H152="PROJECT", CHAR(10) &amp; "- " &amp; _xlfn.TEXTJOIN(CHAR(10) &amp; "- ", TRUE, _xlfn._xlws.FILTER($I$9:$I$1000, ($B$9:$B$1000=B152) * ($H$9:$H$1000="Topic"))), "")</f>
        <v/>
      </c>
      <c r="B152" s="45" t="str">
        <f t="shared" si="37"/>
        <v/>
      </c>
      <c r="C152" s="95"/>
      <c r="D152" s="57"/>
      <c r="E152" s="58"/>
      <c r="F152" s="54"/>
      <c r="G152" s="52"/>
      <c r="H152" s="52"/>
      <c r="I152" s="61"/>
      <c r="J152" s="62"/>
      <c r="K152" s="129" t="str">
        <f t="shared" si="38"/>
        <v/>
      </c>
      <c r="L152" s="103" t="str">
        <f t="shared" si="39"/>
        <v/>
      </c>
      <c r="M152" s="52">
        <v>0</v>
      </c>
      <c r="N152" s="102" t="str">
        <f t="shared" si="40"/>
        <v/>
      </c>
      <c r="O152" s="103" t="str">
        <f t="shared" si="41"/>
        <v/>
      </c>
      <c r="P152" s="52">
        <v>0</v>
      </c>
      <c r="Q152" s="102" t="str">
        <f t="shared" si="42"/>
        <v/>
      </c>
      <c r="R152" s="103" t="str">
        <f t="shared" si="43"/>
        <v/>
      </c>
      <c r="S152" s="52">
        <v>0</v>
      </c>
      <c r="T152" s="102" t="str">
        <f t="shared" si="44"/>
        <v/>
      </c>
      <c r="U152" s="103" t="str">
        <f t="shared" si="45"/>
        <v/>
      </c>
      <c r="V152" s="52">
        <v>0</v>
      </c>
      <c r="W152" s="87" t="str">
        <f t="shared" si="46"/>
        <v/>
      </c>
      <c r="X152" s="103" t="str">
        <f t="shared" si="47"/>
        <v/>
      </c>
      <c r="Y152" s="52">
        <v>0</v>
      </c>
      <c r="Z152" s="56" t="str">
        <f t="shared" si="48"/>
        <v/>
      </c>
      <c r="AA152" s="56" t="str">
        <f t="shared" si="49"/>
        <v/>
      </c>
      <c r="AB152" s="56" t="str">
        <f t="shared" si="50"/>
        <v/>
      </c>
      <c r="AC152" s="56" t="str">
        <f t="shared" si="51"/>
        <v/>
      </c>
      <c r="AD152" s="56" t="str">
        <f t="shared" si="52"/>
        <v/>
      </c>
      <c r="AE152" s="40"/>
      <c r="AF152" s="40"/>
      <c r="AG152" s="40"/>
      <c r="AH152" s="56" t="str">
        <f t="shared" si="36"/>
        <v/>
      </c>
      <c r="AI152" s="54"/>
      <c r="AJ152" s="54"/>
      <c r="AK152" s="54"/>
      <c r="AL152" s="54"/>
      <c r="AM152" s="54"/>
    </row>
    <row r="153" spans="1:39">
      <c r="A153" s="45" t="str" cm="1">
        <f t="array" ref="A153">IF(H153="PROJECT", CHAR(10) &amp; "- " &amp; _xlfn.TEXTJOIN(CHAR(10) &amp; "- ", TRUE, _xlfn._xlws.FILTER($I$9:$I$1000, ($B$9:$B$1000=B153) * ($H$9:$H$1000="Topic"))), "")</f>
        <v/>
      </c>
      <c r="B153" s="45" t="str">
        <f t="shared" si="37"/>
        <v/>
      </c>
      <c r="C153" s="95"/>
      <c r="D153" s="46"/>
      <c r="E153" s="58"/>
      <c r="F153" s="67"/>
      <c r="G153" s="53"/>
      <c r="H153" s="53"/>
      <c r="I153" s="50"/>
      <c r="J153" s="51"/>
      <c r="K153" s="129" t="str">
        <f t="shared" si="38"/>
        <v/>
      </c>
      <c r="L153" s="103" t="str">
        <f t="shared" si="39"/>
        <v/>
      </c>
      <c r="M153" s="53">
        <v>0</v>
      </c>
      <c r="N153" s="102" t="str">
        <f t="shared" si="40"/>
        <v/>
      </c>
      <c r="O153" s="103" t="str">
        <f t="shared" si="41"/>
        <v/>
      </c>
      <c r="P153" s="53">
        <v>0</v>
      </c>
      <c r="Q153" s="102" t="str">
        <f t="shared" si="42"/>
        <v/>
      </c>
      <c r="R153" s="103" t="str">
        <f t="shared" si="43"/>
        <v/>
      </c>
      <c r="S153" s="53">
        <v>0</v>
      </c>
      <c r="T153" s="102" t="str">
        <f t="shared" si="44"/>
        <v/>
      </c>
      <c r="U153" s="103" t="str">
        <f t="shared" si="45"/>
        <v/>
      </c>
      <c r="V153" s="53">
        <v>0</v>
      </c>
      <c r="W153" s="87" t="str">
        <f t="shared" si="46"/>
        <v/>
      </c>
      <c r="X153" s="103" t="str">
        <f t="shared" si="47"/>
        <v/>
      </c>
      <c r="Y153" s="53">
        <v>0</v>
      </c>
      <c r="Z153" s="56" t="str">
        <f t="shared" si="48"/>
        <v/>
      </c>
      <c r="AA153" s="56" t="str">
        <f t="shared" si="49"/>
        <v/>
      </c>
      <c r="AB153" s="56" t="str">
        <f t="shared" si="50"/>
        <v/>
      </c>
      <c r="AC153" s="56" t="str">
        <f t="shared" si="51"/>
        <v/>
      </c>
      <c r="AD153" s="56" t="str">
        <f t="shared" si="52"/>
        <v/>
      </c>
      <c r="AE153" s="40"/>
      <c r="AF153" s="40"/>
      <c r="AG153" s="40"/>
      <c r="AH153" s="56" t="str">
        <f t="shared" si="36"/>
        <v/>
      </c>
      <c r="AI153" s="54"/>
      <c r="AJ153" s="54"/>
      <c r="AK153" s="54"/>
      <c r="AL153" s="54"/>
      <c r="AM153" s="54"/>
    </row>
    <row r="154" spans="1:39">
      <c r="A154" s="45" t="str" cm="1">
        <f t="array" ref="A154">IF(H154="PROJECT", CHAR(10) &amp; "- " &amp; _xlfn.TEXTJOIN(CHAR(10) &amp; "- ", TRUE, _xlfn._xlws.FILTER($I$9:$I$1000, ($B$9:$B$1000=B154) * ($H$9:$H$1000="Topic"))), "")</f>
        <v/>
      </c>
      <c r="B154" s="45" t="str">
        <f t="shared" si="37"/>
        <v/>
      </c>
      <c r="C154" s="95"/>
      <c r="D154" s="57"/>
      <c r="E154" s="58"/>
      <c r="F154" s="54"/>
      <c r="G154" s="52"/>
      <c r="H154" s="52"/>
      <c r="I154" s="61"/>
      <c r="J154" s="62"/>
      <c r="K154" s="129" t="str">
        <f t="shared" si="38"/>
        <v/>
      </c>
      <c r="L154" s="103" t="str">
        <f t="shared" si="39"/>
        <v/>
      </c>
      <c r="M154" s="52">
        <v>0</v>
      </c>
      <c r="N154" s="102" t="str">
        <f t="shared" si="40"/>
        <v/>
      </c>
      <c r="O154" s="103" t="str">
        <f t="shared" si="41"/>
        <v/>
      </c>
      <c r="P154" s="52">
        <v>0</v>
      </c>
      <c r="Q154" s="102" t="str">
        <f t="shared" si="42"/>
        <v/>
      </c>
      <c r="R154" s="103" t="str">
        <f t="shared" si="43"/>
        <v/>
      </c>
      <c r="S154" s="52">
        <v>0</v>
      </c>
      <c r="T154" s="102" t="str">
        <f t="shared" si="44"/>
        <v/>
      </c>
      <c r="U154" s="103" t="str">
        <f t="shared" si="45"/>
        <v/>
      </c>
      <c r="V154" s="52">
        <v>0</v>
      </c>
      <c r="W154" s="87" t="str">
        <f t="shared" si="46"/>
        <v/>
      </c>
      <c r="X154" s="103" t="str">
        <f t="shared" si="47"/>
        <v/>
      </c>
      <c r="Y154" s="52">
        <v>0</v>
      </c>
      <c r="Z154" s="56" t="str">
        <f t="shared" si="48"/>
        <v/>
      </c>
      <c r="AA154" s="56" t="str">
        <f t="shared" si="49"/>
        <v/>
      </c>
      <c r="AB154" s="56" t="str">
        <f t="shared" si="50"/>
        <v/>
      </c>
      <c r="AC154" s="56" t="str">
        <f t="shared" si="51"/>
        <v/>
      </c>
      <c r="AD154" s="56" t="str">
        <f t="shared" si="52"/>
        <v/>
      </c>
      <c r="AE154" s="40"/>
      <c r="AF154" s="40"/>
      <c r="AG154" s="40"/>
      <c r="AH154" s="56" t="str">
        <f t="shared" si="36"/>
        <v/>
      </c>
      <c r="AI154" s="54"/>
      <c r="AJ154" s="54"/>
      <c r="AK154" s="54"/>
      <c r="AL154" s="54"/>
      <c r="AM154" s="54"/>
    </row>
    <row r="155" spans="1:39">
      <c r="A155" s="45" t="str" cm="1">
        <f t="array" ref="A155">IF(H155="PROJECT", CHAR(10) &amp; "- " &amp; _xlfn.TEXTJOIN(CHAR(10) &amp; "- ", TRUE, _xlfn._xlws.FILTER($I$9:$I$1000, ($B$9:$B$1000=B155) * ($H$9:$H$1000="Topic"))), "")</f>
        <v/>
      </c>
      <c r="B155" s="45" t="str">
        <f t="shared" si="37"/>
        <v/>
      </c>
      <c r="C155" s="95"/>
      <c r="D155" s="46"/>
      <c r="E155" s="58"/>
      <c r="F155" s="67"/>
      <c r="G155" s="53"/>
      <c r="H155" s="53"/>
      <c r="I155" s="50"/>
      <c r="J155" s="51"/>
      <c r="K155" s="129" t="str">
        <f t="shared" si="38"/>
        <v/>
      </c>
      <c r="L155" s="103" t="str">
        <f t="shared" si="39"/>
        <v/>
      </c>
      <c r="M155" s="53">
        <v>0</v>
      </c>
      <c r="N155" s="102" t="str">
        <f t="shared" si="40"/>
        <v/>
      </c>
      <c r="O155" s="103" t="str">
        <f t="shared" si="41"/>
        <v/>
      </c>
      <c r="P155" s="53">
        <v>0</v>
      </c>
      <c r="Q155" s="102" t="str">
        <f t="shared" si="42"/>
        <v/>
      </c>
      <c r="R155" s="103" t="str">
        <f t="shared" si="43"/>
        <v/>
      </c>
      <c r="S155" s="53">
        <v>0</v>
      </c>
      <c r="T155" s="102" t="str">
        <f t="shared" si="44"/>
        <v/>
      </c>
      <c r="U155" s="103" t="str">
        <f t="shared" si="45"/>
        <v/>
      </c>
      <c r="V155" s="53">
        <v>0</v>
      </c>
      <c r="W155" s="87" t="str">
        <f t="shared" si="46"/>
        <v/>
      </c>
      <c r="X155" s="103" t="str">
        <f t="shared" si="47"/>
        <v/>
      </c>
      <c r="Y155" s="53">
        <v>0</v>
      </c>
      <c r="Z155" s="56" t="str">
        <f t="shared" si="48"/>
        <v/>
      </c>
      <c r="AA155" s="56" t="str">
        <f t="shared" si="49"/>
        <v/>
      </c>
      <c r="AB155" s="56" t="str">
        <f t="shared" si="50"/>
        <v/>
      </c>
      <c r="AC155" s="56" t="str">
        <f t="shared" si="51"/>
        <v/>
      </c>
      <c r="AD155" s="56" t="str">
        <f t="shared" si="52"/>
        <v/>
      </c>
      <c r="AE155" s="40"/>
      <c r="AF155" s="40"/>
      <c r="AG155" s="40"/>
      <c r="AH155" s="56" t="str">
        <f t="shared" si="36"/>
        <v/>
      </c>
      <c r="AI155" s="54"/>
      <c r="AJ155" s="54"/>
      <c r="AK155" s="54"/>
      <c r="AL155" s="54"/>
      <c r="AM155" s="54"/>
    </row>
    <row r="156" spans="1:39">
      <c r="A156" s="45" t="str" cm="1">
        <f t="array" ref="A156">IF(H156="PROJECT", CHAR(10) &amp; "- " &amp; _xlfn.TEXTJOIN(CHAR(10) &amp; "- ", TRUE, _xlfn._xlws.FILTER($I$9:$I$1000, ($B$9:$B$1000=B156) * ($H$9:$H$1000="Topic"))), "")</f>
        <v/>
      </c>
      <c r="B156" s="45" t="str">
        <f t="shared" si="37"/>
        <v/>
      </c>
      <c r="C156" s="95"/>
      <c r="D156" s="57"/>
      <c r="E156" s="58"/>
      <c r="F156" s="54"/>
      <c r="G156" s="52"/>
      <c r="H156" s="52"/>
      <c r="I156" s="61"/>
      <c r="J156" s="62"/>
      <c r="K156" s="129" t="str">
        <f t="shared" si="38"/>
        <v/>
      </c>
      <c r="L156" s="103" t="str">
        <f t="shared" si="39"/>
        <v/>
      </c>
      <c r="M156" s="52">
        <v>0</v>
      </c>
      <c r="N156" s="102" t="str">
        <f t="shared" si="40"/>
        <v/>
      </c>
      <c r="O156" s="103" t="str">
        <f t="shared" si="41"/>
        <v/>
      </c>
      <c r="P156" s="52">
        <v>0</v>
      </c>
      <c r="Q156" s="102" t="str">
        <f t="shared" si="42"/>
        <v/>
      </c>
      <c r="R156" s="103" t="str">
        <f t="shared" si="43"/>
        <v/>
      </c>
      <c r="S156" s="52">
        <v>0</v>
      </c>
      <c r="T156" s="102" t="str">
        <f t="shared" si="44"/>
        <v/>
      </c>
      <c r="U156" s="103" t="str">
        <f t="shared" si="45"/>
        <v/>
      </c>
      <c r="V156" s="52">
        <v>0</v>
      </c>
      <c r="W156" s="87" t="str">
        <f t="shared" si="46"/>
        <v/>
      </c>
      <c r="X156" s="103" t="str">
        <f t="shared" si="47"/>
        <v/>
      </c>
      <c r="Y156" s="52">
        <v>0</v>
      </c>
      <c r="Z156" s="56" t="str">
        <f t="shared" si="48"/>
        <v/>
      </c>
      <c r="AA156" s="56" t="str">
        <f t="shared" si="49"/>
        <v/>
      </c>
      <c r="AB156" s="56" t="str">
        <f t="shared" si="50"/>
        <v/>
      </c>
      <c r="AC156" s="56" t="str">
        <f t="shared" si="51"/>
        <v/>
      </c>
      <c r="AD156" s="56" t="str">
        <f t="shared" si="52"/>
        <v/>
      </c>
      <c r="AE156" s="40"/>
      <c r="AF156" s="40"/>
      <c r="AG156" s="40"/>
      <c r="AH156" s="56" t="str">
        <f t="shared" si="36"/>
        <v/>
      </c>
      <c r="AI156" s="54"/>
      <c r="AJ156" s="54"/>
      <c r="AK156" s="54"/>
      <c r="AL156" s="54"/>
      <c r="AM156" s="54"/>
    </row>
    <row r="157" spans="1:39">
      <c r="A157" s="45" t="str" cm="1">
        <f t="array" ref="A157">IF(H157="PROJECT", CHAR(10) &amp; "- " &amp; _xlfn.TEXTJOIN(CHAR(10) &amp; "- ", TRUE, _xlfn._xlws.FILTER($I$9:$I$1000, ($B$9:$B$1000=B157) * ($H$9:$H$1000="Topic"))), "")</f>
        <v/>
      </c>
      <c r="B157" s="45" t="str">
        <f t="shared" si="37"/>
        <v/>
      </c>
      <c r="C157" s="95"/>
      <c r="D157" s="46"/>
      <c r="E157" s="58"/>
      <c r="F157" s="67"/>
      <c r="G157" s="53"/>
      <c r="H157" s="53"/>
      <c r="I157" s="50"/>
      <c r="J157" s="51"/>
      <c r="K157" s="129" t="str">
        <f t="shared" si="38"/>
        <v/>
      </c>
      <c r="L157" s="103" t="str">
        <f t="shared" si="39"/>
        <v/>
      </c>
      <c r="M157" s="53">
        <v>0</v>
      </c>
      <c r="N157" s="102" t="str">
        <f t="shared" si="40"/>
        <v/>
      </c>
      <c r="O157" s="103" t="str">
        <f t="shared" si="41"/>
        <v/>
      </c>
      <c r="P157" s="53">
        <v>0</v>
      </c>
      <c r="Q157" s="102" t="str">
        <f t="shared" si="42"/>
        <v/>
      </c>
      <c r="R157" s="103" t="str">
        <f t="shared" si="43"/>
        <v/>
      </c>
      <c r="S157" s="53">
        <v>0</v>
      </c>
      <c r="T157" s="102" t="str">
        <f t="shared" si="44"/>
        <v/>
      </c>
      <c r="U157" s="103" t="str">
        <f t="shared" si="45"/>
        <v/>
      </c>
      <c r="V157" s="53">
        <v>0</v>
      </c>
      <c r="W157" s="87" t="str">
        <f t="shared" si="46"/>
        <v/>
      </c>
      <c r="X157" s="103" t="str">
        <f t="shared" si="47"/>
        <v/>
      </c>
      <c r="Y157" s="53">
        <v>0</v>
      </c>
      <c r="Z157" s="56" t="str">
        <f t="shared" si="48"/>
        <v/>
      </c>
      <c r="AA157" s="56" t="str">
        <f t="shared" si="49"/>
        <v/>
      </c>
      <c r="AB157" s="56" t="str">
        <f t="shared" si="50"/>
        <v/>
      </c>
      <c r="AC157" s="56" t="str">
        <f t="shared" si="51"/>
        <v/>
      </c>
      <c r="AD157" s="56" t="str">
        <f t="shared" si="52"/>
        <v/>
      </c>
      <c r="AE157" s="40"/>
      <c r="AF157" s="40"/>
      <c r="AG157" s="40"/>
      <c r="AH157" s="56" t="str">
        <f t="shared" si="36"/>
        <v/>
      </c>
      <c r="AI157" s="54"/>
      <c r="AJ157" s="54"/>
      <c r="AK157" s="54"/>
      <c r="AL157" s="54"/>
      <c r="AM157" s="54"/>
    </row>
    <row r="158" spans="1:39">
      <c r="A158" s="45" t="str" cm="1">
        <f t="array" ref="A158">IF(H158="PROJECT", CHAR(10) &amp; "- " &amp; _xlfn.TEXTJOIN(CHAR(10) &amp; "- ", TRUE, _xlfn._xlws.FILTER($I$9:$I$1000, ($B$9:$B$1000=B158) * ($H$9:$H$1000="Topic"))), "")</f>
        <v/>
      </c>
      <c r="B158" s="45" t="str">
        <f t="shared" si="37"/>
        <v/>
      </c>
      <c r="C158" s="95"/>
      <c r="D158" s="57"/>
      <c r="E158" s="58"/>
      <c r="F158" s="54"/>
      <c r="G158" s="52"/>
      <c r="H158" s="52"/>
      <c r="I158" s="61"/>
      <c r="J158" s="62"/>
      <c r="K158" s="129" t="str">
        <f t="shared" si="38"/>
        <v/>
      </c>
      <c r="L158" s="103" t="str">
        <f t="shared" si="39"/>
        <v/>
      </c>
      <c r="M158" s="52">
        <v>0</v>
      </c>
      <c r="N158" s="102" t="str">
        <f t="shared" si="40"/>
        <v/>
      </c>
      <c r="O158" s="103" t="str">
        <f t="shared" si="41"/>
        <v/>
      </c>
      <c r="P158" s="52">
        <v>0</v>
      </c>
      <c r="Q158" s="102" t="str">
        <f t="shared" si="42"/>
        <v/>
      </c>
      <c r="R158" s="103" t="str">
        <f t="shared" si="43"/>
        <v/>
      </c>
      <c r="S158" s="52">
        <v>0</v>
      </c>
      <c r="T158" s="102" t="str">
        <f t="shared" si="44"/>
        <v/>
      </c>
      <c r="U158" s="103" t="str">
        <f t="shared" si="45"/>
        <v/>
      </c>
      <c r="V158" s="52">
        <v>0</v>
      </c>
      <c r="W158" s="87" t="str">
        <f t="shared" si="46"/>
        <v/>
      </c>
      <c r="X158" s="103" t="str">
        <f t="shared" si="47"/>
        <v/>
      </c>
      <c r="Y158" s="52">
        <v>0</v>
      </c>
      <c r="Z158" s="56" t="str">
        <f t="shared" si="48"/>
        <v/>
      </c>
      <c r="AA158" s="56" t="str">
        <f t="shared" si="49"/>
        <v/>
      </c>
      <c r="AB158" s="56" t="str">
        <f t="shared" si="50"/>
        <v/>
      </c>
      <c r="AC158" s="56" t="str">
        <f t="shared" si="51"/>
        <v/>
      </c>
      <c r="AD158" s="56" t="str">
        <f t="shared" si="52"/>
        <v/>
      </c>
      <c r="AE158" s="40"/>
      <c r="AF158" s="40"/>
      <c r="AG158" s="40"/>
      <c r="AH158" s="56" t="str">
        <f t="shared" si="36"/>
        <v/>
      </c>
      <c r="AI158" s="54"/>
      <c r="AJ158" s="54"/>
      <c r="AK158" s="54"/>
      <c r="AL158" s="54"/>
      <c r="AM158" s="54"/>
    </row>
    <row r="159" spans="1:39">
      <c r="A159" s="45" t="str" cm="1">
        <f t="array" ref="A159">IF(H159="PROJECT", CHAR(10) &amp; "- " &amp; _xlfn.TEXTJOIN(CHAR(10) &amp; "- ", TRUE, _xlfn._xlws.FILTER($I$9:$I$1000, ($B$9:$B$1000=B159) * ($H$9:$H$1000="Topic"))), "")</f>
        <v/>
      </c>
      <c r="B159" s="45" t="str">
        <f t="shared" si="37"/>
        <v/>
      </c>
      <c r="C159" s="95"/>
      <c r="D159" s="46"/>
      <c r="E159" s="58"/>
      <c r="F159" s="67"/>
      <c r="G159" s="53"/>
      <c r="H159" s="53"/>
      <c r="I159" s="50"/>
      <c r="J159" s="51"/>
      <c r="K159" s="129" t="str">
        <f t="shared" si="38"/>
        <v/>
      </c>
      <c r="L159" s="103" t="str">
        <f t="shared" si="39"/>
        <v/>
      </c>
      <c r="M159" s="53">
        <v>0</v>
      </c>
      <c r="N159" s="102" t="str">
        <f t="shared" si="40"/>
        <v/>
      </c>
      <c r="O159" s="103" t="str">
        <f t="shared" si="41"/>
        <v/>
      </c>
      <c r="P159" s="53">
        <v>0</v>
      </c>
      <c r="Q159" s="102" t="str">
        <f t="shared" si="42"/>
        <v/>
      </c>
      <c r="R159" s="103" t="str">
        <f t="shared" si="43"/>
        <v/>
      </c>
      <c r="S159" s="53">
        <v>0</v>
      </c>
      <c r="T159" s="102" t="str">
        <f t="shared" si="44"/>
        <v/>
      </c>
      <c r="U159" s="103" t="str">
        <f t="shared" si="45"/>
        <v/>
      </c>
      <c r="V159" s="53">
        <v>0</v>
      </c>
      <c r="W159" s="87" t="str">
        <f t="shared" si="46"/>
        <v/>
      </c>
      <c r="X159" s="103" t="str">
        <f t="shared" si="47"/>
        <v/>
      </c>
      <c r="Y159" s="53">
        <v>0</v>
      </c>
      <c r="Z159" s="56" t="str">
        <f t="shared" si="48"/>
        <v/>
      </c>
      <c r="AA159" s="56" t="str">
        <f t="shared" si="49"/>
        <v/>
      </c>
      <c r="AB159" s="56" t="str">
        <f t="shared" si="50"/>
        <v/>
      </c>
      <c r="AC159" s="56" t="str">
        <f t="shared" si="51"/>
        <v/>
      </c>
      <c r="AD159" s="56" t="str">
        <f t="shared" si="52"/>
        <v/>
      </c>
      <c r="AE159" s="40"/>
      <c r="AF159" s="40"/>
      <c r="AG159" s="40"/>
      <c r="AH159" s="56" t="str">
        <f t="shared" si="36"/>
        <v/>
      </c>
      <c r="AI159" s="54"/>
      <c r="AJ159" s="54"/>
      <c r="AK159" s="54"/>
      <c r="AL159" s="54"/>
      <c r="AM159" s="54"/>
    </row>
    <row r="160" spans="1:39">
      <c r="A160" s="45" t="str" cm="1">
        <f t="array" ref="A160">IF(H160="PROJECT", CHAR(10) &amp; "- " &amp; _xlfn.TEXTJOIN(CHAR(10) &amp; "- ", TRUE, _xlfn._xlws.FILTER($I$9:$I$1000, ($B$9:$B$1000=B160) * ($H$9:$H$1000="Topic"))), "")</f>
        <v/>
      </c>
      <c r="B160" s="45" t="str">
        <f t="shared" si="37"/>
        <v/>
      </c>
      <c r="C160" s="95"/>
      <c r="D160" s="57"/>
      <c r="E160" s="58"/>
      <c r="F160" s="54"/>
      <c r="G160" s="52"/>
      <c r="H160" s="52"/>
      <c r="I160" s="61"/>
      <c r="J160" s="62"/>
      <c r="K160" s="129" t="str">
        <f t="shared" si="38"/>
        <v/>
      </c>
      <c r="L160" s="103" t="str">
        <f t="shared" si="39"/>
        <v/>
      </c>
      <c r="M160" s="52">
        <v>0</v>
      </c>
      <c r="N160" s="102" t="str">
        <f t="shared" si="40"/>
        <v/>
      </c>
      <c r="O160" s="103" t="str">
        <f t="shared" si="41"/>
        <v/>
      </c>
      <c r="P160" s="52">
        <v>0</v>
      </c>
      <c r="Q160" s="102" t="str">
        <f t="shared" si="42"/>
        <v/>
      </c>
      <c r="R160" s="103" t="str">
        <f t="shared" si="43"/>
        <v/>
      </c>
      <c r="S160" s="52">
        <v>0</v>
      </c>
      <c r="T160" s="102" t="str">
        <f t="shared" si="44"/>
        <v/>
      </c>
      <c r="U160" s="103" t="str">
        <f t="shared" si="45"/>
        <v/>
      </c>
      <c r="V160" s="52">
        <v>0</v>
      </c>
      <c r="W160" s="87" t="str">
        <f t="shared" si="46"/>
        <v/>
      </c>
      <c r="X160" s="103" t="str">
        <f t="shared" si="47"/>
        <v/>
      </c>
      <c r="Y160" s="52">
        <v>0</v>
      </c>
      <c r="Z160" s="56" t="str">
        <f t="shared" si="48"/>
        <v/>
      </c>
      <c r="AA160" s="56" t="str">
        <f t="shared" si="49"/>
        <v/>
      </c>
      <c r="AB160" s="56" t="str">
        <f t="shared" si="50"/>
        <v/>
      </c>
      <c r="AC160" s="56" t="str">
        <f t="shared" si="51"/>
        <v/>
      </c>
      <c r="AD160" s="56" t="str">
        <f t="shared" si="52"/>
        <v/>
      </c>
      <c r="AE160" s="40"/>
      <c r="AF160" s="40"/>
      <c r="AG160" s="40"/>
      <c r="AH160" s="56" t="str">
        <f t="shared" si="36"/>
        <v/>
      </c>
      <c r="AI160" s="54"/>
      <c r="AJ160" s="54"/>
      <c r="AK160" s="54"/>
      <c r="AL160" s="54"/>
      <c r="AM160" s="54"/>
    </row>
    <row r="161" spans="1:39">
      <c r="A161" s="45" t="str" cm="1">
        <f t="array" ref="A161">IF(H161="PROJECT", CHAR(10) &amp; "- " &amp; _xlfn.TEXTJOIN(CHAR(10) &amp; "- ", TRUE, _xlfn._xlws.FILTER($I$9:$I$1000, ($B$9:$B$1000=B161) * ($H$9:$H$1000="Topic"))), "")</f>
        <v/>
      </c>
      <c r="B161" s="45" t="str">
        <f t="shared" si="37"/>
        <v/>
      </c>
      <c r="C161" s="95"/>
      <c r="D161" s="46"/>
      <c r="E161" s="58"/>
      <c r="F161" s="67"/>
      <c r="G161" s="53"/>
      <c r="H161" s="53"/>
      <c r="I161" s="50"/>
      <c r="J161" s="51"/>
      <c r="K161" s="129" t="str">
        <f t="shared" si="38"/>
        <v/>
      </c>
      <c r="L161" s="103" t="str">
        <f t="shared" si="39"/>
        <v/>
      </c>
      <c r="M161" s="53">
        <v>0</v>
      </c>
      <c r="N161" s="102" t="str">
        <f t="shared" si="40"/>
        <v/>
      </c>
      <c r="O161" s="103" t="str">
        <f t="shared" si="41"/>
        <v/>
      </c>
      <c r="P161" s="53">
        <v>0</v>
      </c>
      <c r="Q161" s="102" t="str">
        <f t="shared" si="42"/>
        <v/>
      </c>
      <c r="R161" s="103" t="str">
        <f t="shared" si="43"/>
        <v/>
      </c>
      <c r="S161" s="53">
        <v>0</v>
      </c>
      <c r="T161" s="102" t="str">
        <f t="shared" si="44"/>
        <v/>
      </c>
      <c r="U161" s="103" t="str">
        <f t="shared" si="45"/>
        <v/>
      </c>
      <c r="V161" s="53">
        <v>0</v>
      </c>
      <c r="W161" s="87" t="str">
        <f t="shared" si="46"/>
        <v/>
      </c>
      <c r="X161" s="103" t="str">
        <f t="shared" si="47"/>
        <v/>
      </c>
      <c r="Y161" s="53">
        <v>0</v>
      </c>
      <c r="Z161" s="56" t="str">
        <f t="shared" si="48"/>
        <v/>
      </c>
      <c r="AA161" s="56" t="str">
        <f t="shared" si="49"/>
        <v/>
      </c>
      <c r="AB161" s="56" t="str">
        <f t="shared" si="50"/>
        <v/>
      </c>
      <c r="AC161" s="56" t="str">
        <f t="shared" si="51"/>
        <v/>
      </c>
      <c r="AD161" s="56" t="str">
        <f t="shared" si="52"/>
        <v/>
      </c>
      <c r="AE161" s="40"/>
      <c r="AF161" s="40"/>
      <c r="AG161" s="40"/>
      <c r="AH161" s="56" t="str">
        <f t="shared" si="36"/>
        <v/>
      </c>
      <c r="AI161" s="54"/>
      <c r="AJ161" s="54"/>
      <c r="AK161" s="54"/>
      <c r="AL161" s="54"/>
      <c r="AM161" s="54"/>
    </row>
    <row r="162" spans="1:39">
      <c r="A162" s="45" t="str" cm="1">
        <f t="array" ref="A162">IF(H162="PROJECT", CHAR(10) &amp; "- " &amp; _xlfn.TEXTJOIN(CHAR(10) &amp; "- ", TRUE, _xlfn._xlws.FILTER($I$9:$I$1000, ($B$9:$B$1000=B162) * ($H$9:$H$1000="Topic"))), "")</f>
        <v/>
      </c>
      <c r="B162" s="45" t="str">
        <f t="shared" si="37"/>
        <v/>
      </c>
      <c r="C162" s="95"/>
      <c r="D162" s="57"/>
      <c r="E162" s="58"/>
      <c r="F162" s="54"/>
      <c r="G162" s="52"/>
      <c r="H162" s="52"/>
      <c r="I162" s="61"/>
      <c r="J162" s="62"/>
      <c r="K162" s="129" t="str">
        <f t="shared" si="38"/>
        <v/>
      </c>
      <c r="L162" s="103" t="str">
        <f t="shared" si="39"/>
        <v/>
      </c>
      <c r="M162" s="52">
        <v>0</v>
      </c>
      <c r="N162" s="102" t="str">
        <f t="shared" si="40"/>
        <v/>
      </c>
      <c r="O162" s="103" t="str">
        <f t="shared" si="41"/>
        <v/>
      </c>
      <c r="P162" s="52">
        <v>0</v>
      </c>
      <c r="Q162" s="102" t="str">
        <f t="shared" si="42"/>
        <v/>
      </c>
      <c r="R162" s="103" t="str">
        <f t="shared" si="43"/>
        <v/>
      </c>
      <c r="S162" s="52">
        <v>0</v>
      </c>
      <c r="T162" s="102" t="str">
        <f t="shared" si="44"/>
        <v/>
      </c>
      <c r="U162" s="103" t="str">
        <f t="shared" si="45"/>
        <v/>
      </c>
      <c r="V162" s="52">
        <v>0</v>
      </c>
      <c r="W162" s="87" t="str">
        <f t="shared" si="46"/>
        <v/>
      </c>
      <c r="X162" s="103" t="str">
        <f t="shared" si="47"/>
        <v/>
      </c>
      <c r="Y162" s="52">
        <v>0</v>
      </c>
      <c r="Z162" s="56" t="str">
        <f t="shared" si="48"/>
        <v/>
      </c>
      <c r="AA162" s="56" t="str">
        <f t="shared" si="49"/>
        <v/>
      </c>
      <c r="AB162" s="56" t="str">
        <f t="shared" si="50"/>
        <v/>
      </c>
      <c r="AC162" s="56" t="str">
        <f t="shared" si="51"/>
        <v/>
      </c>
      <c r="AD162" s="56" t="str">
        <f t="shared" si="52"/>
        <v/>
      </c>
      <c r="AE162" s="40"/>
      <c r="AF162" s="40"/>
      <c r="AG162" s="40"/>
      <c r="AH162" s="56" t="str">
        <f t="shared" si="36"/>
        <v/>
      </c>
      <c r="AI162" s="54"/>
      <c r="AJ162" s="54"/>
      <c r="AK162" s="54"/>
      <c r="AL162" s="54"/>
      <c r="AM162" s="54"/>
    </row>
    <row r="163" spans="1:39">
      <c r="A163" s="45" t="str" cm="1">
        <f t="array" ref="A163">IF(H163="PROJECT", CHAR(10) &amp; "- " &amp; _xlfn.TEXTJOIN(CHAR(10) &amp; "- ", TRUE, _xlfn._xlws.FILTER($I$9:$I$1000, ($B$9:$B$1000=B163) * ($H$9:$H$1000="Topic"))), "")</f>
        <v/>
      </c>
      <c r="B163" s="45" t="str">
        <f t="shared" si="37"/>
        <v/>
      </c>
      <c r="C163" s="95"/>
      <c r="D163" s="46"/>
      <c r="E163" s="58"/>
      <c r="F163" s="67"/>
      <c r="G163" s="53"/>
      <c r="H163" s="53"/>
      <c r="I163" s="50"/>
      <c r="J163" s="51"/>
      <c r="K163" s="129" t="str">
        <f t="shared" si="38"/>
        <v/>
      </c>
      <c r="L163" s="103" t="str">
        <f t="shared" si="39"/>
        <v/>
      </c>
      <c r="M163" s="53">
        <v>0</v>
      </c>
      <c r="N163" s="102" t="str">
        <f t="shared" si="40"/>
        <v/>
      </c>
      <c r="O163" s="103" t="str">
        <f t="shared" si="41"/>
        <v/>
      </c>
      <c r="P163" s="53">
        <v>0</v>
      </c>
      <c r="Q163" s="102" t="str">
        <f t="shared" si="42"/>
        <v/>
      </c>
      <c r="R163" s="103" t="str">
        <f t="shared" si="43"/>
        <v/>
      </c>
      <c r="S163" s="53">
        <v>0</v>
      </c>
      <c r="T163" s="102" t="str">
        <f t="shared" si="44"/>
        <v/>
      </c>
      <c r="U163" s="103" t="str">
        <f t="shared" si="45"/>
        <v/>
      </c>
      <c r="V163" s="53">
        <v>0</v>
      </c>
      <c r="W163" s="87" t="str">
        <f t="shared" si="46"/>
        <v/>
      </c>
      <c r="X163" s="103" t="str">
        <f t="shared" si="47"/>
        <v/>
      </c>
      <c r="Y163" s="53">
        <v>0</v>
      </c>
      <c r="Z163" s="56" t="str">
        <f t="shared" si="48"/>
        <v/>
      </c>
      <c r="AA163" s="56" t="str">
        <f t="shared" si="49"/>
        <v/>
      </c>
      <c r="AB163" s="56" t="str">
        <f t="shared" si="50"/>
        <v/>
      </c>
      <c r="AC163" s="56" t="str">
        <f t="shared" si="51"/>
        <v/>
      </c>
      <c r="AD163" s="56" t="str">
        <f t="shared" si="52"/>
        <v/>
      </c>
      <c r="AE163" s="40"/>
      <c r="AF163" s="40"/>
      <c r="AG163" s="40"/>
      <c r="AH163" s="56" t="str">
        <f t="shared" si="36"/>
        <v/>
      </c>
      <c r="AI163" s="54"/>
      <c r="AJ163" s="54"/>
      <c r="AK163" s="54"/>
      <c r="AL163" s="54"/>
      <c r="AM163" s="54"/>
    </row>
    <row r="164" spans="1:39">
      <c r="A164" s="45" t="str" cm="1">
        <f t="array" ref="A164">IF(H164="PROJECT", CHAR(10) &amp; "- " &amp; _xlfn.TEXTJOIN(CHAR(10) &amp; "- ", TRUE, _xlfn._xlws.FILTER($I$9:$I$1000, ($B$9:$B$1000=B164) * ($H$9:$H$1000="Topic"))), "")</f>
        <v/>
      </c>
      <c r="B164" s="45" t="str">
        <f t="shared" si="37"/>
        <v/>
      </c>
      <c r="C164" s="95"/>
      <c r="D164" s="57"/>
      <c r="E164" s="58"/>
      <c r="F164" s="54"/>
      <c r="G164" s="52"/>
      <c r="H164" s="52"/>
      <c r="I164" s="61"/>
      <c r="J164" s="62"/>
      <c r="K164" s="129" t="str">
        <f t="shared" si="38"/>
        <v/>
      </c>
      <c r="L164" s="103" t="str">
        <f t="shared" si="39"/>
        <v/>
      </c>
      <c r="M164" s="52">
        <v>0</v>
      </c>
      <c r="N164" s="102" t="str">
        <f t="shared" si="40"/>
        <v/>
      </c>
      <c r="O164" s="103" t="str">
        <f t="shared" si="41"/>
        <v/>
      </c>
      <c r="P164" s="52">
        <v>0</v>
      </c>
      <c r="Q164" s="102" t="str">
        <f t="shared" si="42"/>
        <v/>
      </c>
      <c r="R164" s="103" t="str">
        <f t="shared" si="43"/>
        <v/>
      </c>
      <c r="S164" s="52">
        <v>0</v>
      </c>
      <c r="T164" s="102" t="str">
        <f t="shared" si="44"/>
        <v/>
      </c>
      <c r="U164" s="103" t="str">
        <f t="shared" si="45"/>
        <v/>
      </c>
      <c r="V164" s="52">
        <v>0</v>
      </c>
      <c r="W164" s="87" t="str">
        <f t="shared" si="46"/>
        <v/>
      </c>
      <c r="X164" s="103" t="str">
        <f t="shared" si="47"/>
        <v/>
      </c>
      <c r="Y164" s="52">
        <v>0</v>
      </c>
      <c r="Z164" s="56" t="str">
        <f t="shared" si="48"/>
        <v/>
      </c>
      <c r="AA164" s="56" t="str">
        <f t="shared" si="49"/>
        <v/>
      </c>
      <c r="AB164" s="56" t="str">
        <f t="shared" si="50"/>
        <v/>
      </c>
      <c r="AC164" s="56" t="str">
        <f t="shared" si="51"/>
        <v/>
      </c>
      <c r="AD164" s="56" t="str">
        <f t="shared" si="52"/>
        <v/>
      </c>
      <c r="AE164" s="40"/>
      <c r="AF164" s="40"/>
      <c r="AG164" s="40"/>
      <c r="AH164" s="56" t="str">
        <f t="shared" si="36"/>
        <v/>
      </c>
      <c r="AI164" s="54"/>
      <c r="AJ164" s="54"/>
      <c r="AK164" s="54"/>
      <c r="AL164" s="54"/>
      <c r="AM164" s="54"/>
    </row>
    <row r="165" spans="1:39">
      <c r="A165" s="45" t="str" cm="1">
        <f t="array" ref="A165">IF(H165="PROJECT", CHAR(10) &amp; "- " &amp; _xlfn.TEXTJOIN(CHAR(10) &amp; "- ", TRUE, _xlfn._xlws.FILTER($I$9:$I$1000, ($B$9:$B$1000=B165) * ($H$9:$H$1000="Topic"))), "")</f>
        <v/>
      </c>
      <c r="B165" s="45" t="str">
        <f t="shared" si="37"/>
        <v/>
      </c>
      <c r="C165" s="95"/>
      <c r="D165" s="46"/>
      <c r="E165" s="58"/>
      <c r="F165" s="67"/>
      <c r="G165" s="53"/>
      <c r="H165" s="53"/>
      <c r="I165" s="50"/>
      <c r="J165" s="51"/>
      <c r="K165" s="129" t="str">
        <f t="shared" si="38"/>
        <v/>
      </c>
      <c r="L165" s="103" t="str">
        <f t="shared" si="39"/>
        <v/>
      </c>
      <c r="M165" s="53">
        <v>0</v>
      </c>
      <c r="N165" s="102" t="str">
        <f t="shared" si="40"/>
        <v/>
      </c>
      <c r="O165" s="103" t="str">
        <f t="shared" si="41"/>
        <v/>
      </c>
      <c r="P165" s="53">
        <v>0</v>
      </c>
      <c r="Q165" s="102" t="str">
        <f t="shared" si="42"/>
        <v/>
      </c>
      <c r="R165" s="103" t="str">
        <f t="shared" si="43"/>
        <v/>
      </c>
      <c r="S165" s="53">
        <v>0</v>
      </c>
      <c r="T165" s="102" t="str">
        <f t="shared" si="44"/>
        <v/>
      </c>
      <c r="U165" s="103" t="str">
        <f t="shared" si="45"/>
        <v/>
      </c>
      <c r="V165" s="53">
        <v>0</v>
      </c>
      <c r="W165" s="87" t="str">
        <f t="shared" si="46"/>
        <v/>
      </c>
      <c r="X165" s="103" t="str">
        <f t="shared" si="47"/>
        <v/>
      </c>
      <c r="Y165" s="53">
        <v>0</v>
      </c>
      <c r="Z165" s="56" t="str">
        <f t="shared" si="48"/>
        <v/>
      </c>
      <c r="AA165" s="56" t="str">
        <f t="shared" si="49"/>
        <v/>
      </c>
      <c r="AB165" s="56" t="str">
        <f t="shared" si="50"/>
        <v/>
      </c>
      <c r="AC165" s="56" t="str">
        <f t="shared" si="51"/>
        <v/>
      </c>
      <c r="AD165" s="56" t="str">
        <f t="shared" si="52"/>
        <v/>
      </c>
      <c r="AE165" s="40"/>
      <c r="AF165" s="40"/>
      <c r="AG165" s="40"/>
      <c r="AH165" s="56" t="str">
        <f t="shared" si="36"/>
        <v/>
      </c>
      <c r="AI165" s="54"/>
      <c r="AJ165" s="54"/>
      <c r="AK165" s="54"/>
      <c r="AL165" s="54"/>
      <c r="AM165" s="54"/>
    </row>
    <row r="166" spans="1:39">
      <c r="A166" s="45" t="str" cm="1">
        <f t="array" ref="A166">IF(H166="PROJECT", CHAR(10) &amp; "- " &amp; _xlfn.TEXTJOIN(CHAR(10) &amp; "- ", TRUE, _xlfn._xlws.FILTER($I$9:$I$1000, ($B$9:$B$1000=B166) * ($H$9:$H$1000="Topic"))), "")</f>
        <v/>
      </c>
      <c r="B166" s="45" t="str">
        <f t="shared" si="37"/>
        <v/>
      </c>
      <c r="C166" s="95"/>
      <c r="D166" s="57"/>
      <c r="E166" s="58"/>
      <c r="F166" s="54"/>
      <c r="G166" s="52"/>
      <c r="H166" s="52"/>
      <c r="I166" s="61"/>
      <c r="J166" s="62"/>
      <c r="K166" s="129" t="str">
        <f t="shared" si="38"/>
        <v/>
      </c>
      <c r="L166" s="103" t="str">
        <f t="shared" si="39"/>
        <v/>
      </c>
      <c r="M166" s="52">
        <v>0</v>
      </c>
      <c r="N166" s="102" t="str">
        <f t="shared" si="40"/>
        <v/>
      </c>
      <c r="O166" s="103" t="str">
        <f t="shared" si="41"/>
        <v/>
      </c>
      <c r="P166" s="52">
        <v>0</v>
      </c>
      <c r="Q166" s="102" t="str">
        <f t="shared" si="42"/>
        <v/>
      </c>
      <c r="R166" s="103" t="str">
        <f t="shared" si="43"/>
        <v/>
      </c>
      <c r="S166" s="52">
        <v>0</v>
      </c>
      <c r="T166" s="102" t="str">
        <f t="shared" si="44"/>
        <v/>
      </c>
      <c r="U166" s="103" t="str">
        <f t="shared" si="45"/>
        <v/>
      </c>
      <c r="V166" s="52">
        <v>0</v>
      </c>
      <c r="W166" s="87" t="str">
        <f t="shared" si="46"/>
        <v/>
      </c>
      <c r="X166" s="103" t="str">
        <f t="shared" si="47"/>
        <v/>
      </c>
      <c r="Y166" s="52">
        <v>0</v>
      </c>
      <c r="Z166" s="56" t="str">
        <f t="shared" si="48"/>
        <v/>
      </c>
      <c r="AA166" s="56" t="str">
        <f t="shared" si="49"/>
        <v/>
      </c>
      <c r="AB166" s="56" t="str">
        <f t="shared" si="50"/>
        <v/>
      </c>
      <c r="AC166" s="56" t="str">
        <f t="shared" si="51"/>
        <v/>
      </c>
      <c r="AD166" s="56" t="str">
        <f t="shared" si="52"/>
        <v/>
      </c>
      <c r="AE166" s="40"/>
      <c r="AF166" s="40"/>
      <c r="AG166" s="40"/>
      <c r="AH166" s="56" t="str">
        <f t="shared" si="36"/>
        <v/>
      </c>
      <c r="AI166" s="54"/>
      <c r="AJ166" s="54"/>
      <c r="AK166" s="54"/>
      <c r="AL166" s="54"/>
      <c r="AM166" s="54"/>
    </row>
    <row r="167" spans="1:39">
      <c r="A167" s="45" t="str" cm="1">
        <f t="array" ref="A167">IF(H167="PROJECT", CHAR(10) &amp; "- " &amp; _xlfn.TEXTJOIN(CHAR(10) &amp; "- ", TRUE, _xlfn._xlws.FILTER($I$9:$I$1000, ($B$9:$B$1000=B167) * ($H$9:$H$1000="Topic"))), "")</f>
        <v/>
      </c>
      <c r="B167" s="45" t="str">
        <f t="shared" si="37"/>
        <v/>
      </c>
      <c r="C167" s="95"/>
      <c r="D167" s="46"/>
      <c r="E167" s="58"/>
      <c r="F167" s="67"/>
      <c r="G167" s="53"/>
      <c r="H167" s="53"/>
      <c r="I167" s="50"/>
      <c r="J167" s="51"/>
      <c r="K167" s="129" t="str">
        <f t="shared" si="38"/>
        <v/>
      </c>
      <c r="L167" s="103" t="str">
        <f t="shared" si="39"/>
        <v/>
      </c>
      <c r="M167" s="53">
        <v>0</v>
      </c>
      <c r="N167" s="102" t="str">
        <f t="shared" si="40"/>
        <v/>
      </c>
      <c r="O167" s="103" t="str">
        <f t="shared" si="41"/>
        <v/>
      </c>
      <c r="P167" s="53">
        <v>0</v>
      </c>
      <c r="Q167" s="102" t="str">
        <f t="shared" si="42"/>
        <v/>
      </c>
      <c r="R167" s="103" t="str">
        <f t="shared" si="43"/>
        <v/>
      </c>
      <c r="S167" s="53">
        <v>0</v>
      </c>
      <c r="T167" s="102" t="str">
        <f t="shared" si="44"/>
        <v/>
      </c>
      <c r="U167" s="103" t="str">
        <f t="shared" si="45"/>
        <v/>
      </c>
      <c r="V167" s="53">
        <v>0</v>
      </c>
      <c r="W167" s="87" t="str">
        <f t="shared" si="46"/>
        <v/>
      </c>
      <c r="X167" s="103" t="str">
        <f t="shared" si="47"/>
        <v/>
      </c>
      <c r="Y167" s="53">
        <v>0</v>
      </c>
      <c r="Z167" s="56" t="str">
        <f t="shared" si="48"/>
        <v/>
      </c>
      <c r="AA167" s="56" t="str">
        <f t="shared" si="49"/>
        <v/>
      </c>
      <c r="AB167" s="56" t="str">
        <f t="shared" si="50"/>
        <v/>
      </c>
      <c r="AC167" s="56" t="str">
        <f t="shared" si="51"/>
        <v/>
      </c>
      <c r="AD167" s="56" t="str">
        <f t="shared" si="52"/>
        <v/>
      </c>
      <c r="AE167" s="40"/>
      <c r="AF167" s="40"/>
      <c r="AG167" s="40"/>
      <c r="AH167" s="56" t="str">
        <f t="shared" si="36"/>
        <v/>
      </c>
      <c r="AI167" s="54"/>
      <c r="AJ167" s="54"/>
      <c r="AK167" s="54"/>
      <c r="AL167" s="54"/>
      <c r="AM167" s="54"/>
    </row>
    <row r="168" spans="1:39">
      <c r="A168" s="45" t="str" cm="1">
        <f t="array" ref="A168">IF(H168="PROJECT", CHAR(10) &amp; "- " &amp; _xlfn.TEXTJOIN(CHAR(10) &amp; "- ", TRUE, _xlfn._xlws.FILTER($I$9:$I$1000, ($B$9:$B$1000=B168) * ($H$9:$H$1000="Topic"))), "")</f>
        <v/>
      </c>
      <c r="B168" s="45" t="str">
        <f t="shared" si="37"/>
        <v/>
      </c>
      <c r="C168" s="95"/>
      <c r="D168" s="57"/>
      <c r="E168" s="58"/>
      <c r="F168" s="54"/>
      <c r="G168" s="52"/>
      <c r="H168" s="52"/>
      <c r="I168" s="61"/>
      <c r="J168" s="62"/>
      <c r="K168" s="129" t="str">
        <f t="shared" si="38"/>
        <v/>
      </c>
      <c r="L168" s="103" t="str">
        <f t="shared" si="39"/>
        <v/>
      </c>
      <c r="M168" s="52">
        <v>0</v>
      </c>
      <c r="N168" s="102" t="str">
        <f t="shared" si="40"/>
        <v/>
      </c>
      <c r="O168" s="103" t="str">
        <f t="shared" si="41"/>
        <v/>
      </c>
      <c r="P168" s="52">
        <v>0</v>
      </c>
      <c r="Q168" s="102" t="str">
        <f t="shared" si="42"/>
        <v/>
      </c>
      <c r="R168" s="103" t="str">
        <f t="shared" si="43"/>
        <v/>
      </c>
      <c r="S168" s="52">
        <v>0</v>
      </c>
      <c r="T168" s="102" t="str">
        <f t="shared" si="44"/>
        <v/>
      </c>
      <c r="U168" s="103" t="str">
        <f t="shared" si="45"/>
        <v/>
      </c>
      <c r="V168" s="52">
        <v>0</v>
      </c>
      <c r="W168" s="87" t="str">
        <f t="shared" si="46"/>
        <v/>
      </c>
      <c r="X168" s="103" t="str">
        <f t="shared" si="47"/>
        <v/>
      </c>
      <c r="Y168" s="52">
        <v>0</v>
      </c>
      <c r="Z168" s="56" t="str">
        <f t="shared" si="48"/>
        <v/>
      </c>
      <c r="AA168" s="56" t="str">
        <f t="shared" si="49"/>
        <v/>
      </c>
      <c r="AB168" s="56" t="str">
        <f t="shared" si="50"/>
        <v/>
      </c>
      <c r="AC168" s="56" t="str">
        <f t="shared" si="51"/>
        <v/>
      </c>
      <c r="AD168" s="56" t="str">
        <f t="shared" si="52"/>
        <v/>
      </c>
      <c r="AE168" s="40"/>
      <c r="AF168" s="40"/>
      <c r="AG168" s="40"/>
      <c r="AH168" s="56" t="str">
        <f t="shared" si="36"/>
        <v/>
      </c>
      <c r="AI168" s="54"/>
      <c r="AJ168" s="54"/>
      <c r="AK168" s="54"/>
      <c r="AL168" s="54"/>
      <c r="AM168" s="54"/>
    </row>
    <row r="169" spans="1:39">
      <c r="A169" s="45" t="str" cm="1">
        <f t="array" ref="A169">IF(H169="PROJECT", CHAR(10) &amp; "- " &amp; _xlfn.TEXTJOIN(CHAR(10) &amp; "- ", TRUE, _xlfn._xlws.FILTER($I$9:$I$1000, ($B$9:$B$1000=B169) * ($H$9:$H$1000="Topic"))), "")</f>
        <v/>
      </c>
      <c r="B169" s="45" t="str">
        <f t="shared" si="37"/>
        <v/>
      </c>
      <c r="C169" s="95"/>
      <c r="D169" s="46"/>
      <c r="E169" s="58"/>
      <c r="F169" s="67"/>
      <c r="G169" s="53"/>
      <c r="H169" s="53"/>
      <c r="I169" s="50"/>
      <c r="J169" s="51"/>
      <c r="K169" s="129" t="str">
        <f t="shared" si="38"/>
        <v/>
      </c>
      <c r="L169" s="103" t="str">
        <f t="shared" si="39"/>
        <v/>
      </c>
      <c r="M169" s="53">
        <v>0</v>
      </c>
      <c r="N169" s="102" t="str">
        <f t="shared" si="40"/>
        <v/>
      </c>
      <c r="O169" s="103" t="str">
        <f t="shared" si="41"/>
        <v/>
      </c>
      <c r="P169" s="53">
        <v>0</v>
      </c>
      <c r="Q169" s="102" t="str">
        <f t="shared" si="42"/>
        <v/>
      </c>
      <c r="R169" s="103" t="str">
        <f t="shared" si="43"/>
        <v/>
      </c>
      <c r="S169" s="53">
        <v>0</v>
      </c>
      <c r="T169" s="102" t="str">
        <f t="shared" si="44"/>
        <v/>
      </c>
      <c r="U169" s="103" t="str">
        <f t="shared" si="45"/>
        <v/>
      </c>
      <c r="V169" s="53">
        <v>0</v>
      </c>
      <c r="W169" s="87" t="str">
        <f t="shared" si="46"/>
        <v/>
      </c>
      <c r="X169" s="103" t="str">
        <f t="shared" si="47"/>
        <v/>
      </c>
      <c r="Y169" s="53">
        <v>0</v>
      </c>
      <c r="Z169" s="56" t="str">
        <f t="shared" si="48"/>
        <v/>
      </c>
      <c r="AA169" s="56" t="str">
        <f t="shared" si="49"/>
        <v/>
      </c>
      <c r="AB169" s="56" t="str">
        <f t="shared" si="50"/>
        <v/>
      </c>
      <c r="AC169" s="56" t="str">
        <f t="shared" si="51"/>
        <v/>
      </c>
      <c r="AD169" s="56" t="str">
        <f t="shared" si="52"/>
        <v/>
      </c>
      <c r="AE169" s="40"/>
      <c r="AF169" s="40"/>
      <c r="AG169" s="40"/>
      <c r="AH169" s="56" t="str">
        <f t="shared" ref="AH169:AH200" si="53">IF(AE169=$B$6,AG169,"")</f>
        <v/>
      </c>
      <c r="AI169" s="54"/>
      <c r="AJ169" s="54"/>
      <c r="AK169" s="54"/>
      <c r="AL169" s="54"/>
      <c r="AM169" s="54"/>
    </row>
    <row r="170" spans="1:39">
      <c r="A170" s="45" t="str" cm="1">
        <f t="array" ref="A170">IF(H170="PROJECT", CHAR(10) &amp; "- " &amp; _xlfn.TEXTJOIN(CHAR(10) &amp; "- ", TRUE, _xlfn._xlws.FILTER($I$9:$I$1000, ($B$9:$B$1000=B170) * ($H$9:$H$1000="Topic"))), "")</f>
        <v/>
      </c>
      <c r="B170" s="45" t="str">
        <f t="shared" si="37"/>
        <v/>
      </c>
      <c r="C170" s="95"/>
      <c r="D170" s="57"/>
      <c r="E170" s="58"/>
      <c r="F170" s="54"/>
      <c r="G170" s="52"/>
      <c r="H170" s="52"/>
      <c r="I170" s="61"/>
      <c r="J170" s="62"/>
      <c r="K170" s="129" t="str">
        <f t="shared" si="38"/>
        <v/>
      </c>
      <c r="L170" s="103" t="str">
        <f t="shared" si="39"/>
        <v/>
      </c>
      <c r="M170" s="52">
        <v>0</v>
      </c>
      <c r="N170" s="102" t="str">
        <f t="shared" si="40"/>
        <v/>
      </c>
      <c r="O170" s="103" t="str">
        <f t="shared" si="41"/>
        <v/>
      </c>
      <c r="P170" s="52">
        <v>0</v>
      </c>
      <c r="Q170" s="102" t="str">
        <f t="shared" si="42"/>
        <v/>
      </c>
      <c r="R170" s="103" t="str">
        <f t="shared" si="43"/>
        <v/>
      </c>
      <c r="S170" s="52">
        <v>0</v>
      </c>
      <c r="T170" s="102" t="str">
        <f t="shared" si="44"/>
        <v/>
      </c>
      <c r="U170" s="103" t="str">
        <f t="shared" si="45"/>
        <v/>
      </c>
      <c r="V170" s="52">
        <v>0</v>
      </c>
      <c r="W170" s="87" t="str">
        <f t="shared" si="46"/>
        <v/>
      </c>
      <c r="X170" s="103" t="str">
        <f t="shared" si="47"/>
        <v/>
      </c>
      <c r="Y170" s="52">
        <v>0</v>
      </c>
      <c r="Z170" s="56" t="str">
        <f t="shared" si="48"/>
        <v/>
      </c>
      <c r="AA170" s="56" t="str">
        <f t="shared" si="49"/>
        <v/>
      </c>
      <c r="AB170" s="56" t="str">
        <f t="shared" si="50"/>
        <v/>
      </c>
      <c r="AC170" s="56" t="str">
        <f t="shared" si="51"/>
        <v/>
      </c>
      <c r="AD170" s="56" t="str">
        <f t="shared" si="52"/>
        <v/>
      </c>
      <c r="AE170" s="40"/>
      <c r="AF170" s="40"/>
      <c r="AG170" s="40"/>
      <c r="AH170" s="56" t="str">
        <f t="shared" si="53"/>
        <v/>
      </c>
      <c r="AI170" s="54"/>
      <c r="AJ170" s="54"/>
      <c r="AK170" s="54"/>
      <c r="AL170" s="54"/>
      <c r="AM170" s="54"/>
    </row>
    <row r="171" spans="1:39">
      <c r="A171" s="45" t="str" cm="1">
        <f t="array" ref="A171">IF(H171="PROJECT", CHAR(10) &amp; "- " &amp; _xlfn.TEXTJOIN(CHAR(10) &amp; "- ", TRUE, _xlfn._xlws.FILTER($I$9:$I$1000, ($B$9:$B$1000=B171) * ($H$9:$H$1000="Topic"))), "")</f>
        <v/>
      </c>
      <c r="B171" s="45" t="str">
        <f t="shared" si="37"/>
        <v/>
      </c>
      <c r="C171" s="95"/>
      <c r="D171" s="46"/>
      <c r="E171" s="58"/>
      <c r="F171" s="67"/>
      <c r="G171" s="53"/>
      <c r="H171" s="53"/>
      <c r="I171" s="50"/>
      <c r="J171" s="51"/>
      <c r="K171" s="129" t="str">
        <f t="shared" si="38"/>
        <v/>
      </c>
      <c r="L171" s="103" t="str">
        <f t="shared" si="39"/>
        <v/>
      </c>
      <c r="M171" s="53">
        <v>0</v>
      </c>
      <c r="N171" s="102" t="str">
        <f t="shared" si="40"/>
        <v/>
      </c>
      <c r="O171" s="103" t="str">
        <f t="shared" si="41"/>
        <v/>
      </c>
      <c r="P171" s="53">
        <v>0</v>
      </c>
      <c r="Q171" s="102" t="str">
        <f t="shared" si="42"/>
        <v/>
      </c>
      <c r="R171" s="103" t="str">
        <f t="shared" si="43"/>
        <v/>
      </c>
      <c r="S171" s="53">
        <v>0</v>
      </c>
      <c r="T171" s="102" t="str">
        <f t="shared" si="44"/>
        <v/>
      </c>
      <c r="U171" s="103" t="str">
        <f t="shared" si="45"/>
        <v/>
      </c>
      <c r="V171" s="53">
        <v>0</v>
      </c>
      <c r="W171" s="87" t="str">
        <f t="shared" si="46"/>
        <v/>
      </c>
      <c r="X171" s="103" t="str">
        <f t="shared" si="47"/>
        <v/>
      </c>
      <c r="Y171" s="53">
        <v>0</v>
      </c>
      <c r="Z171" s="56" t="str">
        <f t="shared" si="48"/>
        <v/>
      </c>
      <c r="AA171" s="56" t="str">
        <f t="shared" si="49"/>
        <v/>
      </c>
      <c r="AB171" s="56" t="str">
        <f t="shared" si="50"/>
        <v/>
      </c>
      <c r="AC171" s="56" t="str">
        <f t="shared" si="51"/>
        <v/>
      </c>
      <c r="AD171" s="56" t="str">
        <f t="shared" si="52"/>
        <v/>
      </c>
      <c r="AE171" s="40"/>
      <c r="AF171" s="40"/>
      <c r="AG171" s="40"/>
      <c r="AH171" s="56" t="str">
        <f t="shared" si="53"/>
        <v/>
      </c>
      <c r="AI171" s="54"/>
      <c r="AJ171" s="54"/>
      <c r="AK171" s="54"/>
      <c r="AL171" s="54"/>
      <c r="AM171" s="54"/>
    </row>
    <row r="172" spans="1:39">
      <c r="A172" s="45" t="str" cm="1">
        <f t="array" ref="A172">IF(H172="PROJECT", CHAR(10) &amp; "- " &amp; _xlfn.TEXTJOIN(CHAR(10) &amp; "- ", TRUE, _xlfn._xlws.FILTER($I$9:$I$1000, ($B$9:$B$1000=B172) * ($H$9:$H$1000="Topic"))), "")</f>
        <v/>
      </c>
      <c r="B172" s="45" t="str">
        <f t="shared" si="37"/>
        <v/>
      </c>
      <c r="C172" s="95"/>
      <c r="D172" s="57"/>
      <c r="E172" s="58"/>
      <c r="F172" s="54"/>
      <c r="G172" s="52"/>
      <c r="H172" s="52"/>
      <c r="I172" s="61"/>
      <c r="J172" s="62"/>
      <c r="K172" s="129" t="str">
        <f t="shared" si="38"/>
        <v/>
      </c>
      <c r="L172" s="103" t="str">
        <f t="shared" si="39"/>
        <v/>
      </c>
      <c r="M172" s="52">
        <v>0</v>
      </c>
      <c r="N172" s="102" t="str">
        <f t="shared" si="40"/>
        <v/>
      </c>
      <c r="O172" s="103" t="str">
        <f t="shared" si="41"/>
        <v/>
      </c>
      <c r="P172" s="52">
        <v>0</v>
      </c>
      <c r="Q172" s="102" t="str">
        <f t="shared" si="42"/>
        <v/>
      </c>
      <c r="R172" s="103" t="str">
        <f t="shared" si="43"/>
        <v/>
      </c>
      <c r="S172" s="52">
        <v>0</v>
      </c>
      <c r="T172" s="102" t="str">
        <f t="shared" si="44"/>
        <v/>
      </c>
      <c r="U172" s="103" t="str">
        <f t="shared" si="45"/>
        <v/>
      </c>
      <c r="V172" s="52">
        <v>0</v>
      </c>
      <c r="W172" s="87" t="str">
        <f t="shared" si="46"/>
        <v/>
      </c>
      <c r="X172" s="103" t="str">
        <f t="shared" si="47"/>
        <v/>
      </c>
      <c r="Y172" s="52">
        <v>0</v>
      </c>
      <c r="Z172" s="56" t="str">
        <f t="shared" si="48"/>
        <v/>
      </c>
      <c r="AA172" s="56" t="str">
        <f t="shared" si="49"/>
        <v/>
      </c>
      <c r="AB172" s="56" t="str">
        <f t="shared" si="50"/>
        <v/>
      </c>
      <c r="AC172" s="56" t="str">
        <f t="shared" si="51"/>
        <v/>
      </c>
      <c r="AD172" s="56" t="str">
        <f t="shared" si="52"/>
        <v/>
      </c>
      <c r="AE172" s="40"/>
      <c r="AF172" s="40"/>
      <c r="AG172" s="40"/>
      <c r="AH172" s="56" t="str">
        <f t="shared" si="53"/>
        <v/>
      </c>
      <c r="AI172" s="54"/>
      <c r="AJ172" s="54"/>
      <c r="AK172" s="54"/>
      <c r="AL172" s="54"/>
      <c r="AM172" s="54"/>
    </row>
    <row r="173" spans="1:39">
      <c r="A173" s="45" t="str" cm="1">
        <f t="array" ref="A173">IF(H173="PROJECT", CHAR(10) &amp; "- " &amp; _xlfn.TEXTJOIN(CHAR(10) &amp; "- ", TRUE, _xlfn._xlws.FILTER($I$9:$I$1000, ($B$9:$B$1000=B173) * ($H$9:$H$1000="Topic"))), "")</f>
        <v/>
      </c>
      <c r="B173" s="45" t="str">
        <f t="shared" si="37"/>
        <v/>
      </c>
      <c r="C173" s="95"/>
      <c r="D173" s="46"/>
      <c r="E173" s="58"/>
      <c r="F173" s="67"/>
      <c r="G173" s="53"/>
      <c r="H173" s="53"/>
      <c r="I173" s="50"/>
      <c r="J173" s="51"/>
      <c r="K173" s="129" t="str">
        <f t="shared" si="38"/>
        <v/>
      </c>
      <c r="L173" s="103" t="str">
        <f t="shared" si="39"/>
        <v/>
      </c>
      <c r="M173" s="53">
        <v>0</v>
      </c>
      <c r="N173" s="102" t="str">
        <f t="shared" si="40"/>
        <v/>
      </c>
      <c r="O173" s="103" t="str">
        <f t="shared" si="41"/>
        <v/>
      </c>
      <c r="P173" s="53">
        <v>0</v>
      </c>
      <c r="Q173" s="102" t="str">
        <f t="shared" si="42"/>
        <v/>
      </c>
      <c r="R173" s="103" t="str">
        <f t="shared" si="43"/>
        <v/>
      </c>
      <c r="S173" s="53">
        <v>0</v>
      </c>
      <c r="T173" s="102" t="str">
        <f t="shared" si="44"/>
        <v/>
      </c>
      <c r="U173" s="103" t="str">
        <f t="shared" si="45"/>
        <v/>
      </c>
      <c r="V173" s="53">
        <v>0</v>
      </c>
      <c r="W173" s="87" t="str">
        <f t="shared" si="46"/>
        <v/>
      </c>
      <c r="X173" s="103" t="str">
        <f t="shared" si="47"/>
        <v/>
      </c>
      <c r="Y173" s="53">
        <v>0</v>
      </c>
      <c r="Z173" s="56" t="str">
        <f t="shared" si="48"/>
        <v/>
      </c>
      <c r="AA173" s="56" t="str">
        <f t="shared" si="49"/>
        <v/>
      </c>
      <c r="AB173" s="56" t="str">
        <f t="shared" si="50"/>
        <v/>
      </c>
      <c r="AC173" s="56" t="str">
        <f t="shared" si="51"/>
        <v/>
      </c>
      <c r="AD173" s="56" t="str">
        <f t="shared" si="52"/>
        <v/>
      </c>
      <c r="AE173" s="40"/>
      <c r="AF173" s="40"/>
      <c r="AG173" s="40"/>
      <c r="AH173" s="56" t="str">
        <f t="shared" si="53"/>
        <v/>
      </c>
      <c r="AI173" s="54"/>
      <c r="AJ173" s="54"/>
      <c r="AK173" s="54"/>
      <c r="AL173" s="54"/>
      <c r="AM173" s="54"/>
    </row>
    <row r="174" spans="1:39">
      <c r="A174" s="45" t="str" cm="1">
        <f t="array" ref="A174">IF(H174="PROJECT", CHAR(10) &amp; "- " &amp; _xlfn.TEXTJOIN(CHAR(10) &amp; "- ", TRUE, _xlfn._xlws.FILTER($I$9:$I$1000, ($B$9:$B$1000=B174) * ($H$9:$H$1000="Topic"))), "")</f>
        <v/>
      </c>
      <c r="B174" s="45" t="str">
        <f t="shared" si="37"/>
        <v/>
      </c>
      <c r="C174" s="95"/>
      <c r="D174" s="57"/>
      <c r="E174" s="58"/>
      <c r="F174" s="54"/>
      <c r="G174" s="52"/>
      <c r="H174" s="52"/>
      <c r="I174" s="61"/>
      <c r="J174" s="62"/>
      <c r="K174" s="129" t="str">
        <f t="shared" si="38"/>
        <v/>
      </c>
      <c r="L174" s="103" t="str">
        <f t="shared" si="39"/>
        <v/>
      </c>
      <c r="M174" s="52">
        <v>0</v>
      </c>
      <c r="N174" s="102" t="str">
        <f t="shared" si="40"/>
        <v/>
      </c>
      <c r="O174" s="103" t="str">
        <f t="shared" si="41"/>
        <v/>
      </c>
      <c r="P174" s="52">
        <v>0</v>
      </c>
      <c r="Q174" s="102" t="str">
        <f t="shared" si="42"/>
        <v/>
      </c>
      <c r="R174" s="103" t="str">
        <f t="shared" si="43"/>
        <v/>
      </c>
      <c r="S174" s="52">
        <v>0</v>
      </c>
      <c r="T174" s="102" t="str">
        <f t="shared" si="44"/>
        <v/>
      </c>
      <c r="U174" s="103" t="str">
        <f t="shared" si="45"/>
        <v/>
      </c>
      <c r="V174" s="52">
        <v>0</v>
      </c>
      <c r="W174" s="87" t="str">
        <f t="shared" si="46"/>
        <v/>
      </c>
      <c r="X174" s="103" t="str">
        <f t="shared" si="47"/>
        <v/>
      </c>
      <c r="Y174" s="52">
        <v>0</v>
      </c>
      <c r="Z174" s="56" t="str">
        <f t="shared" si="48"/>
        <v/>
      </c>
      <c r="AA174" s="56" t="str">
        <f t="shared" si="49"/>
        <v/>
      </c>
      <c r="AB174" s="56" t="str">
        <f t="shared" si="50"/>
        <v/>
      </c>
      <c r="AC174" s="56" t="str">
        <f t="shared" si="51"/>
        <v/>
      </c>
      <c r="AD174" s="56" t="str">
        <f t="shared" si="52"/>
        <v/>
      </c>
      <c r="AE174" s="40"/>
      <c r="AF174" s="40"/>
      <c r="AG174" s="40"/>
      <c r="AH174" s="56" t="str">
        <f t="shared" si="53"/>
        <v/>
      </c>
      <c r="AI174" s="54"/>
      <c r="AJ174" s="54"/>
      <c r="AK174" s="54"/>
      <c r="AL174" s="54"/>
      <c r="AM174" s="54"/>
    </row>
    <row r="175" spans="1:39">
      <c r="A175" s="45" t="str" cm="1">
        <f t="array" ref="A175">IF(H175="PROJECT", CHAR(10) &amp; "- " &amp; _xlfn.TEXTJOIN(CHAR(10) &amp; "- ", TRUE, _xlfn._xlws.FILTER($I$9:$I$1000, ($B$9:$B$1000=B175) * ($H$9:$H$1000="Topic"))), "")</f>
        <v/>
      </c>
      <c r="B175" s="45" t="str">
        <f t="shared" si="37"/>
        <v/>
      </c>
      <c r="C175" s="95"/>
      <c r="D175" s="46"/>
      <c r="E175" s="58"/>
      <c r="F175" s="67"/>
      <c r="G175" s="53"/>
      <c r="H175" s="53"/>
      <c r="I175" s="50"/>
      <c r="J175" s="51"/>
      <c r="K175" s="129" t="str">
        <f t="shared" si="38"/>
        <v/>
      </c>
      <c r="L175" s="103" t="str">
        <f t="shared" si="39"/>
        <v/>
      </c>
      <c r="M175" s="53">
        <v>0</v>
      </c>
      <c r="N175" s="102" t="str">
        <f t="shared" si="40"/>
        <v/>
      </c>
      <c r="O175" s="103" t="str">
        <f t="shared" si="41"/>
        <v/>
      </c>
      <c r="P175" s="53">
        <v>0</v>
      </c>
      <c r="Q175" s="102" t="str">
        <f t="shared" si="42"/>
        <v/>
      </c>
      <c r="R175" s="103" t="str">
        <f t="shared" si="43"/>
        <v/>
      </c>
      <c r="S175" s="53">
        <v>0</v>
      </c>
      <c r="T175" s="102" t="str">
        <f t="shared" si="44"/>
        <v/>
      </c>
      <c r="U175" s="103" t="str">
        <f t="shared" si="45"/>
        <v/>
      </c>
      <c r="V175" s="53">
        <v>0</v>
      </c>
      <c r="W175" s="87" t="str">
        <f t="shared" si="46"/>
        <v/>
      </c>
      <c r="X175" s="103" t="str">
        <f t="shared" si="47"/>
        <v/>
      </c>
      <c r="Y175" s="53">
        <v>0</v>
      </c>
      <c r="Z175" s="56" t="str">
        <f t="shared" si="48"/>
        <v/>
      </c>
      <c r="AA175" s="56" t="str">
        <f t="shared" si="49"/>
        <v/>
      </c>
      <c r="AB175" s="56" t="str">
        <f t="shared" si="50"/>
        <v/>
      </c>
      <c r="AC175" s="56" t="str">
        <f t="shared" si="51"/>
        <v/>
      </c>
      <c r="AD175" s="56" t="str">
        <f t="shared" si="52"/>
        <v/>
      </c>
      <c r="AE175" s="40"/>
      <c r="AF175" s="40"/>
      <c r="AG175" s="40"/>
      <c r="AH175" s="56" t="str">
        <f t="shared" si="53"/>
        <v/>
      </c>
      <c r="AI175" s="54"/>
      <c r="AJ175" s="54"/>
      <c r="AK175" s="54"/>
      <c r="AL175" s="54"/>
      <c r="AM175" s="54"/>
    </row>
    <row r="176" spans="1:39">
      <c r="A176" s="45" t="str" cm="1">
        <f t="array" ref="A176">IF(H176="PROJECT", CHAR(10) &amp; "- " &amp; _xlfn.TEXTJOIN(CHAR(10) &amp; "- ", TRUE, _xlfn._xlws.FILTER($I$9:$I$1000, ($B$9:$B$1000=B176) * ($H$9:$H$1000="Topic"))), "")</f>
        <v/>
      </c>
      <c r="B176" s="45" t="str">
        <f t="shared" si="37"/>
        <v/>
      </c>
      <c r="C176" s="95"/>
      <c r="D176" s="57"/>
      <c r="E176" s="58"/>
      <c r="F176" s="54"/>
      <c r="G176" s="52"/>
      <c r="H176" s="52"/>
      <c r="I176" s="61"/>
      <c r="J176" s="62"/>
      <c r="K176" s="129" t="str">
        <f t="shared" si="38"/>
        <v/>
      </c>
      <c r="L176" s="103" t="str">
        <f t="shared" si="39"/>
        <v/>
      </c>
      <c r="M176" s="52">
        <v>0</v>
      </c>
      <c r="N176" s="102" t="str">
        <f t="shared" si="40"/>
        <v/>
      </c>
      <c r="O176" s="103" t="str">
        <f t="shared" si="41"/>
        <v/>
      </c>
      <c r="P176" s="52">
        <v>0</v>
      </c>
      <c r="Q176" s="102" t="str">
        <f t="shared" si="42"/>
        <v/>
      </c>
      <c r="R176" s="103" t="str">
        <f t="shared" si="43"/>
        <v/>
      </c>
      <c r="S176" s="52">
        <v>0</v>
      </c>
      <c r="T176" s="102" t="str">
        <f t="shared" si="44"/>
        <v/>
      </c>
      <c r="U176" s="103" t="str">
        <f t="shared" si="45"/>
        <v/>
      </c>
      <c r="V176" s="52">
        <v>0</v>
      </c>
      <c r="W176" s="87" t="str">
        <f t="shared" si="46"/>
        <v/>
      </c>
      <c r="X176" s="103" t="str">
        <f t="shared" si="47"/>
        <v/>
      </c>
      <c r="Y176" s="52">
        <v>0</v>
      </c>
      <c r="Z176" s="56" t="str">
        <f t="shared" si="48"/>
        <v/>
      </c>
      <c r="AA176" s="56" t="str">
        <f t="shared" si="49"/>
        <v/>
      </c>
      <c r="AB176" s="56" t="str">
        <f t="shared" si="50"/>
        <v/>
      </c>
      <c r="AC176" s="56" t="str">
        <f t="shared" si="51"/>
        <v/>
      </c>
      <c r="AD176" s="56" t="str">
        <f t="shared" si="52"/>
        <v/>
      </c>
      <c r="AE176" s="40"/>
      <c r="AF176" s="40"/>
      <c r="AG176" s="40"/>
      <c r="AH176" s="56" t="str">
        <f t="shared" si="53"/>
        <v/>
      </c>
      <c r="AI176" s="54"/>
      <c r="AJ176" s="54"/>
      <c r="AK176" s="54"/>
      <c r="AL176" s="54"/>
      <c r="AM176" s="54"/>
    </row>
    <row r="177" spans="1:39">
      <c r="A177" s="45" t="str" cm="1">
        <f t="array" ref="A177">IF(H177="PROJECT", CHAR(10) &amp; "- " &amp; _xlfn.TEXTJOIN(CHAR(10) &amp; "- ", TRUE, _xlfn._xlws.FILTER($I$9:$I$1000, ($B$9:$B$1000=B177) * ($H$9:$H$1000="Topic"))), "")</f>
        <v/>
      </c>
      <c r="B177" s="45" t="str">
        <f t="shared" si="37"/>
        <v/>
      </c>
      <c r="C177" s="95"/>
      <c r="D177" s="46"/>
      <c r="E177" s="58"/>
      <c r="F177" s="67"/>
      <c r="G177" s="53"/>
      <c r="H177" s="53"/>
      <c r="I177" s="50"/>
      <c r="J177" s="51"/>
      <c r="K177" s="129" t="str">
        <f t="shared" si="38"/>
        <v/>
      </c>
      <c r="L177" s="103" t="str">
        <f t="shared" si="39"/>
        <v/>
      </c>
      <c r="M177" s="53">
        <v>0</v>
      </c>
      <c r="N177" s="102" t="str">
        <f t="shared" si="40"/>
        <v/>
      </c>
      <c r="O177" s="103" t="str">
        <f t="shared" si="41"/>
        <v/>
      </c>
      <c r="P177" s="53">
        <v>0</v>
      </c>
      <c r="Q177" s="102" t="str">
        <f t="shared" si="42"/>
        <v/>
      </c>
      <c r="R177" s="103" t="str">
        <f t="shared" si="43"/>
        <v/>
      </c>
      <c r="S177" s="53">
        <v>0</v>
      </c>
      <c r="T177" s="102" t="str">
        <f t="shared" si="44"/>
        <v/>
      </c>
      <c r="U177" s="103" t="str">
        <f t="shared" si="45"/>
        <v/>
      </c>
      <c r="V177" s="53">
        <v>0</v>
      </c>
      <c r="W177" s="87" t="str">
        <f t="shared" si="46"/>
        <v/>
      </c>
      <c r="X177" s="103" t="str">
        <f t="shared" si="47"/>
        <v/>
      </c>
      <c r="Y177" s="53">
        <v>0</v>
      </c>
      <c r="Z177" s="56" t="str">
        <f t="shared" si="48"/>
        <v/>
      </c>
      <c r="AA177" s="56" t="str">
        <f t="shared" si="49"/>
        <v/>
      </c>
      <c r="AB177" s="56" t="str">
        <f t="shared" si="50"/>
        <v/>
      </c>
      <c r="AC177" s="56" t="str">
        <f t="shared" si="51"/>
        <v/>
      </c>
      <c r="AD177" s="56" t="str">
        <f t="shared" si="52"/>
        <v/>
      </c>
      <c r="AE177" s="40"/>
      <c r="AF177" s="40"/>
      <c r="AG177" s="40"/>
      <c r="AH177" s="56" t="str">
        <f t="shared" si="53"/>
        <v/>
      </c>
      <c r="AI177" s="54"/>
      <c r="AJ177" s="54"/>
      <c r="AK177" s="54"/>
      <c r="AL177" s="54"/>
      <c r="AM177" s="54"/>
    </row>
    <row r="178" spans="1:39">
      <c r="A178" s="45" t="str" cm="1">
        <f t="array" ref="A178">IF(H178="PROJECT", CHAR(10) &amp; "- " &amp; _xlfn.TEXTJOIN(CHAR(10) &amp; "- ", TRUE, _xlfn._xlws.FILTER($I$9:$I$1000, ($B$9:$B$1000=B178) * ($H$9:$H$1000="Topic"))), "")</f>
        <v/>
      </c>
      <c r="B178" s="45" t="str">
        <f t="shared" si="37"/>
        <v/>
      </c>
      <c r="C178" s="95"/>
      <c r="D178" s="57"/>
      <c r="E178" s="58"/>
      <c r="F178" s="54"/>
      <c r="G178" s="52"/>
      <c r="H178" s="52"/>
      <c r="I178" s="61"/>
      <c r="J178" s="62"/>
      <c r="K178" s="129" t="str">
        <f t="shared" si="38"/>
        <v/>
      </c>
      <c r="L178" s="103" t="str">
        <f t="shared" si="39"/>
        <v/>
      </c>
      <c r="M178" s="52">
        <v>0</v>
      </c>
      <c r="N178" s="102" t="str">
        <f t="shared" si="40"/>
        <v/>
      </c>
      <c r="O178" s="103" t="str">
        <f t="shared" si="41"/>
        <v/>
      </c>
      <c r="P178" s="52">
        <v>0</v>
      </c>
      <c r="Q178" s="102" t="str">
        <f t="shared" si="42"/>
        <v/>
      </c>
      <c r="R178" s="103" t="str">
        <f t="shared" si="43"/>
        <v/>
      </c>
      <c r="S178" s="52">
        <v>0</v>
      </c>
      <c r="T178" s="102" t="str">
        <f t="shared" si="44"/>
        <v/>
      </c>
      <c r="U178" s="103" t="str">
        <f t="shared" si="45"/>
        <v/>
      </c>
      <c r="V178" s="52">
        <v>0</v>
      </c>
      <c r="W178" s="87" t="str">
        <f t="shared" si="46"/>
        <v/>
      </c>
      <c r="X178" s="103" t="str">
        <f t="shared" si="47"/>
        <v/>
      </c>
      <c r="Y178" s="52">
        <v>0</v>
      </c>
      <c r="Z178" s="56" t="str">
        <f t="shared" si="48"/>
        <v/>
      </c>
      <c r="AA178" s="56" t="str">
        <f t="shared" si="49"/>
        <v/>
      </c>
      <c r="AB178" s="56" t="str">
        <f t="shared" si="50"/>
        <v/>
      </c>
      <c r="AC178" s="56" t="str">
        <f t="shared" si="51"/>
        <v/>
      </c>
      <c r="AD178" s="56" t="str">
        <f t="shared" si="52"/>
        <v/>
      </c>
      <c r="AE178" s="40"/>
      <c r="AF178" s="40"/>
      <c r="AG178" s="40"/>
      <c r="AH178" s="56" t="str">
        <f t="shared" si="53"/>
        <v/>
      </c>
      <c r="AI178" s="54"/>
      <c r="AJ178" s="54"/>
      <c r="AK178" s="54"/>
      <c r="AL178" s="54"/>
      <c r="AM178" s="54"/>
    </row>
    <row r="179" spans="1:39">
      <c r="A179" s="45" t="str" cm="1">
        <f t="array" ref="A179">IF(H179="PROJECT", CHAR(10) &amp; "- " &amp; _xlfn.TEXTJOIN(CHAR(10) &amp; "- ", TRUE, _xlfn._xlws.FILTER($I$9:$I$1000, ($B$9:$B$1000=B179) * ($H$9:$H$1000="Topic"))), "")</f>
        <v/>
      </c>
      <c r="B179" s="45" t="str">
        <f t="shared" si="37"/>
        <v/>
      </c>
      <c r="C179" s="95"/>
      <c r="D179" s="46"/>
      <c r="E179" s="58"/>
      <c r="F179" s="67"/>
      <c r="G179" s="53"/>
      <c r="H179" s="53"/>
      <c r="I179" s="50"/>
      <c r="J179" s="51"/>
      <c r="K179" s="129" t="str">
        <f t="shared" si="38"/>
        <v/>
      </c>
      <c r="L179" s="103" t="str">
        <f t="shared" si="39"/>
        <v/>
      </c>
      <c r="M179" s="53">
        <v>0</v>
      </c>
      <c r="N179" s="102" t="str">
        <f t="shared" si="40"/>
        <v/>
      </c>
      <c r="O179" s="103" t="str">
        <f t="shared" si="41"/>
        <v/>
      </c>
      <c r="P179" s="53">
        <v>0</v>
      </c>
      <c r="Q179" s="102" t="str">
        <f t="shared" si="42"/>
        <v/>
      </c>
      <c r="R179" s="103" t="str">
        <f t="shared" si="43"/>
        <v/>
      </c>
      <c r="S179" s="53">
        <v>0</v>
      </c>
      <c r="T179" s="102" t="str">
        <f t="shared" si="44"/>
        <v/>
      </c>
      <c r="U179" s="103" t="str">
        <f t="shared" si="45"/>
        <v/>
      </c>
      <c r="V179" s="53">
        <v>0</v>
      </c>
      <c r="W179" s="87" t="str">
        <f t="shared" si="46"/>
        <v/>
      </c>
      <c r="X179" s="103" t="str">
        <f t="shared" si="47"/>
        <v/>
      </c>
      <c r="Y179" s="53">
        <v>0</v>
      </c>
      <c r="Z179" s="56" t="str">
        <f t="shared" si="48"/>
        <v/>
      </c>
      <c r="AA179" s="56" t="str">
        <f t="shared" si="49"/>
        <v/>
      </c>
      <c r="AB179" s="56" t="str">
        <f t="shared" si="50"/>
        <v/>
      </c>
      <c r="AC179" s="56" t="str">
        <f t="shared" si="51"/>
        <v/>
      </c>
      <c r="AD179" s="56" t="str">
        <f t="shared" si="52"/>
        <v/>
      </c>
      <c r="AE179" s="40"/>
      <c r="AF179" s="40"/>
      <c r="AG179" s="40"/>
      <c r="AH179" s="56" t="str">
        <f t="shared" si="53"/>
        <v/>
      </c>
      <c r="AI179" s="54"/>
      <c r="AJ179" s="54"/>
      <c r="AK179" s="54"/>
      <c r="AL179" s="54"/>
      <c r="AM179" s="54"/>
    </row>
    <row r="180" spans="1:39">
      <c r="A180" s="45" t="str" cm="1">
        <f t="array" ref="A180">IF(H180="PROJECT", CHAR(10) &amp; "- " &amp; _xlfn.TEXTJOIN(CHAR(10) &amp; "- ", TRUE, _xlfn._xlws.FILTER($I$9:$I$1000, ($B$9:$B$1000=B180) * ($H$9:$H$1000="Topic"))), "")</f>
        <v/>
      </c>
      <c r="B180" s="45" t="str">
        <f t="shared" si="37"/>
        <v/>
      </c>
      <c r="C180" s="95"/>
      <c r="D180" s="57"/>
      <c r="E180" s="58"/>
      <c r="F180" s="54"/>
      <c r="G180" s="52"/>
      <c r="H180" s="52"/>
      <c r="I180" s="61"/>
      <c r="J180" s="62"/>
      <c r="K180" s="129" t="str">
        <f t="shared" si="38"/>
        <v/>
      </c>
      <c r="L180" s="103" t="str">
        <f t="shared" si="39"/>
        <v/>
      </c>
      <c r="M180" s="52">
        <v>0</v>
      </c>
      <c r="N180" s="102" t="str">
        <f t="shared" si="40"/>
        <v/>
      </c>
      <c r="O180" s="103" t="str">
        <f t="shared" si="41"/>
        <v/>
      </c>
      <c r="P180" s="52">
        <v>0</v>
      </c>
      <c r="Q180" s="102" t="str">
        <f t="shared" si="42"/>
        <v/>
      </c>
      <c r="R180" s="103" t="str">
        <f t="shared" si="43"/>
        <v/>
      </c>
      <c r="S180" s="52">
        <v>0</v>
      </c>
      <c r="T180" s="102" t="str">
        <f t="shared" si="44"/>
        <v/>
      </c>
      <c r="U180" s="103" t="str">
        <f t="shared" si="45"/>
        <v/>
      </c>
      <c r="V180" s="52">
        <v>0</v>
      </c>
      <c r="W180" s="87" t="str">
        <f t="shared" si="46"/>
        <v/>
      </c>
      <c r="X180" s="103" t="str">
        <f t="shared" si="47"/>
        <v/>
      </c>
      <c r="Y180" s="52">
        <v>0</v>
      </c>
      <c r="Z180" s="56" t="str">
        <f t="shared" si="48"/>
        <v/>
      </c>
      <c r="AA180" s="56" t="str">
        <f t="shared" si="49"/>
        <v/>
      </c>
      <c r="AB180" s="56" t="str">
        <f t="shared" si="50"/>
        <v/>
      </c>
      <c r="AC180" s="56" t="str">
        <f t="shared" si="51"/>
        <v/>
      </c>
      <c r="AD180" s="56" t="str">
        <f t="shared" si="52"/>
        <v/>
      </c>
      <c r="AE180" s="40"/>
      <c r="AF180" s="40"/>
      <c r="AG180" s="40"/>
      <c r="AH180" s="56" t="str">
        <f t="shared" si="53"/>
        <v/>
      </c>
      <c r="AI180" s="54"/>
      <c r="AJ180" s="54"/>
      <c r="AK180" s="54"/>
      <c r="AL180" s="54"/>
      <c r="AM180" s="54"/>
    </row>
    <row r="181" spans="1:39">
      <c r="A181" s="45" t="str" cm="1">
        <f t="array" ref="A181">IF(H181="PROJECT", CHAR(10) &amp; "- " &amp; _xlfn.TEXTJOIN(CHAR(10) &amp; "- ", TRUE, _xlfn._xlws.FILTER($I$9:$I$1000, ($B$9:$B$1000=B181) * ($H$9:$H$1000="Topic"))), "")</f>
        <v/>
      </c>
      <c r="B181" s="45" t="str">
        <f t="shared" si="37"/>
        <v/>
      </c>
      <c r="C181" s="95"/>
      <c r="D181" s="46"/>
      <c r="E181" s="58"/>
      <c r="F181" s="67"/>
      <c r="G181" s="53"/>
      <c r="H181" s="53"/>
      <c r="I181" s="50"/>
      <c r="J181" s="51"/>
      <c r="K181" s="129" t="str">
        <f t="shared" si="38"/>
        <v/>
      </c>
      <c r="L181" s="103" t="str">
        <f t="shared" si="39"/>
        <v/>
      </c>
      <c r="M181" s="53">
        <v>0</v>
      </c>
      <c r="N181" s="102" t="str">
        <f t="shared" si="40"/>
        <v/>
      </c>
      <c r="O181" s="103" t="str">
        <f t="shared" si="41"/>
        <v/>
      </c>
      <c r="P181" s="53">
        <v>0</v>
      </c>
      <c r="Q181" s="102" t="str">
        <f t="shared" si="42"/>
        <v/>
      </c>
      <c r="R181" s="103" t="str">
        <f t="shared" si="43"/>
        <v/>
      </c>
      <c r="S181" s="53">
        <v>0</v>
      </c>
      <c r="T181" s="102" t="str">
        <f t="shared" si="44"/>
        <v/>
      </c>
      <c r="U181" s="103" t="str">
        <f t="shared" si="45"/>
        <v/>
      </c>
      <c r="V181" s="53">
        <v>0</v>
      </c>
      <c r="W181" s="87" t="str">
        <f t="shared" si="46"/>
        <v/>
      </c>
      <c r="X181" s="103" t="str">
        <f t="shared" si="47"/>
        <v/>
      </c>
      <c r="Y181" s="53">
        <v>0</v>
      </c>
      <c r="Z181" s="56" t="str">
        <f t="shared" si="48"/>
        <v/>
      </c>
      <c r="AA181" s="56" t="str">
        <f t="shared" si="49"/>
        <v/>
      </c>
      <c r="AB181" s="56" t="str">
        <f t="shared" si="50"/>
        <v/>
      </c>
      <c r="AC181" s="56" t="str">
        <f t="shared" si="51"/>
        <v/>
      </c>
      <c r="AD181" s="56" t="str">
        <f t="shared" si="52"/>
        <v/>
      </c>
      <c r="AE181" s="40"/>
      <c r="AF181" s="40"/>
      <c r="AG181" s="40"/>
      <c r="AH181" s="56" t="str">
        <f t="shared" si="53"/>
        <v/>
      </c>
      <c r="AI181" s="54"/>
      <c r="AJ181" s="54"/>
      <c r="AK181" s="54"/>
      <c r="AL181" s="54"/>
      <c r="AM181" s="54"/>
    </row>
    <row r="182" spans="1:39">
      <c r="A182" s="45" t="str" cm="1">
        <f t="array" ref="A182">IF(H182="PROJECT", CHAR(10) &amp; "- " &amp; _xlfn.TEXTJOIN(CHAR(10) &amp; "- ", TRUE, _xlfn._xlws.FILTER($I$9:$I$1000, ($B$9:$B$1000=B182) * ($H$9:$H$1000="Topic"))), "")</f>
        <v/>
      </c>
      <c r="B182" s="45" t="str">
        <f t="shared" si="37"/>
        <v/>
      </c>
      <c r="C182" s="95"/>
      <c r="D182" s="57"/>
      <c r="E182" s="58"/>
      <c r="F182" s="54"/>
      <c r="G182" s="52"/>
      <c r="H182" s="52"/>
      <c r="I182" s="61"/>
      <c r="J182" s="62"/>
      <c r="K182" s="129" t="str">
        <f t="shared" si="38"/>
        <v/>
      </c>
      <c r="L182" s="103" t="str">
        <f t="shared" si="39"/>
        <v/>
      </c>
      <c r="M182" s="52">
        <v>0</v>
      </c>
      <c r="N182" s="102" t="str">
        <f t="shared" si="40"/>
        <v/>
      </c>
      <c r="O182" s="103" t="str">
        <f t="shared" si="41"/>
        <v/>
      </c>
      <c r="P182" s="52">
        <v>0</v>
      </c>
      <c r="Q182" s="102" t="str">
        <f t="shared" si="42"/>
        <v/>
      </c>
      <c r="R182" s="103" t="str">
        <f t="shared" si="43"/>
        <v/>
      </c>
      <c r="S182" s="52">
        <v>0</v>
      </c>
      <c r="T182" s="102" t="str">
        <f t="shared" si="44"/>
        <v/>
      </c>
      <c r="U182" s="103" t="str">
        <f t="shared" si="45"/>
        <v/>
      </c>
      <c r="V182" s="52">
        <v>0</v>
      </c>
      <c r="W182" s="87" t="str">
        <f t="shared" si="46"/>
        <v/>
      </c>
      <c r="X182" s="103" t="str">
        <f t="shared" si="47"/>
        <v/>
      </c>
      <c r="Y182" s="52">
        <v>0</v>
      </c>
      <c r="Z182" s="56" t="str">
        <f t="shared" si="48"/>
        <v/>
      </c>
      <c r="AA182" s="56" t="str">
        <f t="shared" si="49"/>
        <v/>
      </c>
      <c r="AB182" s="56" t="str">
        <f t="shared" si="50"/>
        <v/>
      </c>
      <c r="AC182" s="56" t="str">
        <f t="shared" si="51"/>
        <v/>
      </c>
      <c r="AD182" s="56" t="str">
        <f t="shared" si="52"/>
        <v/>
      </c>
      <c r="AE182" s="40"/>
      <c r="AF182" s="40"/>
      <c r="AG182" s="40"/>
      <c r="AH182" s="56" t="str">
        <f t="shared" si="53"/>
        <v/>
      </c>
      <c r="AI182" s="54"/>
      <c r="AJ182" s="54"/>
      <c r="AK182" s="54"/>
      <c r="AL182" s="54"/>
      <c r="AM182" s="54"/>
    </row>
    <row r="183" spans="1:39">
      <c r="A183" s="45" t="str" cm="1">
        <f t="array" ref="A183">IF(H183="PROJECT", CHAR(10) &amp; "- " &amp; _xlfn.TEXTJOIN(CHAR(10) &amp; "- ", TRUE, _xlfn._xlws.FILTER($I$9:$I$1000, ($B$9:$B$1000=B183) * ($H$9:$H$1000="Topic"))), "")</f>
        <v/>
      </c>
      <c r="B183" s="45" t="str">
        <f t="shared" si="37"/>
        <v/>
      </c>
      <c r="C183" s="95"/>
      <c r="D183" s="46"/>
      <c r="E183" s="58"/>
      <c r="F183" s="67"/>
      <c r="G183" s="53"/>
      <c r="H183" s="53"/>
      <c r="I183" s="50"/>
      <c r="J183" s="51"/>
      <c r="K183" s="129" t="str">
        <f t="shared" si="38"/>
        <v/>
      </c>
      <c r="L183" s="103" t="str">
        <f t="shared" si="39"/>
        <v/>
      </c>
      <c r="M183" s="53">
        <v>0</v>
      </c>
      <c r="N183" s="102" t="str">
        <f t="shared" si="40"/>
        <v/>
      </c>
      <c r="O183" s="103" t="str">
        <f t="shared" si="41"/>
        <v/>
      </c>
      <c r="P183" s="53">
        <v>0</v>
      </c>
      <c r="Q183" s="102" t="str">
        <f t="shared" si="42"/>
        <v/>
      </c>
      <c r="R183" s="103" t="str">
        <f t="shared" si="43"/>
        <v/>
      </c>
      <c r="S183" s="53">
        <v>0</v>
      </c>
      <c r="T183" s="102" t="str">
        <f t="shared" si="44"/>
        <v/>
      </c>
      <c r="U183" s="103" t="str">
        <f t="shared" si="45"/>
        <v/>
      </c>
      <c r="V183" s="53">
        <v>0</v>
      </c>
      <c r="W183" s="87" t="str">
        <f t="shared" si="46"/>
        <v/>
      </c>
      <c r="X183" s="103" t="str">
        <f t="shared" si="47"/>
        <v/>
      </c>
      <c r="Y183" s="53">
        <v>0</v>
      </c>
      <c r="Z183" s="56" t="str">
        <f t="shared" si="48"/>
        <v/>
      </c>
      <c r="AA183" s="56" t="str">
        <f t="shared" si="49"/>
        <v/>
      </c>
      <c r="AB183" s="56" t="str">
        <f t="shared" si="50"/>
        <v/>
      </c>
      <c r="AC183" s="56" t="str">
        <f t="shared" si="51"/>
        <v/>
      </c>
      <c r="AD183" s="56" t="str">
        <f t="shared" si="52"/>
        <v/>
      </c>
      <c r="AE183" s="40"/>
      <c r="AF183" s="40"/>
      <c r="AG183" s="40"/>
      <c r="AH183" s="56" t="str">
        <f t="shared" si="53"/>
        <v/>
      </c>
      <c r="AI183" s="54"/>
      <c r="AJ183" s="54"/>
      <c r="AK183" s="54"/>
      <c r="AL183" s="54"/>
      <c r="AM183" s="54"/>
    </row>
    <row r="184" spans="1:39">
      <c r="A184" s="45" t="str" cm="1">
        <f t="array" ref="A184">IF(H184="PROJECT", CHAR(10) &amp; "- " &amp; _xlfn.TEXTJOIN(CHAR(10) &amp; "- ", TRUE, _xlfn._xlws.FILTER($I$9:$I$1000, ($B$9:$B$1000=B184) * ($H$9:$H$1000="Topic"))), "")</f>
        <v/>
      </c>
      <c r="B184" s="45" t="str">
        <f t="shared" si="37"/>
        <v/>
      </c>
      <c r="C184" s="95"/>
      <c r="D184" s="57"/>
      <c r="E184" s="58"/>
      <c r="F184" s="54"/>
      <c r="G184" s="52"/>
      <c r="H184" s="52"/>
      <c r="I184" s="61"/>
      <c r="J184" s="62"/>
      <c r="K184" s="129" t="str">
        <f t="shared" si="38"/>
        <v/>
      </c>
      <c r="L184" s="103" t="str">
        <f t="shared" si="39"/>
        <v/>
      </c>
      <c r="M184" s="52">
        <v>0</v>
      </c>
      <c r="N184" s="102" t="str">
        <f t="shared" si="40"/>
        <v/>
      </c>
      <c r="O184" s="103" t="str">
        <f t="shared" si="41"/>
        <v/>
      </c>
      <c r="P184" s="52">
        <v>0</v>
      </c>
      <c r="Q184" s="102" t="str">
        <f t="shared" si="42"/>
        <v/>
      </c>
      <c r="R184" s="103" t="str">
        <f t="shared" si="43"/>
        <v/>
      </c>
      <c r="S184" s="52">
        <v>0</v>
      </c>
      <c r="T184" s="102" t="str">
        <f t="shared" si="44"/>
        <v/>
      </c>
      <c r="U184" s="103" t="str">
        <f t="shared" si="45"/>
        <v/>
      </c>
      <c r="V184" s="52">
        <v>0</v>
      </c>
      <c r="W184" s="87" t="str">
        <f t="shared" si="46"/>
        <v/>
      </c>
      <c r="X184" s="103" t="str">
        <f t="shared" si="47"/>
        <v/>
      </c>
      <c r="Y184" s="52">
        <v>0</v>
      </c>
      <c r="Z184" s="56" t="str">
        <f t="shared" si="48"/>
        <v/>
      </c>
      <c r="AA184" s="56" t="str">
        <f t="shared" si="49"/>
        <v/>
      </c>
      <c r="AB184" s="56" t="str">
        <f t="shared" si="50"/>
        <v/>
      </c>
      <c r="AC184" s="56" t="str">
        <f t="shared" si="51"/>
        <v/>
      </c>
      <c r="AD184" s="56" t="str">
        <f t="shared" si="52"/>
        <v/>
      </c>
      <c r="AE184" s="40"/>
      <c r="AF184" s="40"/>
      <c r="AG184" s="40"/>
      <c r="AH184" s="56" t="str">
        <f t="shared" si="53"/>
        <v/>
      </c>
      <c r="AI184" s="54"/>
      <c r="AJ184" s="54"/>
      <c r="AK184" s="54"/>
      <c r="AL184" s="54"/>
      <c r="AM184" s="54"/>
    </row>
    <row r="185" spans="1:39">
      <c r="A185" s="45" t="str" cm="1">
        <f t="array" ref="A185">IF(H185="PROJECT", CHAR(10) &amp; "- " &amp; _xlfn.TEXTJOIN(CHAR(10) &amp; "- ", TRUE, _xlfn._xlws.FILTER($I$9:$I$1000, ($B$9:$B$1000=B185) * ($H$9:$H$1000="Topic"))), "")</f>
        <v/>
      </c>
      <c r="B185" s="45" t="str">
        <f t="shared" si="37"/>
        <v/>
      </c>
      <c r="C185" s="95"/>
      <c r="D185" s="46"/>
      <c r="E185" s="58"/>
      <c r="F185" s="67"/>
      <c r="G185" s="53"/>
      <c r="H185" s="53"/>
      <c r="I185" s="50"/>
      <c r="J185" s="51"/>
      <c r="K185" s="129" t="str">
        <f t="shared" si="38"/>
        <v/>
      </c>
      <c r="L185" s="103" t="str">
        <f t="shared" si="39"/>
        <v/>
      </c>
      <c r="M185" s="53">
        <v>0</v>
      </c>
      <c r="N185" s="102" t="str">
        <f t="shared" si="40"/>
        <v/>
      </c>
      <c r="O185" s="103" t="str">
        <f t="shared" si="41"/>
        <v/>
      </c>
      <c r="P185" s="53">
        <v>0</v>
      </c>
      <c r="Q185" s="102" t="str">
        <f t="shared" si="42"/>
        <v/>
      </c>
      <c r="R185" s="103" t="str">
        <f t="shared" si="43"/>
        <v/>
      </c>
      <c r="S185" s="53">
        <v>0</v>
      </c>
      <c r="T185" s="102" t="str">
        <f t="shared" si="44"/>
        <v/>
      </c>
      <c r="U185" s="103" t="str">
        <f t="shared" si="45"/>
        <v/>
      </c>
      <c r="V185" s="53">
        <v>0</v>
      </c>
      <c r="W185" s="87" t="str">
        <f t="shared" si="46"/>
        <v/>
      </c>
      <c r="X185" s="103" t="str">
        <f t="shared" si="47"/>
        <v/>
      </c>
      <c r="Y185" s="53">
        <v>0</v>
      </c>
      <c r="Z185" s="56" t="str">
        <f t="shared" si="48"/>
        <v/>
      </c>
      <c r="AA185" s="56" t="str">
        <f t="shared" si="49"/>
        <v/>
      </c>
      <c r="AB185" s="56" t="str">
        <f t="shared" si="50"/>
        <v/>
      </c>
      <c r="AC185" s="56" t="str">
        <f t="shared" si="51"/>
        <v/>
      </c>
      <c r="AD185" s="56" t="str">
        <f t="shared" si="52"/>
        <v/>
      </c>
      <c r="AE185" s="40"/>
      <c r="AF185" s="40"/>
      <c r="AG185" s="40"/>
      <c r="AH185" s="56" t="str">
        <f t="shared" si="53"/>
        <v/>
      </c>
      <c r="AI185" s="54"/>
      <c r="AJ185" s="54"/>
      <c r="AK185" s="54"/>
      <c r="AL185" s="54"/>
      <c r="AM185" s="54"/>
    </row>
    <row r="186" spans="1:39">
      <c r="A186" s="45" t="str" cm="1">
        <f t="array" ref="A186">IF(H186="PROJECT", CHAR(10) &amp; "- " &amp; _xlfn.TEXTJOIN(CHAR(10) &amp; "- ", TRUE, _xlfn._xlws.FILTER($I$9:$I$1000, ($B$9:$B$1000=B186) * ($H$9:$H$1000="Topic"))), "")</f>
        <v/>
      </c>
      <c r="B186" s="45" t="str">
        <f t="shared" si="37"/>
        <v/>
      </c>
      <c r="C186" s="95"/>
      <c r="D186" s="57"/>
      <c r="E186" s="58"/>
      <c r="F186" s="54"/>
      <c r="G186" s="52"/>
      <c r="H186" s="52"/>
      <c r="I186" s="61"/>
      <c r="J186" s="62"/>
      <c r="K186" s="129" t="str">
        <f t="shared" si="38"/>
        <v/>
      </c>
      <c r="L186" s="103" t="str">
        <f t="shared" si="39"/>
        <v/>
      </c>
      <c r="M186" s="52">
        <v>0</v>
      </c>
      <c r="N186" s="102" t="str">
        <f t="shared" si="40"/>
        <v/>
      </c>
      <c r="O186" s="103" t="str">
        <f t="shared" si="41"/>
        <v/>
      </c>
      <c r="P186" s="52">
        <v>0</v>
      </c>
      <c r="Q186" s="102" t="str">
        <f t="shared" si="42"/>
        <v/>
      </c>
      <c r="R186" s="103" t="str">
        <f t="shared" si="43"/>
        <v/>
      </c>
      <c r="S186" s="52">
        <v>0</v>
      </c>
      <c r="T186" s="102" t="str">
        <f t="shared" si="44"/>
        <v/>
      </c>
      <c r="U186" s="103" t="str">
        <f t="shared" si="45"/>
        <v/>
      </c>
      <c r="V186" s="52">
        <v>0</v>
      </c>
      <c r="W186" s="87" t="str">
        <f t="shared" si="46"/>
        <v/>
      </c>
      <c r="X186" s="103" t="str">
        <f t="shared" si="47"/>
        <v/>
      </c>
      <c r="Y186" s="52">
        <v>0</v>
      </c>
      <c r="Z186" s="56" t="str">
        <f t="shared" si="48"/>
        <v/>
      </c>
      <c r="AA186" s="56" t="str">
        <f t="shared" si="49"/>
        <v/>
      </c>
      <c r="AB186" s="56" t="str">
        <f t="shared" si="50"/>
        <v/>
      </c>
      <c r="AC186" s="56" t="str">
        <f t="shared" si="51"/>
        <v/>
      </c>
      <c r="AD186" s="56" t="str">
        <f t="shared" si="52"/>
        <v/>
      </c>
      <c r="AE186" s="40"/>
      <c r="AF186" s="40"/>
      <c r="AG186" s="40"/>
      <c r="AH186" s="56" t="str">
        <f t="shared" si="53"/>
        <v/>
      </c>
      <c r="AI186" s="54"/>
      <c r="AJ186" s="54"/>
      <c r="AK186" s="54"/>
      <c r="AL186" s="54"/>
      <c r="AM186" s="54"/>
    </row>
    <row r="187" spans="1:39">
      <c r="A187" s="45" t="str" cm="1">
        <f t="array" ref="A187">IF(H187="PROJECT", CHAR(10) &amp; "- " &amp; _xlfn.TEXTJOIN(CHAR(10) &amp; "- ", TRUE, _xlfn._xlws.FILTER($I$9:$I$1000, ($B$9:$B$1000=B187) * ($H$9:$H$1000="Topic"))), "")</f>
        <v/>
      </c>
      <c r="B187" s="45" t="str">
        <f t="shared" si="37"/>
        <v/>
      </c>
      <c r="C187" s="95"/>
      <c r="D187" s="46"/>
      <c r="E187" s="58"/>
      <c r="F187" s="67"/>
      <c r="G187" s="53"/>
      <c r="H187" s="53"/>
      <c r="I187" s="50"/>
      <c r="J187" s="51"/>
      <c r="K187" s="129" t="str">
        <f t="shared" si="38"/>
        <v/>
      </c>
      <c r="L187" s="103" t="str">
        <f t="shared" si="39"/>
        <v/>
      </c>
      <c r="M187" s="53">
        <v>0</v>
      </c>
      <c r="N187" s="102" t="str">
        <f t="shared" si="40"/>
        <v/>
      </c>
      <c r="O187" s="103" t="str">
        <f t="shared" si="41"/>
        <v/>
      </c>
      <c r="P187" s="53">
        <v>0</v>
      </c>
      <c r="Q187" s="102" t="str">
        <f t="shared" si="42"/>
        <v/>
      </c>
      <c r="R187" s="103" t="str">
        <f t="shared" si="43"/>
        <v/>
      </c>
      <c r="S187" s="53">
        <v>0</v>
      </c>
      <c r="T187" s="102" t="str">
        <f t="shared" si="44"/>
        <v/>
      </c>
      <c r="U187" s="103" t="str">
        <f t="shared" si="45"/>
        <v/>
      </c>
      <c r="V187" s="53">
        <v>0</v>
      </c>
      <c r="W187" s="87" t="str">
        <f t="shared" si="46"/>
        <v/>
      </c>
      <c r="X187" s="103" t="str">
        <f t="shared" si="47"/>
        <v/>
      </c>
      <c r="Y187" s="53">
        <v>0</v>
      </c>
      <c r="Z187" s="56" t="str">
        <f t="shared" si="48"/>
        <v/>
      </c>
      <c r="AA187" s="56" t="str">
        <f t="shared" si="49"/>
        <v/>
      </c>
      <c r="AB187" s="56" t="str">
        <f t="shared" si="50"/>
        <v/>
      </c>
      <c r="AC187" s="56" t="str">
        <f t="shared" si="51"/>
        <v/>
      </c>
      <c r="AD187" s="56" t="str">
        <f t="shared" si="52"/>
        <v/>
      </c>
      <c r="AE187" s="40"/>
      <c r="AF187" s="40"/>
      <c r="AG187" s="40"/>
      <c r="AH187" s="56" t="str">
        <f t="shared" si="53"/>
        <v/>
      </c>
      <c r="AI187" s="54"/>
      <c r="AJ187" s="54"/>
      <c r="AK187" s="54"/>
      <c r="AL187" s="54"/>
      <c r="AM187" s="54"/>
    </row>
    <row r="188" spans="1:39">
      <c r="A188" s="45" t="str" cm="1">
        <f t="array" ref="A188">IF(H188="PROJECT", CHAR(10) &amp; "- " &amp; _xlfn.TEXTJOIN(CHAR(10) &amp; "- ", TRUE, _xlfn._xlws.FILTER($I$9:$I$1000, ($B$9:$B$1000=B188) * ($H$9:$H$1000="Topic"))), "")</f>
        <v/>
      </c>
      <c r="B188" s="45" t="str">
        <f t="shared" si="37"/>
        <v/>
      </c>
      <c r="C188" s="95"/>
      <c r="D188" s="57"/>
      <c r="E188" s="58"/>
      <c r="F188" s="54"/>
      <c r="G188" s="52"/>
      <c r="H188" s="52"/>
      <c r="I188" s="61"/>
      <c r="J188" s="62"/>
      <c r="K188" s="129" t="str">
        <f t="shared" si="38"/>
        <v/>
      </c>
      <c r="L188" s="103" t="str">
        <f t="shared" si="39"/>
        <v/>
      </c>
      <c r="M188" s="52">
        <v>0</v>
      </c>
      <c r="N188" s="102" t="str">
        <f t="shared" si="40"/>
        <v/>
      </c>
      <c r="O188" s="103" t="str">
        <f t="shared" si="41"/>
        <v/>
      </c>
      <c r="P188" s="52">
        <v>0</v>
      </c>
      <c r="Q188" s="102" t="str">
        <f t="shared" si="42"/>
        <v/>
      </c>
      <c r="R188" s="103" t="str">
        <f t="shared" si="43"/>
        <v/>
      </c>
      <c r="S188" s="52">
        <v>0</v>
      </c>
      <c r="T188" s="102" t="str">
        <f t="shared" si="44"/>
        <v/>
      </c>
      <c r="U188" s="103" t="str">
        <f t="shared" si="45"/>
        <v/>
      </c>
      <c r="V188" s="52">
        <v>0</v>
      </c>
      <c r="W188" s="87" t="str">
        <f t="shared" si="46"/>
        <v/>
      </c>
      <c r="X188" s="103" t="str">
        <f t="shared" si="47"/>
        <v/>
      </c>
      <c r="Y188" s="52">
        <v>0</v>
      </c>
      <c r="Z188" s="56" t="str">
        <f t="shared" si="48"/>
        <v/>
      </c>
      <c r="AA188" s="56" t="str">
        <f t="shared" si="49"/>
        <v/>
      </c>
      <c r="AB188" s="56" t="str">
        <f t="shared" si="50"/>
        <v/>
      </c>
      <c r="AC188" s="56" t="str">
        <f t="shared" si="51"/>
        <v/>
      </c>
      <c r="AD188" s="56" t="str">
        <f t="shared" si="52"/>
        <v/>
      </c>
      <c r="AE188" s="40"/>
      <c r="AF188" s="40"/>
      <c r="AG188" s="40"/>
      <c r="AH188" s="56" t="str">
        <f t="shared" si="53"/>
        <v/>
      </c>
      <c r="AI188" s="54"/>
      <c r="AJ188" s="54"/>
      <c r="AK188" s="54"/>
      <c r="AL188" s="54"/>
      <c r="AM188" s="54"/>
    </row>
    <row r="189" spans="1:39">
      <c r="A189" s="45" t="str" cm="1">
        <f t="array" ref="A189">IF(H189="PROJECT", CHAR(10) &amp; "- " &amp; _xlfn.TEXTJOIN(CHAR(10) &amp; "- ", TRUE, _xlfn._xlws.FILTER($I$9:$I$1000, ($B$9:$B$1000=B189) * ($H$9:$H$1000="Topic"))), "")</f>
        <v/>
      </c>
      <c r="B189" s="45" t="str">
        <f t="shared" si="37"/>
        <v/>
      </c>
      <c r="C189" s="95"/>
      <c r="D189" s="46"/>
      <c r="E189" s="58"/>
      <c r="F189" s="67"/>
      <c r="G189" s="53"/>
      <c r="H189" s="53"/>
      <c r="I189" s="50"/>
      <c r="J189" s="51"/>
      <c r="K189" s="129" t="str">
        <f t="shared" si="38"/>
        <v/>
      </c>
      <c r="L189" s="103" t="str">
        <f t="shared" si="39"/>
        <v/>
      </c>
      <c r="M189" s="53">
        <v>0</v>
      </c>
      <c r="N189" s="102" t="str">
        <f t="shared" si="40"/>
        <v/>
      </c>
      <c r="O189" s="103" t="str">
        <f t="shared" si="41"/>
        <v/>
      </c>
      <c r="P189" s="53">
        <v>0</v>
      </c>
      <c r="Q189" s="102" t="str">
        <f t="shared" si="42"/>
        <v/>
      </c>
      <c r="R189" s="103" t="str">
        <f t="shared" si="43"/>
        <v/>
      </c>
      <c r="S189" s="53">
        <v>0</v>
      </c>
      <c r="T189" s="102" t="str">
        <f t="shared" si="44"/>
        <v/>
      </c>
      <c r="U189" s="103" t="str">
        <f t="shared" si="45"/>
        <v/>
      </c>
      <c r="V189" s="53">
        <v>0</v>
      </c>
      <c r="W189" s="87" t="str">
        <f t="shared" si="46"/>
        <v/>
      </c>
      <c r="X189" s="103" t="str">
        <f t="shared" si="47"/>
        <v/>
      </c>
      <c r="Y189" s="53">
        <v>0</v>
      </c>
      <c r="Z189" s="56" t="str">
        <f t="shared" si="48"/>
        <v/>
      </c>
      <c r="AA189" s="56" t="str">
        <f t="shared" si="49"/>
        <v/>
      </c>
      <c r="AB189" s="56" t="str">
        <f t="shared" si="50"/>
        <v/>
      </c>
      <c r="AC189" s="56" t="str">
        <f t="shared" si="51"/>
        <v/>
      </c>
      <c r="AD189" s="56" t="str">
        <f t="shared" si="52"/>
        <v/>
      </c>
      <c r="AE189" s="40"/>
      <c r="AF189" s="40"/>
      <c r="AG189" s="40"/>
      <c r="AH189" s="56" t="str">
        <f t="shared" si="53"/>
        <v/>
      </c>
      <c r="AI189" s="54"/>
      <c r="AJ189" s="54"/>
      <c r="AK189" s="54"/>
      <c r="AL189" s="54"/>
      <c r="AM189" s="54"/>
    </row>
    <row r="190" spans="1:39">
      <c r="A190" s="45" t="str" cm="1">
        <f t="array" ref="A190">IF(H190="PROJECT", CHAR(10) &amp; "- " &amp; _xlfn.TEXTJOIN(CHAR(10) &amp; "- ", TRUE, _xlfn._xlws.FILTER($I$9:$I$1000, ($B$9:$B$1000=B190) * ($H$9:$H$1000="Topic"))), "")</f>
        <v/>
      </c>
      <c r="B190" s="45" t="str">
        <f t="shared" si="37"/>
        <v/>
      </c>
      <c r="C190" s="95"/>
      <c r="D190" s="57"/>
      <c r="E190" s="58"/>
      <c r="F190" s="54"/>
      <c r="G190" s="52"/>
      <c r="H190" s="52"/>
      <c r="I190" s="61"/>
      <c r="J190" s="62"/>
      <c r="K190" s="129" t="str">
        <f t="shared" si="38"/>
        <v/>
      </c>
      <c r="L190" s="103" t="str">
        <f t="shared" si="39"/>
        <v/>
      </c>
      <c r="M190" s="52">
        <v>0</v>
      </c>
      <c r="N190" s="102" t="str">
        <f t="shared" si="40"/>
        <v/>
      </c>
      <c r="O190" s="103" t="str">
        <f t="shared" si="41"/>
        <v/>
      </c>
      <c r="P190" s="52">
        <v>0</v>
      </c>
      <c r="Q190" s="102" t="str">
        <f t="shared" si="42"/>
        <v/>
      </c>
      <c r="R190" s="103" t="str">
        <f t="shared" si="43"/>
        <v/>
      </c>
      <c r="S190" s="52">
        <v>0</v>
      </c>
      <c r="T190" s="102" t="str">
        <f t="shared" si="44"/>
        <v/>
      </c>
      <c r="U190" s="103" t="str">
        <f t="shared" si="45"/>
        <v/>
      </c>
      <c r="V190" s="52">
        <v>0</v>
      </c>
      <c r="W190" s="87" t="str">
        <f t="shared" si="46"/>
        <v/>
      </c>
      <c r="X190" s="103" t="str">
        <f t="shared" si="47"/>
        <v/>
      </c>
      <c r="Y190" s="52">
        <v>0</v>
      </c>
      <c r="Z190" s="56" t="str">
        <f t="shared" si="48"/>
        <v/>
      </c>
      <c r="AA190" s="56" t="str">
        <f t="shared" si="49"/>
        <v/>
      </c>
      <c r="AB190" s="56" t="str">
        <f t="shared" si="50"/>
        <v/>
      </c>
      <c r="AC190" s="56" t="str">
        <f t="shared" si="51"/>
        <v/>
      </c>
      <c r="AD190" s="56" t="str">
        <f t="shared" si="52"/>
        <v/>
      </c>
      <c r="AE190" s="40"/>
      <c r="AF190" s="40"/>
      <c r="AG190" s="40"/>
      <c r="AH190" s="56" t="str">
        <f t="shared" si="53"/>
        <v/>
      </c>
      <c r="AI190" s="54"/>
      <c r="AJ190" s="54"/>
      <c r="AK190" s="54"/>
      <c r="AL190" s="54"/>
      <c r="AM190" s="54"/>
    </row>
    <row r="191" spans="1:39">
      <c r="A191" s="45" t="str" cm="1">
        <f t="array" ref="A191">IF(H191="PROJECT", CHAR(10) &amp; "- " &amp; _xlfn.TEXTJOIN(CHAR(10) &amp; "- ", TRUE, _xlfn._xlws.FILTER($I$9:$I$1000, ($B$9:$B$1000=B191) * ($H$9:$H$1000="Topic"))), "")</f>
        <v/>
      </c>
      <c r="B191" s="45" t="str">
        <f t="shared" si="37"/>
        <v/>
      </c>
      <c r="C191" s="95"/>
      <c r="D191" s="46"/>
      <c r="E191" s="58"/>
      <c r="F191" s="67"/>
      <c r="G191" s="53"/>
      <c r="H191" s="53"/>
      <c r="I191" s="50"/>
      <c r="J191" s="51"/>
      <c r="K191" s="129" t="str">
        <f t="shared" si="38"/>
        <v/>
      </c>
      <c r="L191" s="103" t="str">
        <f t="shared" si="39"/>
        <v/>
      </c>
      <c r="M191" s="53">
        <v>0</v>
      </c>
      <c r="N191" s="102" t="str">
        <f t="shared" si="40"/>
        <v/>
      </c>
      <c r="O191" s="103" t="str">
        <f t="shared" si="41"/>
        <v/>
      </c>
      <c r="P191" s="53">
        <v>0</v>
      </c>
      <c r="Q191" s="102" t="str">
        <f t="shared" si="42"/>
        <v/>
      </c>
      <c r="R191" s="103" t="str">
        <f t="shared" si="43"/>
        <v/>
      </c>
      <c r="S191" s="53">
        <v>0</v>
      </c>
      <c r="T191" s="102" t="str">
        <f t="shared" si="44"/>
        <v/>
      </c>
      <c r="U191" s="103" t="str">
        <f t="shared" si="45"/>
        <v/>
      </c>
      <c r="V191" s="53">
        <v>0</v>
      </c>
      <c r="W191" s="87" t="str">
        <f t="shared" si="46"/>
        <v/>
      </c>
      <c r="X191" s="103" t="str">
        <f t="shared" si="47"/>
        <v/>
      </c>
      <c r="Y191" s="53">
        <v>0</v>
      </c>
      <c r="Z191" s="56" t="str">
        <f t="shared" si="48"/>
        <v/>
      </c>
      <c r="AA191" s="56" t="str">
        <f t="shared" si="49"/>
        <v/>
      </c>
      <c r="AB191" s="56" t="str">
        <f t="shared" si="50"/>
        <v/>
      </c>
      <c r="AC191" s="56" t="str">
        <f t="shared" si="51"/>
        <v/>
      </c>
      <c r="AD191" s="56" t="str">
        <f t="shared" si="52"/>
        <v/>
      </c>
      <c r="AE191" s="40"/>
      <c r="AF191" s="40"/>
      <c r="AG191" s="40"/>
      <c r="AH191" s="56" t="str">
        <f t="shared" si="53"/>
        <v/>
      </c>
      <c r="AI191" s="54"/>
      <c r="AJ191" s="54"/>
      <c r="AK191" s="54"/>
      <c r="AL191" s="54"/>
      <c r="AM191" s="54"/>
    </row>
    <row r="192" spans="1:39">
      <c r="A192" s="45" t="str" cm="1">
        <f t="array" ref="A192">IF(H192="PROJECT", CHAR(10) &amp; "- " &amp; _xlfn.TEXTJOIN(CHAR(10) &amp; "- ", TRUE, _xlfn._xlws.FILTER($I$9:$I$1000, ($B$9:$B$1000=B192) * ($H$9:$H$1000="Topic"))), "")</f>
        <v/>
      </c>
      <c r="B192" s="45" t="str">
        <f t="shared" si="37"/>
        <v/>
      </c>
      <c r="C192" s="95"/>
      <c r="D192" s="57"/>
      <c r="E192" s="58"/>
      <c r="F192" s="54"/>
      <c r="G192" s="52"/>
      <c r="H192" s="52"/>
      <c r="I192" s="61"/>
      <c r="J192" s="62"/>
      <c r="K192" s="129" t="str">
        <f t="shared" si="38"/>
        <v/>
      </c>
      <c r="L192" s="103" t="str">
        <f t="shared" si="39"/>
        <v/>
      </c>
      <c r="M192" s="52">
        <v>0</v>
      </c>
      <c r="N192" s="102" t="str">
        <f t="shared" si="40"/>
        <v/>
      </c>
      <c r="O192" s="103" t="str">
        <f t="shared" si="41"/>
        <v/>
      </c>
      <c r="P192" s="52">
        <v>0</v>
      </c>
      <c r="Q192" s="102" t="str">
        <f t="shared" si="42"/>
        <v/>
      </c>
      <c r="R192" s="103" t="str">
        <f t="shared" si="43"/>
        <v/>
      </c>
      <c r="S192" s="52">
        <v>0</v>
      </c>
      <c r="T192" s="102" t="str">
        <f t="shared" si="44"/>
        <v/>
      </c>
      <c r="U192" s="103" t="str">
        <f t="shared" si="45"/>
        <v/>
      </c>
      <c r="V192" s="52">
        <v>0</v>
      </c>
      <c r="W192" s="87" t="str">
        <f t="shared" si="46"/>
        <v/>
      </c>
      <c r="X192" s="103" t="str">
        <f t="shared" si="47"/>
        <v/>
      </c>
      <c r="Y192" s="52">
        <v>0</v>
      </c>
      <c r="Z192" s="56" t="str">
        <f t="shared" si="48"/>
        <v/>
      </c>
      <c r="AA192" s="56" t="str">
        <f t="shared" si="49"/>
        <v/>
      </c>
      <c r="AB192" s="56" t="str">
        <f t="shared" si="50"/>
        <v/>
      </c>
      <c r="AC192" s="56" t="str">
        <f t="shared" si="51"/>
        <v/>
      </c>
      <c r="AD192" s="56" t="str">
        <f t="shared" si="52"/>
        <v/>
      </c>
      <c r="AE192" s="40"/>
      <c r="AF192" s="40"/>
      <c r="AG192" s="40"/>
      <c r="AH192" s="56" t="str">
        <f t="shared" si="53"/>
        <v/>
      </c>
      <c r="AI192" s="54"/>
      <c r="AJ192" s="54"/>
      <c r="AK192" s="54"/>
      <c r="AL192" s="54"/>
      <c r="AM192" s="54"/>
    </row>
    <row r="193" spans="1:39">
      <c r="A193" s="45" t="str" cm="1">
        <f t="array" ref="A193">IF(H193="PROJECT", CHAR(10) &amp; "- " &amp; _xlfn.TEXTJOIN(CHAR(10) &amp; "- ", TRUE, _xlfn._xlws.FILTER($I$9:$I$1000, ($B$9:$B$1000=B193) * ($H$9:$H$1000="Topic"))), "")</f>
        <v/>
      </c>
      <c r="B193" s="45" t="str">
        <f t="shared" si="37"/>
        <v/>
      </c>
      <c r="C193" s="95"/>
      <c r="D193" s="46"/>
      <c r="E193" s="58"/>
      <c r="F193" s="67"/>
      <c r="G193" s="53"/>
      <c r="H193" s="53"/>
      <c r="I193" s="50"/>
      <c r="J193" s="51"/>
      <c r="K193" s="129" t="str">
        <f t="shared" si="38"/>
        <v/>
      </c>
      <c r="L193" s="103" t="str">
        <f t="shared" si="39"/>
        <v/>
      </c>
      <c r="M193" s="53">
        <v>0</v>
      </c>
      <c r="N193" s="102" t="str">
        <f t="shared" si="40"/>
        <v/>
      </c>
      <c r="O193" s="103" t="str">
        <f t="shared" si="41"/>
        <v/>
      </c>
      <c r="P193" s="53">
        <v>0</v>
      </c>
      <c r="Q193" s="102" t="str">
        <f t="shared" si="42"/>
        <v/>
      </c>
      <c r="R193" s="103" t="str">
        <f t="shared" si="43"/>
        <v/>
      </c>
      <c r="S193" s="53">
        <v>0</v>
      </c>
      <c r="T193" s="102" t="str">
        <f t="shared" si="44"/>
        <v/>
      </c>
      <c r="U193" s="103" t="str">
        <f t="shared" si="45"/>
        <v/>
      </c>
      <c r="V193" s="53">
        <v>0</v>
      </c>
      <c r="W193" s="87" t="str">
        <f t="shared" si="46"/>
        <v/>
      </c>
      <c r="X193" s="103" t="str">
        <f t="shared" si="47"/>
        <v/>
      </c>
      <c r="Y193" s="53">
        <v>0</v>
      </c>
      <c r="Z193" s="56" t="str">
        <f t="shared" si="48"/>
        <v/>
      </c>
      <c r="AA193" s="56" t="str">
        <f t="shared" si="49"/>
        <v/>
      </c>
      <c r="AB193" s="56" t="str">
        <f t="shared" si="50"/>
        <v/>
      </c>
      <c r="AC193" s="56" t="str">
        <f t="shared" si="51"/>
        <v/>
      </c>
      <c r="AD193" s="56" t="str">
        <f t="shared" si="52"/>
        <v/>
      </c>
      <c r="AE193" s="40"/>
      <c r="AF193" s="40"/>
      <c r="AG193" s="40"/>
      <c r="AH193" s="56" t="str">
        <f t="shared" si="53"/>
        <v/>
      </c>
      <c r="AI193" s="54"/>
      <c r="AJ193" s="54"/>
      <c r="AK193" s="54"/>
      <c r="AL193" s="54"/>
      <c r="AM193" s="54"/>
    </row>
    <row r="194" spans="1:39">
      <c r="A194" s="45" t="str" cm="1">
        <f t="array" ref="A194">IF(H194="PROJECT", CHAR(10) &amp; "- " &amp; _xlfn.TEXTJOIN(CHAR(10) &amp; "- ", TRUE, _xlfn._xlws.FILTER($I$9:$I$1000, ($B$9:$B$1000=B194) * ($H$9:$H$1000="Topic"))), "")</f>
        <v/>
      </c>
      <c r="B194" s="45" t="str">
        <f t="shared" si="37"/>
        <v/>
      </c>
      <c r="C194" s="95"/>
      <c r="D194" s="57"/>
      <c r="E194" s="58"/>
      <c r="F194" s="54"/>
      <c r="G194" s="52"/>
      <c r="H194" s="52"/>
      <c r="I194" s="61"/>
      <c r="J194" s="62"/>
      <c r="K194" s="129" t="str">
        <f t="shared" si="38"/>
        <v/>
      </c>
      <c r="L194" s="103" t="str">
        <f t="shared" si="39"/>
        <v/>
      </c>
      <c r="M194" s="52">
        <v>0</v>
      </c>
      <c r="N194" s="102" t="str">
        <f t="shared" si="40"/>
        <v/>
      </c>
      <c r="O194" s="103" t="str">
        <f t="shared" si="41"/>
        <v/>
      </c>
      <c r="P194" s="52">
        <v>0</v>
      </c>
      <c r="Q194" s="102" t="str">
        <f t="shared" si="42"/>
        <v/>
      </c>
      <c r="R194" s="103" t="str">
        <f t="shared" si="43"/>
        <v/>
      </c>
      <c r="S194" s="52">
        <v>0</v>
      </c>
      <c r="T194" s="102" t="str">
        <f t="shared" si="44"/>
        <v/>
      </c>
      <c r="U194" s="103" t="str">
        <f t="shared" si="45"/>
        <v/>
      </c>
      <c r="V194" s="52">
        <v>0</v>
      </c>
      <c r="W194" s="87" t="str">
        <f t="shared" si="46"/>
        <v/>
      </c>
      <c r="X194" s="103" t="str">
        <f t="shared" si="47"/>
        <v/>
      </c>
      <c r="Y194" s="52">
        <v>0</v>
      </c>
      <c r="Z194" s="56" t="str">
        <f t="shared" si="48"/>
        <v/>
      </c>
      <c r="AA194" s="56" t="str">
        <f t="shared" si="49"/>
        <v/>
      </c>
      <c r="AB194" s="56" t="str">
        <f t="shared" si="50"/>
        <v/>
      </c>
      <c r="AC194" s="56" t="str">
        <f t="shared" si="51"/>
        <v/>
      </c>
      <c r="AD194" s="56" t="str">
        <f t="shared" si="52"/>
        <v/>
      </c>
      <c r="AE194" s="40"/>
      <c r="AF194" s="40"/>
      <c r="AG194" s="40"/>
      <c r="AH194" s="56" t="str">
        <f t="shared" si="53"/>
        <v/>
      </c>
      <c r="AI194" s="54"/>
      <c r="AJ194" s="54"/>
      <c r="AK194" s="54"/>
      <c r="AL194" s="54"/>
      <c r="AM194" s="54"/>
    </row>
    <row r="195" spans="1:39">
      <c r="A195" s="45" t="str" cm="1">
        <f t="array" ref="A195">IF(H195="PROJECT", CHAR(10) &amp; "- " &amp; _xlfn.TEXTJOIN(CHAR(10) &amp; "- ", TRUE, _xlfn._xlws.FILTER($I$9:$I$1000, ($B$9:$B$1000=B195) * ($H$9:$H$1000="Topic"))), "")</f>
        <v/>
      </c>
      <c r="B195" s="45" t="str">
        <f t="shared" si="37"/>
        <v/>
      </c>
      <c r="C195" s="95"/>
      <c r="D195" s="46"/>
      <c r="E195" s="58"/>
      <c r="F195" s="67"/>
      <c r="G195" s="53"/>
      <c r="H195" s="53"/>
      <c r="I195" s="50"/>
      <c r="J195" s="51"/>
      <c r="K195" s="129" t="str">
        <f t="shared" si="38"/>
        <v/>
      </c>
      <c r="L195" s="103" t="str">
        <f t="shared" si="39"/>
        <v/>
      </c>
      <c r="M195" s="53">
        <v>0</v>
      </c>
      <c r="N195" s="102" t="str">
        <f t="shared" si="40"/>
        <v/>
      </c>
      <c r="O195" s="103" t="str">
        <f t="shared" si="41"/>
        <v/>
      </c>
      <c r="P195" s="53">
        <v>0</v>
      </c>
      <c r="Q195" s="102" t="str">
        <f t="shared" si="42"/>
        <v/>
      </c>
      <c r="R195" s="103" t="str">
        <f t="shared" si="43"/>
        <v/>
      </c>
      <c r="S195" s="53">
        <v>0</v>
      </c>
      <c r="T195" s="102" t="str">
        <f t="shared" si="44"/>
        <v/>
      </c>
      <c r="U195" s="103" t="str">
        <f t="shared" si="45"/>
        <v/>
      </c>
      <c r="V195" s="53">
        <v>0</v>
      </c>
      <c r="W195" s="87" t="str">
        <f t="shared" si="46"/>
        <v/>
      </c>
      <c r="X195" s="103" t="str">
        <f t="shared" si="47"/>
        <v/>
      </c>
      <c r="Y195" s="53">
        <v>0</v>
      </c>
      <c r="Z195" s="56" t="str">
        <f t="shared" si="48"/>
        <v/>
      </c>
      <c r="AA195" s="56" t="str">
        <f t="shared" si="49"/>
        <v/>
      </c>
      <c r="AB195" s="56" t="str">
        <f t="shared" si="50"/>
        <v/>
      </c>
      <c r="AC195" s="56" t="str">
        <f t="shared" si="51"/>
        <v/>
      </c>
      <c r="AD195" s="56" t="str">
        <f t="shared" si="52"/>
        <v/>
      </c>
      <c r="AE195" s="40"/>
      <c r="AF195" s="40"/>
      <c r="AG195" s="40"/>
      <c r="AH195" s="56" t="str">
        <f t="shared" si="53"/>
        <v/>
      </c>
      <c r="AI195" s="54"/>
      <c r="AJ195" s="54"/>
      <c r="AK195" s="54"/>
      <c r="AL195" s="54"/>
      <c r="AM195" s="54"/>
    </row>
    <row r="196" spans="1:39">
      <c r="A196" s="45" t="str" cm="1">
        <f t="array" ref="A196">IF(H196="PROJECT", CHAR(10) &amp; "- " &amp; _xlfn.TEXTJOIN(CHAR(10) &amp; "- ", TRUE, _xlfn._xlws.FILTER($I$9:$I$1000, ($B$9:$B$1000=B196) * ($H$9:$H$1000="Topic"))), "")</f>
        <v/>
      </c>
      <c r="B196" s="45" t="str">
        <f t="shared" si="37"/>
        <v/>
      </c>
      <c r="C196" s="95"/>
      <c r="D196" s="57"/>
      <c r="E196" s="58"/>
      <c r="F196" s="54"/>
      <c r="G196" s="52"/>
      <c r="H196" s="52"/>
      <c r="I196" s="61"/>
      <c r="J196" s="62"/>
      <c r="K196" s="129" t="str">
        <f t="shared" si="38"/>
        <v/>
      </c>
      <c r="L196" s="103" t="str">
        <f t="shared" si="39"/>
        <v/>
      </c>
      <c r="M196" s="52">
        <v>0</v>
      </c>
      <c r="N196" s="102" t="str">
        <f t="shared" si="40"/>
        <v/>
      </c>
      <c r="O196" s="103" t="str">
        <f t="shared" si="41"/>
        <v/>
      </c>
      <c r="P196" s="52">
        <v>0</v>
      </c>
      <c r="Q196" s="102" t="str">
        <f t="shared" si="42"/>
        <v/>
      </c>
      <c r="R196" s="103" t="str">
        <f t="shared" si="43"/>
        <v/>
      </c>
      <c r="S196" s="52">
        <v>0</v>
      </c>
      <c r="T196" s="102" t="str">
        <f t="shared" si="44"/>
        <v/>
      </c>
      <c r="U196" s="103" t="str">
        <f t="shared" si="45"/>
        <v/>
      </c>
      <c r="V196" s="52">
        <v>0</v>
      </c>
      <c r="W196" s="87" t="str">
        <f t="shared" si="46"/>
        <v/>
      </c>
      <c r="X196" s="103" t="str">
        <f t="shared" si="47"/>
        <v/>
      </c>
      <c r="Y196" s="52">
        <v>0</v>
      </c>
      <c r="Z196" s="56" t="str">
        <f t="shared" si="48"/>
        <v/>
      </c>
      <c r="AA196" s="56" t="str">
        <f t="shared" si="49"/>
        <v/>
      </c>
      <c r="AB196" s="56" t="str">
        <f t="shared" si="50"/>
        <v/>
      </c>
      <c r="AC196" s="56" t="str">
        <f t="shared" si="51"/>
        <v/>
      </c>
      <c r="AD196" s="56" t="str">
        <f t="shared" si="52"/>
        <v/>
      </c>
      <c r="AE196" s="40"/>
      <c r="AF196" s="40"/>
      <c r="AG196" s="40"/>
      <c r="AH196" s="56" t="str">
        <f t="shared" si="53"/>
        <v/>
      </c>
      <c r="AI196" s="54"/>
      <c r="AJ196" s="54"/>
      <c r="AK196" s="54"/>
      <c r="AL196" s="54"/>
      <c r="AM196" s="54"/>
    </row>
    <row r="197" spans="1:39">
      <c r="A197" s="45" t="str" cm="1">
        <f t="array" ref="A197">IF(H197="PROJECT", CHAR(10) &amp; "- " &amp; _xlfn.TEXTJOIN(CHAR(10) &amp; "- ", TRUE, _xlfn._xlws.FILTER($I$9:$I$1000, ($B$9:$B$1000=B197) * ($H$9:$H$1000="Topic"))), "")</f>
        <v/>
      </c>
      <c r="B197" s="45" t="str">
        <f t="shared" si="37"/>
        <v/>
      </c>
      <c r="C197" s="95"/>
      <c r="D197" s="46"/>
      <c r="E197" s="58"/>
      <c r="F197" s="67"/>
      <c r="G197" s="53"/>
      <c r="H197" s="53"/>
      <c r="I197" s="50"/>
      <c r="J197" s="51"/>
      <c r="K197" s="129" t="str">
        <f t="shared" si="38"/>
        <v/>
      </c>
      <c r="L197" s="103" t="str">
        <f t="shared" si="39"/>
        <v/>
      </c>
      <c r="M197" s="53">
        <v>0</v>
      </c>
      <c r="N197" s="102" t="str">
        <f t="shared" si="40"/>
        <v/>
      </c>
      <c r="O197" s="103" t="str">
        <f t="shared" si="41"/>
        <v/>
      </c>
      <c r="P197" s="53">
        <v>0</v>
      </c>
      <c r="Q197" s="102" t="str">
        <f t="shared" si="42"/>
        <v/>
      </c>
      <c r="R197" s="103" t="str">
        <f t="shared" si="43"/>
        <v/>
      </c>
      <c r="S197" s="53">
        <v>0</v>
      </c>
      <c r="T197" s="102" t="str">
        <f t="shared" si="44"/>
        <v/>
      </c>
      <c r="U197" s="103" t="str">
        <f t="shared" si="45"/>
        <v/>
      </c>
      <c r="V197" s="53">
        <v>0</v>
      </c>
      <c r="W197" s="87" t="str">
        <f t="shared" si="46"/>
        <v/>
      </c>
      <c r="X197" s="103" t="str">
        <f t="shared" si="47"/>
        <v/>
      </c>
      <c r="Y197" s="53">
        <v>0</v>
      </c>
      <c r="Z197" s="56" t="str">
        <f t="shared" si="48"/>
        <v/>
      </c>
      <c r="AA197" s="56" t="str">
        <f t="shared" si="49"/>
        <v/>
      </c>
      <c r="AB197" s="56" t="str">
        <f t="shared" si="50"/>
        <v/>
      </c>
      <c r="AC197" s="56" t="str">
        <f t="shared" si="51"/>
        <v/>
      </c>
      <c r="AD197" s="56" t="str">
        <f t="shared" si="52"/>
        <v/>
      </c>
      <c r="AE197" s="40"/>
      <c r="AF197" s="40"/>
      <c r="AG197" s="40"/>
      <c r="AH197" s="56" t="str">
        <f t="shared" si="53"/>
        <v/>
      </c>
      <c r="AI197" s="54"/>
      <c r="AJ197" s="54"/>
      <c r="AK197" s="54"/>
      <c r="AL197" s="54"/>
      <c r="AM197" s="54"/>
    </row>
    <row r="198" spans="1:39">
      <c r="A198" s="45" t="str" cm="1">
        <f t="array" ref="A198">IF(H198="PROJECT", CHAR(10) &amp; "- " &amp; _xlfn.TEXTJOIN(CHAR(10) &amp; "- ", TRUE, _xlfn._xlws.FILTER($I$9:$I$1000, ($B$9:$B$1000=B198) * ($H$9:$H$1000="Topic"))), "")</f>
        <v/>
      </c>
      <c r="B198" s="45" t="str">
        <f t="shared" si="37"/>
        <v/>
      </c>
      <c r="C198" s="95"/>
      <c r="D198" s="57"/>
      <c r="E198" s="58"/>
      <c r="F198" s="54"/>
      <c r="G198" s="52"/>
      <c r="H198" s="52"/>
      <c r="I198" s="61"/>
      <c r="J198" s="62"/>
      <c r="K198" s="129" t="str">
        <f t="shared" si="38"/>
        <v/>
      </c>
      <c r="L198" s="103" t="str">
        <f t="shared" si="39"/>
        <v/>
      </c>
      <c r="M198" s="52">
        <v>0</v>
      </c>
      <c r="N198" s="102" t="str">
        <f t="shared" si="40"/>
        <v/>
      </c>
      <c r="O198" s="103" t="str">
        <f t="shared" si="41"/>
        <v/>
      </c>
      <c r="P198" s="52">
        <v>0</v>
      </c>
      <c r="Q198" s="102" t="str">
        <f t="shared" si="42"/>
        <v/>
      </c>
      <c r="R198" s="103" t="str">
        <f t="shared" si="43"/>
        <v/>
      </c>
      <c r="S198" s="52">
        <v>0</v>
      </c>
      <c r="T198" s="102" t="str">
        <f t="shared" si="44"/>
        <v/>
      </c>
      <c r="U198" s="103" t="str">
        <f t="shared" si="45"/>
        <v/>
      </c>
      <c r="V198" s="52">
        <v>0</v>
      </c>
      <c r="W198" s="87" t="str">
        <f t="shared" si="46"/>
        <v/>
      </c>
      <c r="X198" s="103" t="str">
        <f t="shared" si="47"/>
        <v/>
      </c>
      <c r="Y198" s="52">
        <v>0</v>
      </c>
      <c r="Z198" s="56" t="str">
        <f t="shared" si="48"/>
        <v/>
      </c>
      <c r="AA198" s="56" t="str">
        <f t="shared" si="49"/>
        <v/>
      </c>
      <c r="AB198" s="56" t="str">
        <f t="shared" si="50"/>
        <v/>
      </c>
      <c r="AC198" s="56" t="str">
        <f t="shared" si="51"/>
        <v/>
      </c>
      <c r="AD198" s="56" t="str">
        <f t="shared" si="52"/>
        <v/>
      </c>
      <c r="AE198" s="40"/>
      <c r="AF198" s="40"/>
      <c r="AG198" s="40"/>
      <c r="AH198" s="56" t="str">
        <f t="shared" si="53"/>
        <v/>
      </c>
      <c r="AI198" s="54"/>
      <c r="AJ198" s="54"/>
      <c r="AK198" s="54"/>
      <c r="AL198" s="54"/>
      <c r="AM198" s="54"/>
    </row>
    <row r="199" spans="1:39">
      <c r="A199" s="45" t="str" cm="1">
        <f t="array" ref="A199">IF(H199="PROJECT", CHAR(10) &amp; "- " &amp; _xlfn.TEXTJOIN(CHAR(10) &amp; "- ", TRUE, _xlfn._xlws.FILTER($I$9:$I$1000, ($B$9:$B$1000=B199) * ($H$9:$H$1000="Topic"))), "")</f>
        <v/>
      </c>
      <c r="B199" s="45" t="str">
        <f t="shared" si="37"/>
        <v/>
      </c>
      <c r="C199" s="95"/>
      <c r="D199" s="46"/>
      <c r="E199" s="58"/>
      <c r="F199" s="67"/>
      <c r="G199" s="53"/>
      <c r="H199" s="53"/>
      <c r="I199" s="50"/>
      <c r="J199" s="51"/>
      <c r="K199" s="129" t="str">
        <f t="shared" si="38"/>
        <v/>
      </c>
      <c r="L199" s="103" t="str">
        <f t="shared" si="39"/>
        <v/>
      </c>
      <c r="M199" s="53">
        <v>0</v>
      </c>
      <c r="N199" s="102" t="str">
        <f t="shared" si="40"/>
        <v/>
      </c>
      <c r="O199" s="103" t="str">
        <f t="shared" si="41"/>
        <v/>
      </c>
      <c r="P199" s="53">
        <v>0</v>
      </c>
      <c r="Q199" s="102" t="str">
        <f t="shared" si="42"/>
        <v/>
      </c>
      <c r="R199" s="103" t="str">
        <f t="shared" si="43"/>
        <v/>
      </c>
      <c r="S199" s="53">
        <v>0</v>
      </c>
      <c r="T199" s="102" t="str">
        <f t="shared" si="44"/>
        <v/>
      </c>
      <c r="U199" s="103" t="str">
        <f t="shared" si="45"/>
        <v/>
      </c>
      <c r="V199" s="53">
        <v>0</v>
      </c>
      <c r="W199" s="87" t="str">
        <f t="shared" si="46"/>
        <v/>
      </c>
      <c r="X199" s="103" t="str">
        <f t="shared" si="47"/>
        <v/>
      </c>
      <c r="Y199" s="53">
        <v>0</v>
      </c>
      <c r="Z199" s="56" t="str">
        <f t="shared" si="48"/>
        <v/>
      </c>
      <c r="AA199" s="56" t="str">
        <f t="shared" si="49"/>
        <v/>
      </c>
      <c r="AB199" s="56" t="str">
        <f t="shared" si="50"/>
        <v/>
      </c>
      <c r="AC199" s="56" t="str">
        <f t="shared" si="51"/>
        <v/>
      </c>
      <c r="AD199" s="56" t="str">
        <f t="shared" si="52"/>
        <v/>
      </c>
      <c r="AE199" s="40"/>
      <c r="AF199" s="40"/>
      <c r="AG199" s="40"/>
      <c r="AH199" s="56" t="str">
        <f t="shared" si="53"/>
        <v/>
      </c>
      <c r="AI199" s="54"/>
      <c r="AJ199" s="54"/>
      <c r="AK199" s="54"/>
      <c r="AL199" s="54"/>
      <c r="AM199" s="54"/>
    </row>
    <row r="200" spans="1:39">
      <c r="A200" s="45" t="str" cm="1">
        <f t="array" ref="A200">IF(H200="PROJECT", CHAR(10) &amp; "- " &amp; _xlfn.TEXTJOIN(CHAR(10) &amp; "- ", TRUE, _xlfn._xlws.FILTER($I$9:$I$1000, ($B$9:$B$1000=B200) * ($H$9:$H$1000="Topic"))), "")</f>
        <v/>
      </c>
      <c r="B200" s="45" t="str">
        <f t="shared" si="37"/>
        <v/>
      </c>
      <c r="C200" s="95"/>
      <c r="D200" s="68"/>
      <c r="E200" s="58"/>
      <c r="F200" s="54"/>
      <c r="G200" s="69"/>
      <c r="H200" s="69"/>
      <c r="I200" s="70"/>
      <c r="J200" s="71"/>
      <c r="K200" s="129" t="str">
        <f t="shared" si="38"/>
        <v/>
      </c>
      <c r="L200" s="103" t="str">
        <f t="shared" si="39"/>
        <v/>
      </c>
      <c r="M200" s="69">
        <v>0</v>
      </c>
      <c r="N200" s="102" t="str">
        <f t="shared" si="40"/>
        <v/>
      </c>
      <c r="O200" s="103" t="str">
        <f t="shared" si="41"/>
        <v/>
      </c>
      <c r="P200" s="69">
        <v>0</v>
      </c>
      <c r="Q200" s="102" t="str">
        <f t="shared" si="42"/>
        <v/>
      </c>
      <c r="R200" s="103" t="str">
        <f t="shared" si="43"/>
        <v/>
      </c>
      <c r="S200" s="69">
        <v>0</v>
      </c>
      <c r="T200" s="102" t="str">
        <f t="shared" si="44"/>
        <v/>
      </c>
      <c r="U200" s="103" t="str">
        <f t="shared" si="45"/>
        <v/>
      </c>
      <c r="V200" s="69">
        <v>0</v>
      </c>
      <c r="W200" s="87" t="str">
        <f t="shared" si="46"/>
        <v/>
      </c>
      <c r="X200" s="103" t="str">
        <f t="shared" si="47"/>
        <v/>
      </c>
      <c r="Y200" s="69">
        <v>0</v>
      </c>
      <c r="Z200" s="56" t="str">
        <f t="shared" si="48"/>
        <v/>
      </c>
      <c r="AA200" s="56" t="str">
        <f t="shared" si="49"/>
        <v/>
      </c>
      <c r="AB200" s="56" t="str">
        <f t="shared" si="50"/>
        <v/>
      </c>
      <c r="AC200" s="56" t="str">
        <f t="shared" si="51"/>
        <v/>
      </c>
      <c r="AD200" s="56" t="str">
        <f t="shared" si="52"/>
        <v/>
      </c>
      <c r="AE200" s="40"/>
      <c r="AF200" s="40"/>
      <c r="AG200" s="40"/>
      <c r="AH200" s="56" t="str">
        <f t="shared" si="53"/>
        <v/>
      </c>
      <c r="AI200" s="54"/>
      <c r="AJ200" s="54"/>
      <c r="AK200" s="54"/>
      <c r="AL200" s="54"/>
      <c r="AM200" s="54"/>
    </row>
    <row r="201" spans="1:39">
      <c r="D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row>
    <row r="202" spans="1:39">
      <c r="D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row>
    <row r="203" spans="1:39">
      <c r="D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row>
    <row r="204" spans="1:39">
      <c r="D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row>
    <row r="205" spans="1:39">
      <c r="D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row>
    <row r="206" spans="1:39">
      <c r="D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row>
    <row r="207" spans="1:39">
      <c r="D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row>
    <row r="208" spans="1:39">
      <c r="D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row>
    <row r="209" spans="4:33">
      <c r="D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row>
  </sheetData>
  <mergeCells count="6">
    <mergeCell ref="AK7:AM7"/>
    <mergeCell ref="K2:M2"/>
    <mergeCell ref="N2:P2"/>
    <mergeCell ref="Q2:S2"/>
    <mergeCell ref="T2:V2"/>
    <mergeCell ref="W2:Y2"/>
  </mergeCells>
  <conditionalFormatting sqref="D1:D2 D3:E4 D5:D6 D7:E1048576">
    <cfRule type="cellIs" dxfId="82" priority="17" operator="equal">
      <formula>"No"</formula>
    </cfRule>
  </conditionalFormatting>
  <conditionalFormatting sqref="D9:D200 I9:L200">
    <cfRule type="expression" dxfId="81" priority="18">
      <formula>$H9="PROJECT"</formula>
    </cfRule>
  </conditionalFormatting>
  <conditionalFormatting sqref="G9:G200">
    <cfRule type="cellIs" dxfId="80" priority="24" operator="equal">
      <formula>"Beginner"</formula>
    </cfRule>
    <cfRule type="cellIs" dxfId="79" priority="25" operator="equal">
      <formula>"Intermediate"</formula>
    </cfRule>
    <cfRule type="cellIs" dxfId="78" priority="26" operator="equal">
      <formula>"Advanced"</formula>
    </cfRule>
  </conditionalFormatting>
  <conditionalFormatting sqref="H9:H200">
    <cfRule type="cellIs" dxfId="77" priority="23" operator="equal">
      <formula>"PROJECT"</formula>
    </cfRule>
  </conditionalFormatting>
  <conditionalFormatting sqref="K9:L200">
    <cfRule type="expression" dxfId="76" priority="27">
      <formula>M9=1</formula>
    </cfRule>
    <cfRule type="expression" dxfId="75" priority="28">
      <formula>M9=-1</formula>
    </cfRule>
  </conditionalFormatting>
  <conditionalFormatting sqref="N9:O200">
    <cfRule type="expression" dxfId="74" priority="14">
      <formula>$H9="PROJECT"</formula>
    </cfRule>
    <cfRule type="expression" dxfId="73" priority="15">
      <formula>P9=1</formula>
    </cfRule>
    <cfRule type="expression" dxfId="72" priority="16">
      <formula>P9=-1</formula>
    </cfRule>
  </conditionalFormatting>
  <conditionalFormatting sqref="O41:O200">
    <cfRule type="expression" dxfId="71" priority="30">
      <formula>Q41=1</formula>
    </cfRule>
    <cfRule type="expression" dxfId="70" priority="31">
      <formula>Q41=-1</formula>
    </cfRule>
  </conditionalFormatting>
  <conditionalFormatting sqref="Q9:R200">
    <cfRule type="expression" dxfId="69" priority="11">
      <formula>$H9="PROJECT"</formula>
    </cfRule>
    <cfRule type="expression" dxfId="68" priority="12">
      <formula>S9=1</formula>
    </cfRule>
    <cfRule type="expression" dxfId="67" priority="13">
      <formula>S9=-1</formula>
    </cfRule>
  </conditionalFormatting>
  <conditionalFormatting sqref="T9:U200">
    <cfRule type="expression" dxfId="66" priority="6">
      <formula>$H9="PROJECT"</formula>
    </cfRule>
    <cfRule type="expression" dxfId="65" priority="7">
      <formula>V9=1</formula>
    </cfRule>
    <cfRule type="expression" dxfId="64" priority="8">
      <formula>V9=-1</formula>
    </cfRule>
  </conditionalFormatting>
  <conditionalFormatting sqref="U10:U200">
    <cfRule type="expression" dxfId="63" priority="9">
      <formula>W10=1</formula>
    </cfRule>
    <cfRule type="expression" dxfId="62" priority="10">
      <formula>W10=-1</formula>
    </cfRule>
  </conditionalFormatting>
  <conditionalFormatting sqref="W9:X200">
    <cfRule type="expression" dxfId="61" priority="1">
      <formula>$H9="PROJECT"</formula>
    </cfRule>
    <cfRule type="expression" dxfId="60" priority="2">
      <formula>Y9=1</formula>
    </cfRule>
    <cfRule type="expression" dxfId="59" priority="3">
      <formula>Y9=-1</formula>
    </cfRule>
  </conditionalFormatting>
  <conditionalFormatting sqref="X10:X200">
    <cfRule type="expression" dxfId="58" priority="4">
      <formula>Z10=1</formula>
    </cfRule>
    <cfRule type="expression" dxfId="57" priority="5">
      <formula>Z10=-1</formula>
    </cfRule>
  </conditionalFormatting>
  <pageMargins left="0.7" right="0.7" top="0.75" bottom="0.75" header="0.3" footer="0.3"/>
  <pageSetup orientation="portrait" horizontalDpi="4294967292" verticalDpi="0" r:id="rId1"/>
  <extLst>
    <ext xmlns:x14="http://schemas.microsoft.com/office/spreadsheetml/2009/9/main" uri="{78C0D931-6437-407d-A8EE-F0AAD7539E65}">
      <x14:conditionalFormattings>
        <x14:conditionalFormatting xmlns:xm="http://schemas.microsoft.com/office/excel/2006/main">
          <x14:cfRule type="iconSet" priority="29" id="{2FEE3AD7-75A2-4C8C-AD82-90792546F0BA}">
            <x14:iconSet iconSet="3Symbols" custom="1">
              <x14:cfvo type="percent">
                <xm:f>0</xm:f>
              </x14:cfvo>
              <x14:cfvo type="num">
                <xm:f>0</xm:f>
              </x14:cfvo>
              <x14:cfvo type="num">
                <xm:f>1</xm:f>
              </x14:cfvo>
              <x14:cfIcon iconSet="3Symbols" iconId="1"/>
              <x14:cfIcon iconSet="3Symbols" iconId="0"/>
              <x14:cfIcon iconSet="3Symbols" iconId="2"/>
            </x14:iconSet>
          </x14:cfRule>
          <xm:sqref>M9:M200</xm:sqref>
        </x14:conditionalFormatting>
        <x14:conditionalFormatting xmlns:xm="http://schemas.microsoft.com/office/excel/2006/main">
          <x14:cfRule type="iconSet" priority="22" id="{B7488BBE-D70E-4F1D-85BE-6C9D08F208F3}">
            <x14:iconSet iconSet="3Symbols" custom="1">
              <x14:cfvo type="percent">
                <xm:f>0</xm:f>
              </x14:cfvo>
              <x14:cfvo type="num">
                <xm:f>0</xm:f>
              </x14:cfvo>
              <x14:cfvo type="num">
                <xm:f>1</xm:f>
              </x14:cfvo>
              <x14:cfIcon iconSet="3Symbols" iconId="1"/>
              <x14:cfIcon iconSet="3Symbols" iconId="0"/>
              <x14:cfIcon iconSet="3Symbols" iconId="2"/>
            </x14:iconSet>
          </x14:cfRule>
          <xm:sqref>P9:P200</xm:sqref>
        </x14:conditionalFormatting>
        <x14:conditionalFormatting xmlns:xm="http://schemas.microsoft.com/office/excel/2006/main">
          <x14:cfRule type="iconSet" priority="21" id="{4BFCED17-17B1-4960-9B24-2860EF943BE1}">
            <x14:iconSet iconSet="3Symbols" custom="1">
              <x14:cfvo type="percent">
                <xm:f>0</xm:f>
              </x14:cfvo>
              <x14:cfvo type="num">
                <xm:f>0</xm:f>
              </x14:cfvo>
              <x14:cfvo type="num">
                <xm:f>1</xm:f>
              </x14:cfvo>
              <x14:cfIcon iconSet="3Symbols" iconId="1"/>
              <x14:cfIcon iconSet="3Symbols" iconId="0"/>
              <x14:cfIcon iconSet="3Symbols" iconId="2"/>
            </x14:iconSet>
          </x14:cfRule>
          <xm:sqref>S9:S200</xm:sqref>
        </x14:conditionalFormatting>
        <x14:conditionalFormatting xmlns:xm="http://schemas.microsoft.com/office/excel/2006/main">
          <x14:cfRule type="iconSet" priority="20" id="{315FC449-DBE3-44EA-8770-3733BE24B105}">
            <x14:iconSet iconSet="3Symbols" custom="1">
              <x14:cfvo type="percent">
                <xm:f>0</xm:f>
              </x14:cfvo>
              <x14:cfvo type="num">
                <xm:f>0</xm:f>
              </x14:cfvo>
              <x14:cfvo type="num">
                <xm:f>1</xm:f>
              </x14:cfvo>
              <x14:cfIcon iconSet="3Symbols" iconId="1"/>
              <x14:cfIcon iconSet="3Symbols" iconId="0"/>
              <x14:cfIcon iconSet="3Symbols" iconId="2"/>
            </x14:iconSet>
          </x14:cfRule>
          <xm:sqref>V9:V200</xm:sqref>
        </x14:conditionalFormatting>
        <x14:conditionalFormatting xmlns:xm="http://schemas.microsoft.com/office/excel/2006/main">
          <x14:cfRule type="iconSet" priority="19" id="{ACD46CE9-0FEE-4DE3-8069-ACD4BD26B0E3}">
            <x14:iconSet iconSet="3Symbols" custom="1">
              <x14:cfvo type="percent">
                <xm:f>0</xm:f>
              </x14:cfvo>
              <x14:cfvo type="num">
                <xm:f>0</xm:f>
              </x14:cfvo>
              <x14:cfvo type="num">
                <xm:f>1</xm:f>
              </x14:cfvo>
              <x14:cfIcon iconSet="3Symbols" iconId="1"/>
              <x14:cfIcon iconSet="3Symbols" iconId="0"/>
              <x14:cfIcon iconSet="3Symbols" iconId="2"/>
            </x14:iconSet>
          </x14:cfRule>
          <xm:sqref>Y9:Y200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531A8-3589-45B0-96FB-9083488683FC}">
  <dimension ref="A1:A47"/>
  <sheetViews>
    <sheetView showGridLines="0" workbookViewId="0">
      <selection activeCell="A9" sqref="A9"/>
    </sheetView>
  </sheetViews>
  <sheetFormatPr defaultRowHeight="15"/>
  <sheetData>
    <row r="1" spans="1:1" ht="31.5">
      <c r="A1" s="131" t="s">
        <v>675</v>
      </c>
    </row>
    <row r="3" spans="1:1">
      <c r="A3" t="s">
        <v>676</v>
      </c>
    </row>
    <row r="5" spans="1:1" ht="18">
      <c r="A5" s="115" t="s">
        <v>677</v>
      </c>
    </row>
    <row r="7" spans="1:1" ht="21">
      <c r="A7" s="132" t="s">
        <v>678</v>
      </c>
    </row>
    <row r="8" spans="1:1">
      <c r="A8" s="116"/>
    </row>
    <row r="9" spans="1:1">
      <c r="A9" s="116" t="s">
        <v>679</v>
      </c>
    </row>
    <row r="10" spans="1:1">
      <c r="A10" s="116" t="s">
        <v>680</v>
      </c>
    </row>
    <row r="11" spans="1:1">
      <c r="A11" s="116" t="s">
        <v>681</v>
      </c>
    </row>
    <row r="12" spans="1:1">
      <c r="A12" s="116" t="s">
        <v>682</v>
      </c>
    </row>
    <row r="13" spans="1:1">
      <c r="A13" s="116" t="s">
        <v>683</v>
      </c>
    </row>
    <row r="15" spans="1:1" ht="21">
      <c r="A15" s="132" t="s">
        <v>684</v>
      </c>
    </row>
    <row r="17" spans="1:1">
      <c r="A17" t="s">
        <v>685</v>
      </c>
    </row>
    <row r="18" spans="1:1">
      <c r="A18" s="116"/>
    </row>
    <row r="19" spans="1:1">
      <c r="A19" s="117" t="s">
        <v>686</v>
      </c>
    </row>
    <row r="20" spans="1:1">
      <c r="A20" s="118" t="s">
        <v>687</v>
      </c>
    </row>
    <row r="21" spans="1:1">
      <c r="A21" s="118" t="s">
        <v>688</v>
      </c>
    </row>
    <row r="22" spans="1:1">
      <c r="A22" s="118" t="s">
        <v>689</v>
      </c>
    </row>
    <row r="23" spans="1:1">
      <c r="A23" s="118" t="s">
        <v>690</v>
      </c>
    </row>
    <row r="24" spans="1:1">
      <c r="A24" s="116"/>
    </row>
    <row r="25" spans="1:1">
      <c r="A25" s="117" t="s">
        <v>691</v>
      </c>
    </row>
    <row r="29" spans="1:1">
      <c r="A29" s="133"/>
    </row>
    <row r="30" spans="1:1">
      <c r="A30" s="134"/>
    </row>
    <row r="31" spans="1:1">
      <c r="A31" s="133"/>
    </row>
    <row r="32" spans="1:1">
      <c r="A32" s="133"/>
    </row>
    <row r="33" spans="1:1">
      <c r="A33" s="134"/>
    </row>
    <row r="34" spans="1:1">
      <c r="A34" s="133"/>
    </row>
    <row r="35" spans="1:1">
      <c r="A35" s="133"/>
    </row>
    <row r="36" spans="1:1" ht="21">
      <c r="A36" s="132" t="s">
        <v>692</v>
      </c>
    </row>
    <row r="38" spans="1:1">
      <c r="A38" t="s">
        <v>693</v>
      </c>
    </row>
    <row r="39" spans="1:1">
      <c r="A39" s="116"/>
    </row>
    <row r="40" spans="1:1">
      <c r="A40" s="116" t="s">
        <v>694</v>
      </c>
    </row>
    <row r="41" spans="1:1">
      <c r="A41" s="116" t="s">
        <v>695</v>
      </c>
    </row>
    <row r="42" spans="1:1">
      <c r="A42" s="116" t="s">
        <v>696</v>
      </c>
    </row>
    <row r="44" spans="1:1" ht="18">
      <c r="A44" s="115" t="s">
        <v>697</v>
      </c>
    </row>
    <row r="45" spans="1:1">
      <c r="A45" s="116"/>
    </row>
    <row r="46" spans="1:1">
      <c r="A46" s="116" t="s">
        <v>698</v>
      </c>
    </row>
    <row r="47" spans="1:1">
      <c r="A47" s="116" t="s">
        <v>699</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426C-0703-4CCF-9307-A257CA10E54B}">
  <sheetPr>
    <tabColor theme="9" tint="-0.499984740745262"/>
  </sheetPr>
  <dimension ref="A1:E57"/>
  <sheetViews>
    <sheetView workbookViewId="0">
      <selection activeCell="E14" sqref="E14"/>
    </sheetView>
  </sheetViews>
  <sheetFormatPr defaultRowHeight="15"/>
  <cols>
    <col min="3" max="3" width="34.7109375" bestFit="1" customWidth="1"/>
    <col min="4" max="4" width="33.42578125" bestFit="1" customWidth="1"/>
    <col min="5" max="5" width="66.7109375" bestFit="1" customWidth="1"/>
  </cols>
  <sheetData>
    <row r="1" spans="1:5" ht="26.25">
      <c r="C1" s="122" t="s">
        <v>8</v>
      </c>
      <c r="D1" s="123" t="str">
        <f>PromptGenerator!I2</f>
        <v>Dart Concurrency &amp; Asynchrony</v>
      </c>
    </row>
    <row r="2" spans="1:5" ht="26.25">
      <c r="C2" s="122" t="s">
        <v>266</v>
      </c>
      <c r="D2" s="123" t="str">
        <f>IF(PromptGenerator!I3="","",PromptGenerator!I3)</f>
        <v/>
      </c>
    </row>
    <row r="5" spans="1:5">
      <c r="A5" s="124" t="s">
        <v>636</v>
      </c>
      <c r="B5" s="124" t="s">
        <v>23</v>
      </c>
      <c r="C5" s="124" t="s">
        <v>579</v>
      </c>
      <c r="D5" s="124" t="s">
        <v>614</v>
      </c>
      <c r="E5" s="124" t="s">
        <v>613</v>
      </c>
    </row>
    <row r="6" spans="1:5">
      <c r="A6" s="125" t="s">
        <v>0</v>
      </c>
      <c r="B6" t="s">
        <v>48</v>
      </c>
      <c r="C6" t="s">
        <v>601</v>
      </c>
      <c r="D6" t="s">
        <v>601</v>
      </c>
      <c r="E6" s="120" t="s">
        <v>731</v>
      </c>
    </row>
    <row r="7" spans="1:5">
      <c r="A7" s="125" t="s">
        <v>0</v>
      </c>
      <c r="B7" t="s">
        <v>48</v>
      </c>
      <c r="C7" s="136" t="s">
        <v>179</v>
      </c>
      <c r="D7" t="s">
        <v>605</v>
      </c>
      <c r="E7" s="121" t="s">
        <v>831</v>
      </c>
    </row>
    <row r="8" spans="1:5">
      <c r="A8" s="125" t="s">
        <v>0</v>
      </c>
      <c r="B8" t="s">
        <v>48</v>
      </c>
      <c r="C8" s="136" t="s">
        <v>179</v>
      </c>
      <c r="D8" t="s">
        <v>606</v>
      </c>
      <c r="E8" t="s">
        <v>832</v>
      </c>
    </row>
    <row r="9" spans="1:5">
      <c r="A9" s="125" t="s">
        <v>0</v>
      </c>
      <c r="B9" t="s">
        <v>48</v>
      </c>
      <c r="C9" s="136" t="s">
        <v>179</v>
      </c>
      <c r="D9" t="s">
        <v>607</v>
      </c>
      <c r="E9" t="s">
        <v>833</v>
      </c>
    </row>
    <row r="10" spans="1:5">
      <c r="A10" s="125" t="s">
        <v>0</v>
      </c>
      <c r="B10" t="s">
        <v>48</v>
      </c>
      <c r="C10" s="136" t="s">
        <v>608</v>
      </c>
      <c r="D10" t="s">
        <v>609</v>
      </c>
      <c r="E10" s="120" t="s">
        <v>834</v>
      </c>
    </row>
    <row r="11" spans="1:5">
      <c r="A11" s="125" t="s">
        <v>0</v>
      </c>
      <c r="B11" t="s">
        <v>48</v>
      </c>
      <c r="C11" s="136" t="s">
        <v>608</v>
      </c>
      <c r="D11" t="s">
        <v>610</v>
      </c>
      <c r="E11" t="s">
        <v>835</v>
      </c>
    </row>
    <row r="12" spans="1:5">
      <c r="A12" s="125" t="s">
        <v>0</v>
      </c>
      <c r="B12" t="s">
        <v>48</v>
      </c>
      <c r="C12" s="136" t="s">
        <v>608</v>
      </c>
      <c r="D12" t="s">
        <v>718</v>
      </c>
      <c r="E12" s="120" t="s">
        <v>836</v>
      </c>
    </row>
    <row r="13" spans="1:5">
      <c r="A13" s="125" t="s">
        <v>0</v>
      </c>
      <c r="B13" t="s">
        <v>48</v>
      </c>
      <c r="C13" s="136" t="s">
        <v>608</v>
      </c>
      <c r="D13" t="s">
        <v>725</v>
      </c>
      <c r="E13" s="120" t="s">
        <v>837</v>
      </c>
    </row>
    <row r="14" spans="1:5">
      <c r="A14" s="125" t="s">
        <v>0</v>
      </c>
      <c r="B14" t="s">
        <v>48</v>
      </c>
      <c r="C14" s="136" t="s">
        <v>600</v>
      </c>
      <c r="D14" t="s">
        <v>611</v>
      </c>
      <c r="E14" t="s">
        <v>732</v>
      </c>
    </row>
    <row r="15" spans="1:5">
      <c r="A15" s="125" t="s">
        <v>0</v>
      </c>
      <c r="B15" t="s">
        <v>48</v>
      </c>
      <c r="C15" s="136" t="s">
        <v>600</v>
      </c>
      <c r="D15" t="s">
        <v>612</v>
      </c>
      <c r="E15" t="s">
        <v>733</v>
      </c>
    </row>
    <row r="16" spans="1:5">
      <c r="A16" s="125" t="s">
        <v>0</v>
      </c>
      <c r="B16" t="s">
        <v>48</v>
      </c>
      <c r="C16" s="136" t="s">
        <v>225</v>
      </c>
      <c r="D16" t="s">
        <v>603</v>
      </c>
      <c r="E16" t="s">
        <v>734</v>
      </c>
    </row>
    <row r="17" spans="1:5">
      <c r="A17" s="125" t="s">
        <v>0</v>
      </c>
      <c r="B17" t="s">
        <v>48</v>
      </c>
      <c r="C17" s="136" t="s">
        <v>225</v>
      </c>
      <c r="D17" t="s">
        <v>604</v>
      </c>
      <c r="E17" t="s">
        <v>735</v>
      </c>
    </row>
    <row r="18" spans="1:5">
      <c r="A18" s="125" t="s">
        <v>0</v>
      </c>
      <c r="B18" t="s">
        <v>615</v>
      </c>
      <c r="C18" s="136" t="s">
        <v>616</v>
      </c>
      <c r="D18" t="s">
        <v>617</v>
      </c>
      <c r="E18" t="s">
        <v>736</v>
      </c>
    </row>
    <row r="19" spans="1:5">
      <c r="A19" s="125" t="s">
        <v>0</v>
      </c>
      <c r="B19" t="s">
        <v>615</v>
      </c>
      <c r="C19" s="136" t="s">
        <v>616</v>
      </c>
      <c r="D19" t="s">
        <v>618</v>
      </c>
      <c r="E19" t="s">
        <v>737</v>
      </c>
    </row>
    <row r="20" spans="1:5">
      <c r="A20" s="125" t="s">
        <v>0</v>
      </c>
      <c r="B20" t="s">
        <v>615</v>
      </c>
      <c r="C20" s="136" t="s">
        <v>616</v>
      </c>
      <c r="D20" t="s">
        <v>619</v>
      </c>
      <c r="E20" t="s">
        <v>738</v>
      </c>
    </row>
    <row r="21" spans="1:5">
      <c r="A21" s="125" t="s">
        <v>0</v>
      </c>
      <c r="B21" t="s">
        <v>615</v>
      </c>
      <c r="C21" s="136" t="s">
        <v>608</v>
      </c>
      <c r="D21" t="s">
        <v>719</v>
      </c>
      <c r="E21" t="s">
        <v>720</v>
      </c>
    </row>
    <row r="22" spans="1:5">
      <c r="A22" s="125" t="s">
        <v>0</v>
      </c>
      <c r="B22" t="s">
        <v>602</v>
      </c>
      <c r="C22" s="136" t="s">
        <v>620</v>
      </c>
      <c r="D22" t="s">
        <v>47</v>
      </c>
      <c r="E22" t="s">
        <v>739</v>
      </c>
    </row>
    <row r="23" spans="1:5">
      <c r="A23" s="125" t="s">
        <v>0</v>
      </c>
      <c r="B23" t="s">
        <v>602</v>
      </c>
      <c r="C23" s="136" t="s">
        <v>620</v>
      </c>
      <c r="D23" t="s">
        <v>158</v>
      </c>
      <c r="E23" t="s">
        <v>740</v>
      </c>
    </row>
    <row r="24" spans="1:5">
      <c r="A24" s="125" t="s">
        <v>0</v>
      </c>
      <c r="B24" t="s">
        <v>602</v>
      </c>
      <c r="C24" s="136" t="s">
        <v>620</v>
      </c>
      <c r="D24" t="s">
        <v>159</v>
      </c>
      <c r="E24" t="s">
        <v>741</v>
      </c>
    </row>
    <row r="25" spans="1:5">
      <c r="A25" s="125" t="s">
        <v>0</v>
      </c>
      <c r="B25" t="s">
        <v>602</v>
      </c>
      <c r="C25" s="136" t="s">
        <v>621</v>
      </c>
      <c r="D25" t="s">
        <v>622</v>
      </c>
      <c r="E25" t="s">
        <v>742</v>
      </c>
    </row>
    <row r="26" spans="1:5">
      <c r="A26" s="125" t="s">
        <v>0</v>
      </c>
      <c r="B26" t="s">
        <v>602</v>
      </c>
      <c r="C26" s="136" t="s">
        <v>621</v>
      </c>
      <c r="D26" t="s">
        <v>623</v>
      </c>
      <c r="E26" t="s">
        <v>743</v>
      </c>
    </row>
    <row r="27" spans="1:5">
      <c r="A27" s="125" t="s">
        <v>0</v>
      </c>
      <c r="B27" t="s">
        <v>602</v>
      </c>
      <c r="C27" s="136" t="s">
        <v>621</v>
      </c>
      <c r="D27" t="s">
        <v>624</v>
      </c>
      <c r="E27" t="s">
        <v>744</v>
      </c>
    </row>
    <row r="28" spans="1:5">
      <c r="A28" s="125" t="s">
        <v>0</v>
      </c>
      <c r="B28" t="s">
        <v>602</v>
      </c>
      <c r="C28" s="136" t="s">
        <v>621</v>
      </c>
      <c r="D28" t="s">
        <v>625</v>
      </c>
      <c r="E28" t="s">
        <v>745</v>
      </c>
    </row>
    <row r="29" spans="1:5">
      <c r="A29" s="126" t="s">
        <v>270</v>
      </c>
      <c r="B29" t="s">
        <v>48</v>
      </c>
      <c r="C29" s="136" t="s">
        <v>626</v>
      </c>
      <c r="D29" t="s">
        <v>627</v>
      </c>
      <c r="E29" t="s">
        <v>746</v>
      </c>
    </row>
    <row r="30" spans="1:5">
      <c r="A30" s="126" t="s">
        <v>270</v>
      </c>
      <c r="B30" t="s">
        <v>48</v>
      </c>
      <c r="C30" s="136" t="s">
        <v>626</v>
      </c>
      <c r="D30" t="s">
        <v>628</v>
      </c>
      <c r="E30" t="s">
        <v>747</v>
      </c>
    </row>
    <row r="31" spans="1:5">
      <c r="A31" s="126" t="s">
        <v>270</v>
      </c>
      <c r="B31" t="s">
        <v>48</v>
      </c>
      <c r="C31" s="136" t="s">
        <v>626</v>
      </c>
      <c r="D31" t="s">
        <v>629</v>
      </c>
      <c r="E31" t="s">
        <v>721</v>
      </c>
    </row>
    <row r="32" spans="1:5">
      <c r="A32" s="126" t="s">
        <v>270</v>
      </c>
      <c r="B32" t="s">
        <v>48</v>
      </c>
      <c r="C32" s="136" t="s">
        <v>728</v>
      </c>
      <c r="D32" t="s">
        <v>630</v>
      </c>
      <c r="E32" t="s">
        <v>748</v>
      </c>
    </row>
    <row r="33" spans="1:5">
      <c r="A33" s="126" t="s">
        <v>270</v>
      </c>
      <c r="B33" t="s">
        <v>48</v>
      </c>
      <c r="C33" s="136" t="s">
        <v>729</v>
      </c>
      <c r="D33" t="s">
        <v>631</v>
      </c>
      <c r="E33" t="s">
        <v>749</v>
      </c>
    </row>
    <row r="34" spans="1:5">
      <c r="A34" s="126" t="s">
        <v>270</v>
      </c>
      <c r="B34" t="s">
        <v>48</v>
      </c>
      <c r="C34" s="136" t="s">
        <v>632</v>
      </c>
      <c r="D34" t="s">
        <v>633</v>
      </c>
      <c r="E34" t="s">
        <v>750</v>
      </c>
    </row>
    <row r="35" spans="1:5">
      <c r="A35" s="126" t="s">
        <v>270</v>
      </c>
      <c r="B35" t="s">
        <v>48</v>
      </c>
      <c r="C35" s="136" t="s">
        <v>632</v>
      </c>
      <c r="D35" t="s">
        <v>634</v>
      </c>
      <c r="E35" t="s">
        <v>751</v>
      </c>
    </row>
    <row r="36" spans="1:5">
      <c r="A36" s="126" t="s">
        <v>270</v>
      </c>
      <c r="B36" t="s">
        <v>48</v>
      </c>
      <c r="C36" s="136" t="s">
        <v>632</v>
      </c>
      <c r="D36" t="s">
        <v>635</v>
      </c>
      <c r="E36" t="s">
        <v>722</v>
      </c>
    </row>
    <row r="37" spans="1:5">
      <c r="A37" s="126" t="s">
        <v>270</v>
      </c>
      <c r="B37" t="s">
        <v>615</v>
      </c>
      <c r="C37" s="136" t="s">
        <v>637</v>
      </c>
      <c r="D37" t="s">
        <v>638</v>
      </c>
      <c r="E37" t="s">
        <v>752</v>
      </c>
    </row>
    <row r="38" spans="1:5">
      <c r="A38" s="126" t="s">
        <v>270</v>
      </c>
      <c r="B38" t="s">
        <v>615</v>
      </c>
      <c r="C38" s="136" t="s">
        <v>637</v>
      </c>
      <c r="D38" t="s">
        <v>639</v>
      </c>
      <c r="E38" t="s">
        <v>753</v>
      </c>
    </row>
    <row r="39" spans="1:5">
      <c r="A39" s="126" t="s">
        <v>270</v>
      </c>
      <c r="B39" t="s">
        <v>615</v>
      </c>
      <c r="C39" s="136" t="s">
        <v>637</v>
      </c>
      <c r="D39" t="s">
        <v>640</v>
      </c>
      <c r="E39" t="s">
        <v>754</v>
      </c>
    </row>
    <row r="40" spans="1:5">
      <c r="A40" s="126" t="s">
        <v>270</v>
      </c>
      <c r="B40" t="s">
        <v>615</v>
      </c>
      <c r="C40" s="136" t="s">
        <v>637</v>
      </c>
      <c r="D40" t="s">
        <v>641</v>
      </c>
      <c r="E40" t="s">
        <v>755</v>
      </c>
    </row>
    <row r="41" spans="1:5">
      <c r="A41" s="126" t="s">
        <v>270</v>
      </c>
      <c r="B41" t="s">
        <v>602</v>
      </c>
      <c r="C41" s="136" t="s">
        <v>730</v>
      </c>
      <c r="D41" t="s">
        <v>642</v>
      </c>
      <c r="E41" t="s">
        <v>756</v>
      </c>
    </row>
    <row r="42" spans="1:5">
      <c r="A42" s="126" t="s">
        <v>270</v>
      </c>
      <c r="B42" t="s">
        <v>602</v>
      </c>
      <c r="C42" s="136" t="s">
        <v>730</v>
      </c>
      <c r="D42" t="s">
        <v>643</v>
      </c>
      <c r="E42" t="s">
        <v>757</v>
      </c>
    </row>
    <row r="43" spans="1:5">
      <c r="A43" s="126" t="s">
        <v>270</v>
      </c>
      <c r="B43" t="s">
        <v>602</v>
      </c>
      <c r="C43" s="136" t="s">
        <v>730</v>
      </c>
      <c r="D43" t="s">
        <v>644</v>
      </c>
      <c r="E43" t="s">
        <v>758</v>
      </c>
    </row>
    <row r="44" spans="1:5">
      <c r="A44" s="126" t="s">
        <v>270</v>
      </c>
      <c r="B44" t="s">
        <v>602</v>
      </c>
      <c r="C44" s="136" t="s">
        <v>730</v>
      </c>
      <c r="D44" t="s">
        <v>645</v>
      </c>
      <c r="E44" t="s">
        <v>759</v>
      </c>
    </row>
    <row r="45" spans="1:5">
      <c r="A45" s="127" t="s">
        <v>337</v>
      </c>
      <c r="B45" t="s">
        <v>48</v>
      </c>
      <c r="C45" s="136" t="s">
        <v>651</v>
      </c>
      <c r="D45" t="s">
        <v>647</v>
      </c>
      <c r="E45" t="s">
        <v>760</v>
      </c>
    </row>
    <row r="46" spans="1:5">
      <c r="A46" s="127" t="s">
        <v>337</v>
      </c>
      <c r="B46" t="s">
        <v>48</v>
      </c>
      <c r="C46" s="136" t="s">
        <v>652</v>
      </c>
      <c r="D46" t="s">
        <v>648</v>
      </c>
      <c r="E46" t="s">
        <v>723</v>
      </c>
    </row>
    <row r="47" spans="1:5">
      <c r="A47" s="127" t="s">
        <v>337</v>
      </c>
      <c r="B47" t="s">
        <v>48</v>
      </c>
      <c r="C47" s="136" t="s">
        <v>653</v>
      </c>
      <c r="D47" t="s">
        <v>649</v>
      </c>
      <c r="E47" t="s">
        <v>761</v>
      </c>
    </row>
    <row r="48" spans="1:5">
      <c r="A48" s="127" t="s">
        <v>337</v>
      </c>
      <c r="B48" t="s">
        <v>48</v>
      </c>
      <c r="C48" s="136" t="s">
        <v>653</v>
      </c>
      <c r="D48" t="s">
        <v>650</v>
      </c>
      <c r="E48" t="s">
        <v>762</v>
      </c>
    </row>
    <row r="49" spans="1:5">
      <c r="A49" s="127" t="s">
        <v>337</v>
      </c>
      <c r="B49" t="s">
        <v>615</v>
      </c>
      <c r="C49" s="136" t="s">
        <v>651</v>
      </c>
      <c r="D49" t="s">
        <v>654</v>
      </c>
      <c r="E49" t="s">
        <v>763</v>
      </c>
    </row>
    <row r="50" spans="1:5">
      <c r="A50" s="127" t="s">
        <v>337</v>
      </c>
      <c r="B50" t="s">
        <v>615</v>
      </c>
      <c r="C50" s="136" t="s">
        <v>653</v>
      </c>
      <c r="D50" t="s">
        <v>655</v>
      </c>
      <c r="E50" t="s">
        <v>764</v>
      </c>
    </row>
    <row r="51" spans="1:5">
      <c r="A51" s="127" t="s">
        <v>337</v>
      </c>
      <c r="B51" t="s">
        <v>615</v>
      </c>
      <c r="C51" s="136" t="s">
        <v>653</v>
      </c>
      <c r="D51" t="s">
        <v>656</v>
      </c>
      <c r="E51" t="s">
        <v>765</v>
      </c>
    </row>
    <row r="52" spans="1:5">
      <c r="A52" s="127" t="s">
        <v>337</v>
      </c>
      <c r="B52" t="s">
        <v>602</v>
      </c>
      <c r="C52" s="136" t="s">
        <v>730</v>
      </c>
      <c r="D52" t="s">
        <v>657</v>
      </c>
      <c r="E52" t="s">
        <v>724</v>
      </c>
    </row>
    <row r="53" spans="1:5">
      <c r="A53" s="127" t="s">
        <v>337</v>
      </c>
      <c r="B53" t="s">
        <v>602</v>
      </c>
      <c r="C53" s="136" t="s">
        <v>730</v>
      </c>
      <c r="D53" t="s">
        <v>643</v>
      </c>
      <c r="E53" t="s">
        <v>757</v>
      </c>
    </row>
    <row r="54" spans="1:5">
      <c r="A54" s="127" t="s">
        <v>337</v>
      </c>
      <c r="B54" t="s">
        <v>602</v>
      </c>
      <c r="C54" s="136" t="s">
        <v>730</v>
      </c>
      <c r="D54" t="s">
        <v>658</v>
      </c>
      <c r="E54" t="s">
        <v>766</v>
      </c>
    </row>
    <row r="55" spans="1:5">
      <c r="A55" s="127" t="s">
        <v>337</v>
      </c>
      <c r="B55" t="s">
        <v>602</v>
      </c>
      <c r="C55" s="136" t="s">
        <v>730</v>
      </c>
      <c r="D55" t="s">
        <v>659</v>
      </c>
      <c r="E55" t="s">
        <v>767</v>
      </c>
    </row>
    <row r="56" spans="1:5">
      <c r="A56" s="121" t="s">
        <v>413</v>
      </c>
      <c r="B56" t="s">
        <v>602</v>
      </c>
      <c r="C56" t="s">
        <v>663</v>
      </c>
      <c r="D56" t="s">
        <v>664</v>
      </c>
      <c r="E56" t="s">
        <v>768</v>
      </c>
    </row>
    <row r="57" spans="1:5">
      <c r="A57" s="128" t="s">
        <v>450</v>
      </c>
      <c r="B57" t="s">
        <v>602</v>
      </c>
      <c r="C57" t="s">
        <v>663</v>
      </c>
      <c r="D57" t="s">
        <v>664</v>
      </c>
      <c r="E57" t="s">
        <v>769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F202-B91A-4FEA-8AA4-3D417A27FC7B}">
  <sheetPr>
    <tabColor theme="2" tint="-0.249977111117893"/>
  </sheetPr>
  <dimension ref="A2:AC104"/>
  <sheetViews>
    <sheetView showGridLines="0" topLeftCell="A32" zoomScaleNormal="100" workbookViewId="0">
      <selection activeCell="E3" sqref="E3:E50"/>
    </sheetView>
  </sheetViews>
  <sheetFormatPr defaultRowHeight="15"/>
  <cols>
    <col min="1" max="1" width="5.42578125" customWidth="1"/>
    <col min="2" max="2" width="35.85546875" customWidth="1"/>
    <col min="3" max="3" width="33" customWidth="1"/>
    <col min="4" max="4" width="107" customWidth="1"/>
    <col min="5" max="5" width="39.5703125" style="85" customWidth="1"/>
    <col min="6" max="6" width="4" customWidth="1"/>
  </cols>
  <sheetData>
    <row r="2" spans="1:29" ht="36">
      <c r="B2" s="78" t="s">
        <v>448</v>
      </c>
      <c r="D2" s="81" t="s">
        <v>0</v>
      </c>
      <c r="H2" s="82"/>
      <c r="T2" s="82"/>
    </row>
    <row r="3" spans="1:29">
      <c r="B3" s="76" t="s">
        <v>221</v>
      </c>
      <c r="C3" s="76" t="s">
        <v>579</v>
      </c>
      <c r="D3" s="76" t="s">
        <v>580</v>
      </c>
      <c r="E3" s="88" t="s">
        <v>228</v>
      </c>
      <c r="F3" s="4" t="s">
        <v>224</v>
      </c>
      <c r="AC3" t="s">
        <v>224</v>
      </c>
    </row>
    <row r="4" spans="1:29">
      <c r="A4">
        <f>LEN(D4)</f>
        <v>49</v>
      </c>
      <c r="B4" s="75" t="s">
        <v>222</v>
      </c>
      <c r="C4" s="54" t="s">
        <v>160</v>
      </c>
      <c r="D4" s="94" t="s">
        <v>161</v>
      </c>
      <c r="E4" s="77" t="str">
        <f t="shared" ref="E4:E48" si="0">IF(D4="","",""""&amp;C4&amp;" "&amp;IF(C4="[FOOTER RULE - STRICT]",D4,IF(RIGHT(D4,6)=" | "&amp;CHAR(34)&amp;" &amp;",D4,D4&amp;" | "&amp;CHAR(34)&amp;" &amp;")))</f>
        <v>"[ROLE] Friendly tutor specializing in " &amp; $I$2 &amp; " | " &amp;</v>
      </c>
      <c r="F4" s="54" t="s">
        <v>224</v>
      </c>
    </row>
    <row r="5" spans="1:29">
      <c r="A5">
        <f t="shared" ref="A5:A49" si="1">LEN(D5)</f>
        <v>16</v>
      </c>
      <c r="B5" s="75" t="s">
        <v>222</v>
      </c>
      <c r="C5" s="54" t="s">
        <v>164</v>
      </c>
      <c r="D5" s="94" t="s">
        <v>165</v>
      </c>
      <c r="E5" s="77" t="str">
        <f t="shared" si="0"/>
        <v>"[TOPIC] " &amp; I9 &amp; " | " &amp;</v>
      </c>
      <c r="F5" s="54" t="s">
        <v>224</v>
      </c>
    </row>
    <row r="6" spans="1:29">
      <c r="A6">
        <f t="shared" si="1"/>
        <v>16</v>
      </c>
      <c r="B6" s="75" t="s">
        <v>222</v>
      </c>
      <c r="C6" s="54" t="s">
        <v>166</v>
      </c>
      <c r="D6" s="94" t="s">
        <v>167</v>
      </c>
      <c r="E6" s="77" t="str">
        <f t="shared" si="0"/>
        <v>"[LEVEL] " &amp; G9 &amp; " | " &amp;</v>
      </c>
      <c r="F6" s="54" t="s">
        <v>224</v>
      </c>
    </row>
    <row r="7" spans="1:29">
      <c r="A7">
        <f t="shared" si="1"/>
        <v>25</v>
      </c>
      <c r="B7" s="75" t="s">
        <v>222</v>
      </c>
      <c r="C7" s="54" t="s">
        <v>168</v>
      </c>
      <c r="D7" s="94" t="s">
        <v>169</v>
      </c>
      <c r="E7" s="77" t="str">
        <f t="shared" si="0"/>
        <v>"[COUNT] " &amp; D9 &amp; " examples | " &amp;</v>
      </c>
      <c r="F7" s="54" t="s">
        <v>224</v>
      </c>
    </row>
    <row r="8" spans="1:29">
      <c r="A8">
        <f t="shared" si="1"/>
        <v>18</v>
      </c>
      <c r="B8" s="75" t="s">
        <v>222</v>
      </c>
      <c r="C8" s="54" t="s">
        <v>229</v>
      </c>
      <c r="D8" s="94" t="s">
        <v>267</v>
      </c>
      <c r="E8" s="77" t="str">
        <f t="shared" si="0"/>
        <v>"[LIBRARY BEING LEARNED] " &amp; $I$3 &amp; " | " &amp;</v>
      </c>
      <c r="F8" s="54" t="s">
        <v>224</v>
      </c>
    </row>
    <row r="9" spans="1:29">
      <c r="A9">
        <f t="shared" si="1"/>
        <v>492</v>
      </c>
      <c r="B9" s="83" t="s">
        <v>223</v>
      </c>
      <c r="C9" s="32" t="s">
        <v>225</v>
      </c>
      <c r="D9" s="137"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 &amp;</v>
      </c>
      <c r="E9" s="77" t="str">
        <f t="shared" si="0"/>
        <v>"[ECOSYSTEM ORIENTATION RULE] If a data manipulation library, external package, or ecosystem like Pandas or NumPy is specified in " &amp; $I$3 &amp;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 &amp;</v>
      </c>
      <c r="F9" s="54" t="s">
        <v>224</v>
      </c>
    </row>
    <row r="10" spans="1:29">
      <c r="A10">
        <f t="shared" si="1"/>
        <v>406</v>
      </c>
      <c r="B10" s="75" t="s">
        <v>222</v>
      </c>
      <c r="C10" s="54" t="s">
        <v>172</v>
      </c>
      <c r="D10" s="94" t="s">
        <v>173</v>
      </c>
      <c r="E10"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0" s="54" t="s">
        <v>224</v>
      </c>
    </row>
    <row r="11" spans="1:29">
      <c r="A11">
        <f t="shared" si="1"/>
        <v>214</v>
      </c>
      <c r="B11" s="75" t="s">
        <v>222</v>
      </c>
      <c r="C11" s="54" t="s">
        <v>491</v>
      </c>
      <c r="D11" s="94" t="s">
        <v>483</v>
      </c>
      <c r="E11" s="77" t="str">
        <f t="shared" si="0"/>
        <v>"[LANGUAGE SEED CONTEXT] " &amp; IF($AE$7 = "", "Language Seed Not Necessary", "You MUST strictly follow this seed context to enhance, adapt, and naturalize your tone, vocabulary, and instructional quality in " &amp; $B$6 &amp; ": " &amp; $AE$7) &amp; " | " &amp;</v>
      </c>
      <c r="F11" s="54" t="s">
        <v>224</v>
      </c>
    </row>
    <row r="12" spans="1:29">
      <c r="A12">
        <f t="shared" si="1"/>
        <v>18</v>
      </c>
      <c r="B12" s="75" t="s">
        <v>222</v>
      </c>
      <c r="C12" s="54" t="s">
        <v>218</v>
      </c>
      <c r="D12" s="94" t="s">
        <v>219</v>
      </c>
      <c r="E12" s="77" t="str">
        <f t="shared" si="0"/>
        <v>"[LANGUAGE] " &amp; $B$6 &amp; " | " &amp;</v>
      </c>
      <c r="F12" s="54" t="s">
        <v>224</v>
      </c>
    </row>
    <row r="13" spans="1:29">
      <c r="A13">
        <f t="shared" si="1"/>
        <v>255</v>
      </c>
      <c r="B13" s="75" t="s">
        <v>222</v>
      </c>
      <c r="C13" s="54" t="s">
        <v>231</v>
      </c>
      <c r="D13" s="94" t="s">
        <v>711</v>
      </c>
      <c r="E13" s="77" t="str">
        <f t="shared" si="0"/>
        <v>"[EXECUTIVE CONSTRAINTS] Each example MUST include: - Internal data OR dataset usage - Print key intermediate steps and the final result - MUST NOT exceed exactly " &amp; $C9 &amp; " lines of EXECUTABLE code (STRICT: Do NOT count comments or blank lines). - NEVER exceed this limit. | " &amp;</v>
      </c>
      <c r="F13" s="54" t="s">
        <v>224</v>
      </c>
    </row>
    <row r="14" spans="1:29">
      <c r="A14">
        <f t="shared" si="1"/>
        <v>355</v>
      </c>
      <c r="B14" s="83" t="s">
        <v>223</v>
      </c>
      <c r="C14" s="32" t="s">
        <v>179</v>
      </c>
      <c r="D14" s="137" t="str">
        <f>"Rule: " &amp; CHAR(34) &amp; " &amp; IF(G9=" &amp; CHAR(34) &amp; "Beginner" &amp; CHAR(34) &amp; "," &amp; CHAR(34) &amp; Variables!E7 &amp; CHAR(34) &amp; ", IF(G9=" &amp; CHAR(34) &amp; "Intermediate" &amp; CHAR(34) &amp; ", " &amp; CHAR(34) &amp; Variables!E8 &amp; CHAR(34) &amp; ", " &amp; CHAR(34) &amp; Variables!E9 &amp; CHAR(34) &amp; ")) &amp; " &amp; CHAR(34) &amp; " | " &amp; CHAR(34) &amp; " &amp;"</f>
        <v>Rule: " &amp; IF(G9="Beginner","Use basic async/await functions in main(). NO complex event loops or isolates.", IF(G9="Intermediate", "REQUIREMENT: Include async methods, Streams, try/catch error handling, and Future.delayed in each example.", "Advanced Concurrency: Isolates (Isolate.spawn), StreamControllers, async generators (async*, yield).")) &amp; " | " &amp;</v>
      </c>
      <c r="E14" s="77" t="str">
        <f t="shared" si="0"/>
        <v>"[FUNCTION RULE] Rule: " &amp; IF(G9="Beginner","Use basic async/await functions in main(). NO complex event loops or isolates.", IF(G9="Intermediate", "REQUIREMENT: Include async methods, Streams, try/catch error handling, and Future.delayed in each example.", "Advanced Concurrency: Isolates (Isolate.spawn), StreamControllers, async generators (async*, yield).")) &amp; " | " &amp;</v>
      </c>
      <c r="F14" s="54" t="s">
        <v>224</v>
      </c>
    </row>
    <row r="15" spans="1:29">
      <c r="A15">
        <f t="shared" si="1"/>
        <v>0</v>
      </c>
      <c r="B15" s="83" t="s">
        <v>223</v>
      </c>
      <c r="C15" s="54" t="s">
        <v>230</v>
      </c>
      <c r="D15" s="94"/>
      <c r="E15" s="77" t="str">
        <f t="shared" si="0"/>
        <v/>
      </c>
      <c r="F15" s="54" t="s">
        <v>224</v>
      </c>
    </row>
    <row r="16" spans="1:29">
      <c r="A16">
        <f t="shared" si="1"/>
        <v>0</v>
      </c>
      <c r="B16" s="83" t="s">
        <v>223</v>
      </c>
      <c r="C16" s="54" t="s">
        <v>230</v>
      </c>
      <c r="D16" s="94"/>
      <c r="E16" s="77" t="str">
        <f t="shared" si="0"/>
        <v/>
      </c>
      <c r="F16" s="54" t="s">
        <v>224</v>
      </c>
    </row>
    <row r="17" spans="1:6">
      <c r="A17">
        <f t="shared" si="1"/>
        <v>0</v>
      </c>
      <c r="B17" s="83" t="s">
        <v>223</v>
      </c>
      <c r="C17" s="54" t="s">
        <v>230</v>
      </c>
      <c r="D17" s="94"/>
      <c r="E17" s="77" t="str">
        <f t="shared" si="0"/>
        <v/>
      </c>
      <c r="F17" s="54" t="s">
        <v>224</v>
      </c>
    </row>
    <row r="18" spans="1:6">
      <c r="A18">
        <f t="shared" si="1"/>
        <v>407</v>
      </c>
      <c r="B18" s="83" t="s">
        <v>223</v>
      </c>
      <c r="C18" s="32" t="s">
        <v>608</v>
      </c>
      <c r="D18" s="137" t="str">
        <f>"Each example MUST: - Use " &amp; Variables!E10 &amp; " - Print steps &amp; result via " &amp; Variables!E11 &amp; " - " &amp; Variables!E12 &amp; " - " &amp; Variables!E13 &amp; " | " &amp; CHAR(34) &amp; " &amp;"</f>
        <v>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 &amp;</v>
      </c>
      <c r="E18" s="77" t="str">
        <f t="shared" si="0"/>
        <v>"[CODE_CONSTRAINTS_RULE]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 &amp;</v>
      </c>
      <c r="F18" s="54" t="s">
        <v>224</v>
      </c>
    </row>
    <row r="19" spans="1:6">
      <c r="A19">
        <f t="shared" si="1"/>
        <v>202</v>
      </c>
      <c r="B19" s="84" t="s">
        <v>223</v>
      </c>
      <c r="C19" s="32" t="s">
        <v>600</v>
      </c>
      <c r="D19" s="137" t="str">
        <f>"Use " &amp; Variables!E14 &amp; " and gracefully handle " &amp; Variables!E15 &amp; " when applicable." &amp; " | " &amp; CHAR(34) &amp; " &amp;"</f>
        <v>Use Asynchronous file operations or non-blocking stream inputs/outputs. and gracefully handle print() statements with string interpolation to display asynchronous outputs clearly. when applicable. | " &amp;</v>
      </c>
      <c r="E19" s="77" t="str">
        <f t="shared" si="0"/>
        <v>"[I_O_PARADIGM] Use Asynchronous file operations or non-blocking stream inputs/outputs. and gracefully handle print() statements with string interpolation to display asynchronous outputs clearly. when applicable. | " &amp;</v>
      </c>
      <c r="F19" s="54" t="s">
        <v>224</v>
      </c>
    </row>
    <row r="20" spans="1:6">
      <c r="A20">
        <f t="shared" si="1"/>
        <v>236</v>
      </c>
      <c r="B20" s="84" t="s">
        <v>223</v>
      </c>
      <c r="C20" s="32" t="s">
        <v>601</v>
      </c>
      <c r="D20" s="137" t="str">
        <f>"If using external packages, use " &amp; Variables!E6 &amp; " at the top of the code block. Assume no project configuration file exists." &amp; " | " &amp; CHAR(34) &amp; " &amp;"</f>
        <v>If using external packages, use Dart asynchronous primitives, Futures, Streams, async/await flows, and isolate execution models utilizing top-level main(). at the top of the code block. Assume no project configuration file exists. | " &amp;</v>
      </c>
      <c r="E20" s="77" t="str">
        <f t="shared" si="0"/>
        <v>"[INLINE_PACKAGE_MANAGER] If using external packages, use Dart asynchronous primitives, Futures, Streams, async/await flows, and isolate execution models utilizing top-level main(). at the top of the code block. Assume no project configuration file exists. | " &amp;</v>
      </c>
      <c r="F20" s="54" t="s">
        <v>224</v>
      </c>
    </row>
    <row r="21" spans="1:6">
      <c r="A21">
        <f t="shared" si="1"/>
        <v>267</v>
      </c>
      <c r="B21" s="83" t="s">
        <v>223</v>
      </c>
      <c r="C21" s="54" t="s">
        <v>726</v>
      </c>
      <c r="D21" s="94" t="s">
        <v>727</v>
      </c>
      <c r="E21" s="77" t="str">
        <f t="shared" si="0"/>
        <v>"[CONCEPT_ISOLATION_RULE]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v>
      </c>
      <c r="F21" s="54" t="s">
        <v>224</v>
      </c>
    </row>
    <row r="22" spans="1:6">
      <c r="A22">
        <f t="shared" si="1"/>
        <v>169</v>
      </c>
      <c r="B22" s="84" t="s">
        <v>271</v>
      </c>
      <c r="C22" s="54" t="s">
        <v>180</v>
      </c>
      <c r="D22" s="94" t="s">
        <v>702</v>
      </c>
      <c r="E22" s="77" t="str">
        <f t="shared" si="0"/>
        <v>"[CODE QUALITY RULE] Code MUST be clean, readable, educational, executable and produce correct results. Safely handle missing/malformed/inconsistent data, using pattern matching if possible. | " &amp;</v>
      </c>
      <c r="F22" s="54" t="s">
        <v>224</v>
      </c>
    </row>
    <row r="23" spans="1:6">
      <c r="A23">
        <f t="shared" si="1"/>
        <v>159</v>
      </c>
      <c r="B23" s="84" t="s">
        <v>271</v>
      </c>
      <c r="C23" s="54" t="s">
        <v>596</v>
      </c>
      <c r="D23" s="94" t="s">
        <v>703</v>
      </c>
      <c r="E23" s="77" t="str">
        <f t="shared" si="0"/>
        <v>"[COMMENT CONSTRAINTS] Code MUST include enough inline comments explaining WHAT it does AND WHY. Density: Beginner=high, Intermediate=medium, Advanced=lower but present in key logic. | " &amp;</v>
      </c>
      <c r="F23" s="54" t="s">
        <v>224</v>
      </c>
    </row>
    <row r="24" spans="1:6">
      <c r="A24">
        <f t="shared" si="1"/>
        <v>39</v>
      </c>
      <c r="B24" s="84" t="s">
        <v>271</v>
      </c>
      <c r="C24" s="54" t="s">
        <v>207</v>
      </c>
      <c r="D24" s="94" t="s">
        <v>280</v>
      </c>
      <c r="E24" s="77" t="str">
        <f t="shared" si="0"/>
        <v>"[FORMAT RULE] Only valid markdown code blocks allowed | " &amp;</v>
      </c>
      <c r="F24" s="54" t="s">
        <v>224</v>
      </c>
    </row>
    <row r="25" spans="1:6">
      <c r="A25">
        <f t="shared" si="1"/>
        <v>114</v>
      </c>
      <c r="B25" s="84" t="s">
        <v>271</v>
      </c>
      <c r="C25" s="54" t="s">
        <v>209</v>
      </c>
      <c r="D25" s="94" t="s">
        <v>597</v>
      </c>
      <c r="E25" s="77" t="str">
        <f t="shared" si="0"/>
        <v>"[LANGUAGE TAG RULE] ALWAYS label markdown code blocks with the correct underlying programming language (e.g., elixir, javascript, sql) | " &amp;</v>
      </c>
      <c r="F25" s="54" t="s">
        <v>224</v>
      </c>
    </row>
    <row r="26" spans="1:6">
      <c r="A26">
        <f t="shared" si="1"/>
        <v>324</v>
      </c>
      <c r="B26" s="84" t="s">
        <v>271</v>
      </c>
      <c r="C26" s="54" t="s">
        <v>215</v>
      </c>
      <c r="D26" s="94" t="s">
        <v>581</v>
      </c>
      <c r="E26" s="77" t="str">
        <f t="shared" si="0"/>
        <v>"[HEADER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v>
      </c>
      <c r="F26" s="54" t="s">
        <v>224</v>
      </c>
    </row>
    <row r="27" spans="1:6">
      <c r="A27">
        <f t="shared" si="1"/>
        <v>451</v>
      </c>
      <c r="B27" s="84" t="s">
        <v>271</v>
      </c>
      <c r="C27" s="54" t="s">
        <v>187</v>
      </c>
      <c r="D27" s="94" t="s">
        <v>700</v>
      </c>
      <c r="E27" s="77" t="str">
        <f t="shared" si="0"/>
        <v>"[INTRO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v>
      </c>
      <c r="F27" s="54" t="s">
        <v>224</v>
      </c>
    </row>
    <row r="28" spans="1:6">
      <c r="A28">
        <f t="shared" si="1"/>
        <v>36</v>
      </c>
      <c r="B28" s="84" t="s">
        <v>271</v>
      </c>
      <c r="C28" s="54" t="s">
        <v>170</v>
      </c>
      <c r="D28" s="94" t="s">
        <v>171</v>
      </c>
      <c r="E28" s="77" t="str">
        <f t="shared" si="0"/>
        <v>"[PERSONA RULE] Act as a friendly, clear tutor | " &amp;</v>
      </c>
      <c r="F28" s="54" t="s">
        <v>224</v>
      </c>
    </row>
    <row r="29" spans="1:6">
      <c r="A29">
        <f t="shared" si="1"/>
        <v>67</v>
      </c>
      <c r="B29" s="84" t="s">
        <v>271</v>
      </c>
      <c r="C29" s="54" t="s">
        <v>162</v>
      </c>
      <c r="D29" s="94" t="s">
        <v>163</v>
      </c>
      <c r="E29" s="77" t="str">
        <f t="shared" si="0"/>
        <v>"[TASK] Teach and explain concepts clearly with correct code examples | " &amp;</v>
      </c>
      <c r="F29" s="54" t="s">
        <v>224</v>
      </c>
    </row>
    <row r="30" spans="1:6">
      <c r="A30">
        <f t="shared" si="1"/>
        <v>545</v>
      </c>
      <c r="B30" s="84" t="s">
        <v>271</v>
      </c>
      <c r="C30" s="54" t="s">
        <v>177</v>
      </c>
      <c r="D30" s="94" t="s">
        <v>701</v>
      </c>
      <c r="E30" s="77" t="str">
        <f t="shared" si="0"/>
        <v>"[OUTPUT CONTRACT] 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v>
      </c>
      <c r="F30" s="54" t="s">
        <v>224</v>
      </c>
    </row>
    <row r="31" spans="1:6">
      <c r="A31">
        <f t="shared" si="1"/>
        <v>101</v>
      </c>
      <c r="B31" s="84" t="s">
        <v>271</v>
      </c>
      <c r="C31" s="54" t="s">
        <v>180</v>
      </c>
      <c r="D31" s="94" t="s">
        <v>227</v>
      </c>
      <c r="E31" s="77" t="str">
        <f t="shared" si="0"/>
        <v>"[CODE QUALITY RULE] Code MUST be clean, readable, educational, executable, and produce correct and accurate results | " &amp;</v>
      </c>
      <c r="F31" s="54" t="s">
        <v>224</v>
      </c>
    </row>
    <row r="32" spans="1:6">
      <c r="A32">
        <f t="shared" si="1"/>
        <v>96</v>
      </c>
      <c r="B32" s="84" t="s">
        <v>271</v>
      </c>
      <c r="C32" s="54" t="s">
        <v>181</v>
      </c>
      <c r="D32" s="94" t="s">
        <v>182</v>
      </c>
      <c r="E32" s="77" t="str">
        <f t="shared" si="0"/>
        <v>"[COMMENT RULE - STRICT] Code MUST include sufficient inline comments explaining important lines and logical blocks | " &amp;</v>
      </c>
      <c r="F32" s="54" t="s">
        <v>224</v>
      </c>
    </row>
    <row r="33" spans="1:6">
      <c r="A33">
        <f t="shared" si="1"/>
        <v>77</v>
      </c>
      <c r="B33" s="84" t="s">
        <v>271</v>
      </c>
      <c r="C33" s="54" t="s">
        <v>183</v>
      </c>
      <c r="D33" s="94" t="s">
        <v>184</v>
      </c>
      <c r="E33" s="77" t="str">
        <f t="shared" si="0"/>
        <v>"[COMMENT DEPTH RULE] Comments MUST explain WHAT the code does AND WHY it is written that way | " &amp;</v>
      </c>
      <c r="F33" s="54" t="s">
        <v>224</v>
      </c>
    </row>
    <row r="34" spans="1:6">
      <c r="A34">
        <f t="shared" si="1"/>
        <v>101</v>
      </c>
      <c r="B34" s="84" t="s">
        <v>271</v>
      </c>
      <c r="C34" s="54" t="s">
        <v>197</v>
      </c>
      <c r="D34" s="94" t="s">
        <v>198</v>
      </c>
      <c r="E34" s="77" t="str">
        <f t="shared" si="0"/>
        <v>"[EXPLANATION RULE] Explanation within 'Mini-Lección' MUST explain WHAT, WHY, HOW, and real-world context concisely | " &amp;</v>
      </c>
      <c r="F34" s="54" t="s">
        <v>224</v>
      </c>
    </row>
    <row r="35" spans="1:6">
      <c r="A35">
        <f t="shared" si="1"/>
        <v>47</v>
      </c>
      <c r="B35" s="84" t="s">
        <v>271</v>
      </c>
      <c r="C35" s="54" t="s">
        <v>199</v>
      </c>
      <c r="D35" s="94" t="s">
        <v>200</v>
      </c>
      <c r="E35" s="77" t="str">
        <f t="shared" si="0"/>
        <v>"[LEARNING RULE] Each example MUST highlight a key insight | " &amp;</v>
      </c>
      <c r="F35" s="54" t="s">
        <v>224</v>
      </c>
    </row>
    <row r="36" spans="1:6">
      <c r="A36">
        <f t="shared" si="1"/>
        <v>53</v>
      </c>
      <c r="B36" s="84" t="s">
        <v>271</v>
      </c>
      <c r="C36" s="54" t="s">
        <v>201</v>
      </c>
      <c r="D36" s="94" t="s">
        <v>202</v>
      </c>
      <c r="E36" s="77" t="str">
        <f t="shared" si="0"/>
        <v>"[COMMON MISTAKES RULE] Include a short mistake note after each example | " &amp;</v>
      </c>
      <c r="F36" s="54" t="s">
        <v>224</v>
      </c>
    </row>
    <row r="37" spans="1:6">
      <c r="A37">
        <f t="shared" si="1"/>
        <v>63</v>
      </c>
      <c r="B37" s="84" t="s">
        <v>271</v>
      </c>
      <c r="C37" s="54" t="s">
        <v>203</v>
      </c>
      <c r="D37" s="94" t="s">
        <v>204</v>
      </c>
      <c r="E37" s="77" t="str">
        <f t="shared" si="0"/>
        <v>"[MINI CHALLENGE RULE] Include a short reinforcement question after each example | " &amp;</v>
      </c>
      <c r="F37" s="54" t="s">
        <v>224</v>
      </c>
    </row>
    <row r="38" spans="1:6">
      <c r="A38">
        <f t="shared" si="1"/>
        <v>51</v>
      </c>
      <c r="B38" s="84" t="s">
        <v>271</v>
      </c>
      <c r="C38" s="54" t="s">
        <v>205</v>
      </c>
      <c r="D38" s="94" t="s">
        <v>206</v>
      </c>
      <c r="E38" s="77" t="str">
        <f t="shared" si="0"/>
        <v>"[REAL WORLD RULE] Connect each example to a real-world use case | " &amp;</v>
      </c>
      <c r="F38" s="54" t="s">
        <v>224</v>
      </c>
    </row>
    <row r="39" spans="1:6">
      <c r="A39">
        <f t="shared" si="1"/>
        <v>45</v>
      </c>
      <c r="B39" s="84" t="s">
        <v>271</v>
      </c>
      <c r="C39" s="54" t="s">
        <v>207</v>
      </c>
      <c r="D39" s="94" t="s">
        <v>208</v>
      </c>
      <c r="E39" s="77" t="str">
        <f t="shared" si="0"/>
        <v>"[FORMAT RULE] Only valid markdown code blocks allowed | " &amp;</v>
      </c>
      <c r="F39" s="54" t="s">
        <v>224</v>
      </c>
    </row>
    <row r="40" spans="1:6">
      <c r="A40">
        <f t="shared" si="1"/>
        <v>120</v>
      </c>
      <c r="B40" s="84" t="s">
        <v>271</v>
      </c>
      <c r="C40" s="54" t="s">
        <v>209</v>
      </c>
      <c r="D40" s="94" t="s">
        <v>210</v>
      </c>
      <c r="E40" s="77" t="str">
        <f t="shared" si="0"/>
        <v>"[LANGUAGE TAG RULE] ALWAYS label markdown code blocks with the correct underlying programming language (e.g., python, javascript, sql) | " &amp;</v>
      </c>
      <c r="F40" s="54" t="s">
        <v>224</v>
      </c>
    </row>
    <row r="41" spans="1:6">
      <c r="A41">
        <f t="shared" si="1"/>
        <v>58</v>
      </c>
      <c r="B41" s="84" t="s">
        <v>271</v>
      </c>
      <c r="C41" s="54" t="s">
        <v>212</v>
      </c>
      <c r="D41" s="94" t="s">
        <v>213</v>
      </c>
      <c r="E41" s="77" t="str">
        <f t="shared" si="0"/>
        <v>"[CONSISTENCY RULE] All examples MUST have similar complexity and length | " &amp;</v>
      </c>
      <c r="F41" s="54" t="s">
        <v>224</v>
      </c>
    </row>
    <row r="42" spans="1:6">
      <c r="A42">
        <f t="shared" si="1"/>
        <v>75</v>
      </c>
      <c r="B42" s="84" t="s">
        <v>271</v>
      </c>
      <c r="C42" s="54" t="s">
        <v>214</v>
      </c>
      <c r="D42" s="94" t="s">
        <v>232</v>
      </c>
      <c r="E42" s="77" t="str">
        <f t="shared" si="0"/>
        <v>"[FINAL OUTPUT RULE] Include Key Takeaway section at the end | " &amp; IF(AJ9&lt;&gt;"", AJ9, "") &amp;" | " &amp;</v>
      </c>
      <c r="F42" s="54" t="s">
        <v>224</v>
      </c>
    </row>
    <row r="43" spans="1:6">
      <c r="A43">
        <f t="shared" si="1"/>
        <v>422</v>
      </c>
      <c r="B43" s="84" t="s">
        <v>271</v>
      </c>
      <c r="C43" s="54" t="s">
        <v>174</v>
      </c>
      <c r="D43" s="94" t="s">
        <v>704</v>
      </c>
      <c r="E43" s="77" t="str">
        <f t="shared" si="0"/>
        <v>"[DATA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v>
      </c>
      <c r="F43" s="54" t="s">
        <v>224</v>
      </c>
    </row>
    <row r="44" spans="1:6">
      <c r="A44">
        <f t="shared" si="1"/>
        <v>152</v>
      </c>
      <c r="B44" s="84" t="s">
        <v>271</v>
      </c>
      <c r="C44" s="54" t="s">
        <v>175</v>
      </c>
      <c r="D44" s="94" t="s">
        <v>176</v>
      </c>
      <c r="E44" s="77" t="str">
        <f t="shared" si="0"/>
        <v>"[DATA SUMMARY FORMAT RULE] When a dataset is present, you MUST display IMMEDIATELY AFTER THE HEADER: Dataset Summary: - File Type: - Columns / Fields: - Data Types: - Notes: | " &amp;</v>
      </c>
      <c r="F44" s="54" t="s">
        <v>224</v>
      </c>
    </row>
    <row r="45" spans="1:6">
      <c r="A45">
        <f t="shared" si="1"/>
        <v>28</v>
      </c>
      <c r="B45" s="84" t="s">
        <v>271</v>
      </c>
      <c r="C45" s="54" t="s">
        <v>192</v>
      </c>
      <c r="D45" s="94" t="s">
        <v>193</v>
      </c>
      <c r="E45" s="77" t="str">
        <f t="shared" si="0"/>
        <v>"[DATA CONSISTENCY RULE] Respect dataset schema | " &amp;</v>
      </c>
      <c r="F45" s="54" t="s">
        <v>224</v>
      </c>
    </row>
    <row r="46" spans="1:6">
      <c r="A46">
        <f t="shared" si="1"/>
        <v>87</v>
      </c>
      <c r="B46" s="84" t="s">
        <v>271</v>
      </c>
      <c r="C46" s="54" t="s">
        <v>185</v>
      </c>
      <c r="D46" s="94" t="s">
        <v>186</v>
      </c>
      <c r="E46" s="77" t="str">
        <f t="shared" si="0"/>
        <v>"[COMMENT DENSITY RULE] Beginner = high, Intermediate = medium, Advanced = lower but present in key logic | " &amp;</v>
      </c>
      <c r="F46" s="54" t="s">
        <v>224</v>
      </c>
    </row>
    <row r="47" spans="1:6">
      <c r="A47">
        <f t="shared" si="1"/>
        <v>33</v>
      </c>
      <c r="B47" s="84" t="s">
        <v>271</v>
      </c>
      <c r="C47" s="54" t="s">
        <v>195</v>
      </c>
      <c r="D47" s="94" t="s">
        <v>196</v>
      </c>
      <c r="E47" s="77" t="str">
        <f t="shared" si="0"/>
        <v>"[DIFFICULTY RULE] Complexity MUST match level | " &amp;</v>
      </c>
      <c r="F47" s="54" t="s">
        <v>224</v>
      </c>
    </row>
    <row r="48" spans="1:6">
      <c r="A48">
        <f t="shared" si="1"/>
        <v>78</v>
      </c>
      <c r="B48" s="84" t="s">
        <v>271</v>
      </c>
      <c r="C48" s="54" t="s">
        <v>216</v>
      </c>
      <c r="D48" s="94" t="s">
        <v>217</v>
      </c>
      <c r="E48" s="77" t="str">
        <f t="shared" si="0"/>
        <v>"[OUTPUT] Only header, introduction, examples, outputs, notes, summary, and footer | " &amp;</v>
      </c>
      <c r="F48" s="54" t="s">
        <v>224</v>
      </c>
    </row>
    <row r="49" spans="1:6">
      <c r="A49">
        <f t="shared" si="1"/>
        <v>166</v>
      </c>
      <c r="B49" s="84" t="s">
        <v>271</v>
      </c>
      <c r="C49" s="54" t="s">
        <v>220</v>
      </c>
      <c r="D49" s="94" t="s">
        <v>233</v>
      </c>
      <c r="E49" s="77" t="str">
        <f>IF(D49="","",""""&amp;C49&amp;" "&amp;IF(C49="[FOOTER RULE - STRICT]",D49,IF(RIGHT(D49,6)=" | "&amp;CHAR(34)&amp;" &amp;",D49,D49&amp;" | "&amp;CHAR(34)&amp;" &amp;")))</f>
        <v>"[FOOTER RULE - STRICT] End your entire response EXACTLY with this markdown string (ensure all code blocks are closed before it): ⚡ *Coding5s System — Learn Programming by Writing Code* | ",</v>
      </c>
      <c r="F49" s="54" t="s">
        <v>224</v>
      </c>
    </row>
    <row r="50" spans="1:6">
      <c r="B50" s="84"/>
      <c r="C50" s="54"/>
      <c r="D50" s="94"/>
      <c r="E50" s="88" t="str">
        <f>"IF(H9=""PROJECT"", Z9, """"))"</f>
        <v>IF(H9="PROJECT", Z9, ""))</v>
      </c>
      <c r="F50" s="54"/>
    </row>
    <row r="51" spans="1:6">
      <c r="B51" s="74"/>
      <c r="C51" s="74"/>
      <c r="E51" s="86"/>
    </row>
    <row r="52" spans="1:6">
      <c r="B52" s="74"/>
      <c r="C52" s="74"/>
      <c r="E52" s="86"/>
    </row>
    <row r="53" spans="1:6" ht="36">
      <c r="B53" s="79" t="s">
        <v>447</v>
      </c>
      <c r="C53" s="74"/>
      <c r="E53" s="86"/>
    </row>
    <row r="54" spans="1:6">
      <c r="B54" s="76" t="s">
        <v>264</v>
      </c>
      <c r="C54" s="76" t="s">
        <v>579</v>
      </c>
      <c r="D54" s="76" t="s">
        <v>580</v>
      </c>
      <c r="E54" s="88" t="s">
        <v>265</v>
      </c>
      <c r="F54" s="32" t="s">
        <v>224</v>
      </c>
    </row>
    <row r="55" spans="1:6">
      <c r="B55" s="54" t="s">
        <v>222</v>
      </c>
      <c r="C55" s="54" t="s">
        <v>162</v>
      </c>
      <c r="D55" s="94" t="s">
        <v>268</v>
      </c>
      <c r="E55" s="77" t="str">
        <f>IF(D55="","",""""&amp;C55&amp;" "&amp;IF(C55="[FOOTER RULE - STRICT]",D55,IF(RIGHT(D55,6)=" | "&amp;CHAR(34)&amp;" &amp;",D55,D55&amp;" | "&amp;CHAR(34)&amp;" &amp;")))</f>
        <v>"[TASK] Teach through a practical " &amp; $I$2 &amp; " - " &amp; $I$3 &amp; " project following the micro-learning methodology, acting as a supportive tutor, creating a project about  " &amp; I9 &amp; " | " &amp;</v>
      </c>
      <c r="F55" s="32" t="s">
        <v>224</v>
      </c>
    </row>
    <row r="56" spans="1:6">
      <c r="B56" s="54" t="s">
        <v>222</v>
      </c>
      <c r="C56" s="54" t="s">
        <v>253</v>
      </c>
      <c r="D56" s="94" t="s">
        <v>712</v>
      </c>
      <c r="E56" s="77" t="str">
        <f t="shared" ref="E56:E79" si="2">IF(D56="","",""""&amp;C56&amp;" "&amp;IF(C56="[FOOTER RULE - STRICT]",D56,IF(RIGHT(D56,6)=" | "&amp;CHAR(34)&amp;" &amp;",D56,D56&amp;" | "&amp;CHAR(34)&amp;" &amp;")))</f>
        <v>"[TOPICS USED] " &amp; A9 &amp; " | " &amp;</v>
      </c>
      <c r="F56" s="32" t="s">
        <v>224</v>
      </c>
    </row>
    <row r="57" spans="1:6">
      <c r="B57" s="54" t="s">
        <v>222</v>
      </c>
      <c r="C57" s="54" t="s">
        <v>166</v>
      </c>
      <c r="D57" s="94" t="s">
        <v>167</v>
      </c>
      <c r="E57" s="77" t="str">
        <f t="shared" si="2"/>
        <v>"[LEVEL] " &amp; G9 &amp; " | " &amp;</v>
      </c>
      <c r="F57" s="32" t="s">
        <v>224</v>
      </c>
    </row>
    <row r="58" spans="1:6">
      <c r="B58" s="54" t="s">
        <v>222</v>
      </c>
      <c r="C58" s="54" t="s">
        <v>229</v>
      </c>
      <c r="D58" s="94" t="s">
        <v>267</v>
      </c>
      <c r="E58" s="77" t="str">
        <f t="shared" si="2"/>
        <v>"[LIBRARY BEING LEARNED] " &amp; $I$3 &amp; " | " &amp;</v>
      </c>
      <c r="F58" s="32" t="s">
        <v>224</v>
      </c>
    </row>
    <row r="59" spans="1:6">
      <c r="B59" s="83" t="s">
        <v>223</v>
      </c>
      <c r="C59" s="32" t="s">
        <v>225</v>
      </c>
      <c r="D59" s="137" t="str">
        <f>"If a module or ecosystem like Pandas or Numpy is specified in "&amp; CHAR(34) &amp;" &amp; $I$3 &amp; "&amp; CHAR(34) &amp;", you are CRITICALLY FORBIDDEN from using "&amp; Variables!E16 &amp;". You MUST enforce the "&amp; Variables!E17 &amp;" and data structures of that specific library." &amp; " | " &amp; CHAR(34) &amp; " &amp;"</f>
        <v>If a module or ecosystem like Pandas or Numpy is specified in " &amp; $I$3 &amp;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 &amp;</v>
      </c>
      <c r="E59" s="77"/>
      <c r="F59" s="32" t="s">
        <v>224</v>
      </c>
    </row>
    <row r="60" spans="1:6">
      <c r="B60" s="54" t="s">
        <v>222</v>
      </c>
      <c r="C60" s="54" t="s">
        <v>172</v>
      </c>
      <c r="D60" s="94" t="s">
        <v>254</v>
      </c>
      <c r="E60" s="7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60" s="32" t="s">
        <v>224</v>
      </c>
    </row>
    <row r="61" spans="1:6">
      <c r="B61" s="54" t="s">
        <v>222</v>
      </c>
      <c r="C61" s="54" t="s">
        <v>491</v>
      </c>
      <c r="D61" s="94" t="s">
        <v>483</v>
      </c>
      <c r="E61" s="77" t="str">
        <f t="shared" si="2"/>
        <v>"[LANGUAGE SEED CONTEXT] " &amp; IF($AE$7 = "", "Language Seed Not Necessary", "You MUST strictly follow this seed context to enhance, adapt, and naturalize your tone, vocabulary, and instructional quality in " &amp; $B$6 &amp; ": " &amp; $AE$7) &amp; " | " &amp;</v>
      </c>
      <c r="F61" s="32" t="s">
        <v>224</v>
      </c>
    </row>
    <row r="62" spans="1:6">
      <c r="B62" s="54" t="s">
        <v>222</v>
      </c>
      <c r="C62" s="54" t="s">
        <v>218</v>
      </c>
      <c r="D62" s="94" t="s">
        <v>219</v>
      </c>
      <c r="E62" s="77" t="str">
        <f t="shared" si="2"/>
        <v>"[LANGUAGE] " &amp; $B$6 &amp; " | " &amp;</v>
      </c>
      <c r="F62" s="32" t="s">
        <v>224</v>
      </c>
    </row>
    <row r="63" spans="1:6">
      <c r="B63" s="54" t="s">
        <v>223</v>
      </c>
      <c r="C63" s="54" t="s">
        <v>230</v>
      </c>
      <c r="D63" s="94"/>
      <c r="E63" s="77" t="str">
        <f t="shared" ref="E63:E64" si="3">IF(D63="","",""""&amp;C63&amp;" "&amp;IF(C63="[FOOTER RULE - STRICT]",D63,IF(RIGHT(D63,6)=" | "&amp;CHAR(34)&amp;" &amp;",D63,D63&amp;" | "&amp;CHAR(34)&amp;" &amp;")))</f>
        <v/>
      </c>
      <c r="F63" s="32" t="s">
        <v>224</v>
      </c>
    </row>
    <row r="64" spans="1:6">
      <c r="B64" s="54" t="s">
        <v>223</v>
      </c>
      <c r="C64" s="54" t="s">
        <v>230</v>
      </c>
      <c r="D64" s="94"/>
      <c r="E64" s="77" t="str">
        <f t="shared" si="3"/>
        <v/>
      </c>
      <c r="F64" s="32" t="s">
        <v>224</v>
      </c>
    </row>
    <row r="65" spans="2:6">
      <c r="B65" s="54" t="s">
        <v>223</v>
      </c>
      <c r="C65" s="32" t="s">
        <v>601</v>
      </c>
      <c r="D65" s="137" t="str">
        <f>"If using external packages, use " &amp; Variables!E6 &amp; " at the top of the code block. Assume no project configuration file exists." &amp; " | " &amp; CHAR(34) &amp; " &amp;"</f>
        <v>If using external packages, use Dart asynchronous primitives, Futures, Streams, async/await flows, and isolate execution models utilizing top-level main(). at the top of the code block. Assume no project configuration file exists. | " &amp;</v>
      </c>
      <c r="E65" s="77" t="str">
        <f t="shared" si="2"/>
        <v>"[INLINE_PACKAGE_MANAGER] If using external packages, use Dart asynchronous primitives, Futures, Streams, async/await flows, and isolate execution models utilizing top-level main(). at the top of the code block. Assume no project configuration file exists. | " &amp;</v>
      </c>
      <c r="F65" s="32" t="s">
        <v>224</v>
      </c>
    </row>
    <row r="66" spans="2:6">
      <c r="B66" s="54" t="s">
        <v>223</v>
      </c>
      <c r="C66" s="32" t="s">
        <v>608</v>
      </c>
      <c r="D66" s="137" t="str">
        <f>Variables!E21</f>
        <v>Standard basic logic validation using native assert statements.</v>
      </c>
      <c r="E66" s="77" t="str">
        <f t="shared" si="2"/>
        <v>"[CODE_CONSTRAINTS_RULE] Standard basic logic validation using native assert statements. | " &amp;</v>
      </c>
      <c r="F66" s="32" t="s">
        <v>224</v>
      </c>
    </row>
    <row r="67" spans="2:6">
      <c r="B67" s="54" t="s">
        <v>223</v>
      </c>
      <c r="C67" s="32" t="s">
        <v>616</v>
      </c>
      <c r="D67" s="137" t="str">
        <f>"1. Use " &amp; Variables!E18 &amp; " to map code to the planning phase. 2. Use " &amp; Variables!E19 &amp; ". 3. CRITICAL: NO comment or docstring line may exceed " &amp; Variables!E20 &amp; " in width. | " &amp; CHAR(34) &amp; " &amp;"</f>
        <v>1. Use visual block tags separating script sections (e.g., '// --- BLOQUE 1: [NAME] ---') to map code to the planning phase. 2. Use comprehensive doc comments using triple slashes ('///') explaining asynchronous parameters, Future return types, and exceptions. 3. CRITICAL: NO comment or docstring line may exceed 80 characters (Effective Dart standard) in width. | " &amp;</v>
      </c>
      <c r="E67" s="77" t="str">
        <f t="shared" si="2"/>
        <v>"[VISUAL_ARCHITECTURE_COMMENTS] 1. Use visual block tags separating script sections (e.g., '// --- BLOQUE 1: [NAME] ---') to map code to the planning phase. 2. Use comprehensive doc comments using triple slashes ('///') explaining asynchronous parameters, Future return types, and exceptions. 3. CRITICAL: NO comment or docstring line may exceed 80 characters (Effective Dart standard) in width. | " &amp;</v>
      </c>
      <c r="F67" s="32" t="s">
        <v>224</v>
      </c>
    </row>
    <row r="68" spans="2:6">
      <c r="B68" s="84" t="s">
        <v>271</v>
      </c>
      <c r="C68" s="54" t="s">
        <v>190</v>
      </c>
      <c r="D68" s="94" t="s">
        <v>419</v>
      </c>
      <c r="E68" s="77" t="str">
        <f t="shared" si="2"/>
        <v>"[DATA ROBUSTNESS RULE] Handle real-world data safely | " &amp;</v>
      </c>
      <c r="F68" s="32" t="s">
        <v>224</v>
      </c>
    </row>
    <row r="69" spans="2:6">
      <c r="B69" s="84" t="s">
        <v>271</v>
      </c>
      <c r="C69" s="54" t="s">
        <v>178</v>
      </c>
      <c r="D69" s="94" t="s">
        <v>598</v>
      </c>
      <c r="E69" s="77" t="str">
        <f t="shared" si="2"/>
        <v>"[CODE CONSTRAINTS] MUST be between " &amp; IF(G9="Beginner", "25–40", IF(G9="Intermediate", "30–60", "40–100")) &amp; " lines (STRICT) - Multi-step flow | " &amp;</v>
      </c>
      <c r="F69" s="32" t="s">
        <v>224</v>
      </c>
    </row>
    <row r="70" spans="2:6">
      <c r="B70" s="84" t="s">
        <v>271</v>
      </c>
      <c r="C70" s="54" t="s">
        <v>194</v>
      </c>
      <c r="D70" s="94" t="s">
        <v>425</v>
      </c>
      <c r="E70" s="77" t="str">
        <f t="shared" si="2"/>
        <v>"[SUPPORT FILES RULE] Include config files before code if needed | " &amp;</v>
      </c>
      <c r="F70" s="32" t="s">
        <v>224</v>
      </c>
    </row>
    <row r="71" spans="2:6">
      <c r="B71" s="84" t="s">
        <v>271</v>
      </c>
      <c r="C71" s="54" t="s">
        <v>174</v>
      </c>
      <c r="D71" s="94" t="s">
        <v>255</v>
      </c>
      <c r="E71"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71" s="32" t="s">
        <v>224</v>
      </c>
    </row>
    <row r="72" spans="2:6">
      <c r="B72" s="84" t="s">
        <v>271</v>
      </c>
      <c r="C72" s="54" t="s">
        <v>177</v>
      </c>
      <c r="D72" s="94" t="s">
        <v>256</v>
      </c>
      <c r="E72" s="77" t="str">
        <f t="shared" si="2"/>
        <v>"[OUTPUT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v>
      </c>
      <c r="F72" s="32" t="s">
        <v>224</v>
      </c>
    </row>
    <row r="73" spans="2:6">
      <c r="B73" s="84" t="s">
        <v>271</v>
      </c>
      <c r="C73" s="54" t="s">
        <v>180</v>
      </c>
      <c r="D73" s="94" t="s">
        <v>257</v>
      </c>
      <c r="E73" s="77" t="str">
        <f t="shared" si="2"/>
        <v>"[CODE QUALITY RULE] Code MUST be clean, readable, correct, and educational | " &amp;</v>
      </c>
      <c r="F73" s="32" t="s">
        <v>224</v>
      </c>
    </row>
    <row r="74" spans="2:6">
      <c r="B74" s="84" t="s">
        <v>271</v>
      </c>
      <c r="C74" s="54" t="s">
        <v>207</v>
      </c>
      <c r="D74" s="94" t="s">
        <v>258</v>
      </c>
      <c r="E74" s="77" t="str">
        <f t="shared" si="2"/>
        <v>"[FORMAT RULE] Only markdown code blocks allowed | " &amp;</v>
      </c>
      <c r="F74" s="32" t="s">
        <v>224</v>
      </c>
    </row>
    <row r="75" spans="2:6">
      <c r="B75" s="84" t="s">
        <v>271</v>
      </c>
      <c r="C75" s="54" t="s">
        <v>259</v>
      </c>
      <c r="D75" s="94" t="s">
        <v>260</v>
      </c>
      <c r="E75" s="77" t="str">
        <f t="shared" si="2"/>
        <v>"[EXECUTION RULE] Code MUST run and produce correct output | " &amp;</v>
      </c>
      <c r="F75" s="32" t="s">
        <v>224</v>
      </c>
    </row>
    <row r="76" spans="2:6">
      <c r="B76" s="84" t="s">
        <v>271</v>
      </c>
      <c r="C76" s="54" t="s">
        <v>212</v>
      </c>
      <c r="D76" s="94" t="s">
        <v>261</v>
      </c>
      <c r="E76" s="77" t="str">
        <f t="shared" si="2"/>
        <v>"[CONSISTENCY RULE] Project must match objective | " &amp;</v>
      </c>
      <c r="F76" s="32" t="s">
        <v>224</v>
      </c>
    </row>
    <row r="77" spans="2:6">
      <c r="B77" s="84" t="s">
        <v>271</v>
      </c>
      <c r="C77" s="54" t="s">
        <v>215</v>
      </c>
      <c r="D77" s="94" t="s">
        <v>582</v>
      </c>
      <c r="E77" s="77" t="str">
        <f t="shared" si="2"/>
        <v>"[HEADER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v>
      </c>
      <c r="F77" s="32" t="s">
        <v>224</v>
      </c>
    </row>
    <row r="78" spans="2:6">
      <c r="B78" s="84" t="s">
        <v>271</v>
      </c>
      <c r="C78" s="54" t="s">
        <v>216</v>
      </c>
      <c r="D78" s="94" t="s">
        <v>262</v>
      </c>
      <c r="E78" s="77" t="str">
        <f t="shared" si="2"/>
        <v>"[OUTPUT] Only header, dataset notice, objective, support file, code planning, expected output, code, and footer | " &amp;</v>
      </c>
      <c r="F78" s="32" t="s">
        <v>224</v>
      </c>
    </row>
    <row r="79" spans="2:6">
      <c r="B79" s="84" t="s">
        <v>271</v>
      </c>
      <c r="C79" s="54" t="s">
        <v>220</v>
      </c>
      <c r="D79" s="94" t="s">
        <v>263</v>
      </c>
      <c r="E79" s="77" t="str">
        <f t="shared" si="2"/>
        <v>"[FOOTER RULE - STRICT] End your entire response EXACTLY with this markdown string (ensure all code blocks are closed before it):" &amp; CHAR(10) &amp; "---" &amp; CHAR(10) &amp; "⚡ *Coding5s System — Learn Programming by Writing Code*")</v>
      </c>
      <c r="F79" s="32" t="s">
        <v>224</v>
      </c>
    </row>
    <row r="80" spans="2:6">
      <c r="E80" s="86"/>
      <c r="F80" t="s">
        <v>224</v>
      </c>
    </row>
    <row r="82" spans="2:6" ht="36">
      <c r="B82" s="80" t="s">
        <v>269</v>
      </c>
    </row>
    <row r="83" spans="2:6">
      <c r="B83" s="76" t="s">
        <v>221</v>
      </c>
      <c r="C83" s="76" t="s">
        <v>579</v>
      </c>
      <c r="D83" s="76" t="s">
        <v>580</v>
      </c>
      <c r="E83" s="88" t="s">
        <v>234</v>
      </c>
      <c r="F83" s="54" t="s">
        <v>224</v>
      </c>
    </row>
    <row r="84" spans="2:6">
      <c r="B84" s="54" t="s">
        <v>222</v>
      </c>
      <c r="C84" s="54" t="s">
        <v>235</v>
      </c>
      <c r="D84" s="94" t="s">
        <v>249</v>
      </c>
      <c r="E84" s="77" t="str">
        <f t="shared" ref="E84:E104" si="4">IF(D84="","",""""&amp;C84&amp;" "&amp;IF(C84="[FOOTER RULE - STRICT]",D84,IF(RIGHT(D84,6)=" | "&amp;CHAR(34)&amp;" &amp;",D84,D84&amp;" | "&amp;CHAR(34)&amp;" &amp;")))</f>
        <v>"[MENTOR_S1_SAFE_GUIDE] 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v>
      </c>
      <c r="F84" s="54" t="s">
        <v>224</v>
      </c>
    </row>
    <row r="85" spans="2:6">
      <c r="B85" s="54" t="s">
        <v>222</v>
      </c>
      <c r="C85" s="54" t="s">
        <v>236</v>
      </c>
      <c r="D85" s="94" t="s">
        <v>245</v>
      </c>
      <c r="E85" s="77" t="str">
        <f t="shared" si="4"/>
        <v>"[CULTURAL &amp; JARGON RULE] 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v>
      </c>
      <c r="F85" s="54" t="s">
        <v>224</v>
      </c>
    </row>
    <row r="86" spans="2:6">
      <c r="B86" s="54" t="s">
        <v>222</v>
      </c>
      <c r="C86" s="54" t="s">
        <v>237</v>
      </c>
      <c r="D86" s="94" t="s">
        <v>713</v>
      </c>
      <c r="E86" s="77" t="str">
        <f t="shared" si="4"/>
        <v>"[CONTEXT] You are helping a Junior Developer who is " &amp; IF(UPPER(H9)="PROJECT", "building a PROJECT: " &amp; I9 &amp; ". Topics applied in this project: " &amp; A9 &amp; ". Project objective: " &amp; J9, "learning: " &amp; I9 &amp; ". Topic details: " &amp; J9) &amp; " | " &amp;</v>
      </c>
      <c r="F86" s="54" t="s">
        <v>224</v>
      </c>
    </row>
    <row r="87" spans="2:6">
      <c r="B87" s="54" t="s">
        <v>222</v>
      </c>
      <c r="C87" s="54" t="s">
        <v>229</v>
      </c>
      <c r="D87" s="94" t="s">
        <v>267</v>
      </c>
      <c r="E87" s="77" t="str">
        <f t="shared" si="4"/>
        <v>"[LIBRARY BEING LEARNED] " &amp; $I$3 &amp; " | " &amp;</v>
      </c>
      <c r="F87" s="54"/>
    </row>
    <row r="88" spans="2:6">
      <c r="B88" s="54" t="s">
        <v>222</v>
      </c>
      <c r="C88" s="54" t="s">
        <v>172</v>
      </c>
      <c r="D88" s="94" t="s">
        <v>247</v>
      </c>
      <c r="E88" s="77" t="str">
        <f t="shared" si="4"/>
        <v>"[LANGUAGE CONSISTENCY RULE] ALL output text MUST be written strictly in (" &amp; $B$6 &amp; "). | " &amp;</v>
      </c>
      <c r="F88" s="54" t="s">
        <v>224</v>
      </c>
    </row>
    <row r="89" spans="2:6">
      <c r="B89" s="54" t="s">
        <v>222</v>
      </c>
      <c r="C89" s="54" t="s">
        <v>491</v>
      </c>
      <c r="D89" s="94" t="s">
        <v>483</v>
      </c>
      <c r="E89" s="77" t="str">
        <f t="shared" si="4"/>
        <v>"[LANGUAGE SEED CONTEXT] " &amp; IF($AE$7 = "", "Language Seed Not Necessary", "You MUST strictly follow this seed context to enhance, adapt, and naturalize your tone, vocabulary, and instructional quality in " &amp; $B$6 &amp; ": " &amp; $AE$7) &amp; " | " &amp;</v>
      </c>
      <c r="F89" s="54" t="s">
        <v>224</v>
      </c>
    </row>
    <row r="90" spans="2:6">
      <c r="B90" s="54" t="s">
        <v>222</v>
      </c>
      <c r="C90" s="54" t="s">
        <v>218</v>
      </c>
      <c r="D90" s="94" t="s">
        <v>250</v>
      </c>
      <c r="E90" s="77" t="str">
        <f>IF(D90="","",""""&amp;C90&amp;" "&amp;IF(C90="[FOOTER RULE - STRICT]",D90,IF(RIGHT(D90,6)=" | "&amp;CHAR(34)&amp;" &amp;",D90,D90&amp;" | "&amp;CHAR(34)&amp;" &amp;")))</f>
        <v>"[LANGUAGE] " &amp; $B$6 &amp;" | " &amp;</v>
      </c>
      <c r="F90" s="54" t="s">
        <v>224</v>
      </c>
    </row>
    <row r="91" spans="2:6">
      <c r="B91" s="54" t="s">
        <v>223</v>
      </c>
      <c r="C91" s="54" t="s">
        <v>230</v>
      </c>
      <c r="D91" s="94"/>
      <c r="E91" s="77" t="str">
        <f t="shared" ref="E91:E92" si="5">IF(D91="","",""""&amp;C91&amp;" "&amp;IF(C91="[FOOTER RULE - STRICT]",D91,IF(RIGHT(D91,6)=" | "&amp;CHAR(34)&amp;" &amp;",D91,D91&amp;" | "&amp;CHAR(34)&amp;" &amp;")))</f>
        <v/>
      </c>
      <c r="F91" s="54" t="s">
        <v>224</v>
      </c>
    </row>
    <row r="92" spans="2:6">
      <c r="B92" s="54" t="s">
        <v>223</v>
      </c>
      <c r="C92" s="54" t="s">
        <v>230</v>
      </c>
      <c r="D92" s="94"/>
      <c r="E92" s="77" t="str">
        <f t="shared" si="5"/>
        <v/>
      </c>
      <c r="F92" s="54" t="s">
        <v>224</v>
      </c>
    </row>
    <row r="93" spans="2:6">
      <c r="B93" s="54" t="s">
        <v>223</v>
      </c>
      <c r="C93" s="32" t="s">
        <v>620</v>
      </c>
      <c r="D93" s="94" t="str">
        <f>CHAR(34) &amp; " &amp; IF(G9=" &amp; CHAR(34) &amp; "Beginner" &amp; CHAR(34) &amp; ", " &amp; CHAR(34) &amp; Variables!E22 &amp; CHAR(34) &amp; ", IF(G9=" &amp; CHAR(34) &amp; "Intermediate" &amp; CHAR(34) &amp; ", " &amp; CHAR(34) &amp; Variables!E23 &amp; CHAR(34) &amp; ", " &amp; CHAR(34) &amp; Variables!E24 &amp; CHAR(34) &amp; ")) &amp; " &amp; CHAR(34) &amp; " | " &amp; CHAR(34) &amp; " &amp;"</f>
        <v>" &amp; IF(G9="Beginner", "Evaluate based on basic async/await usage and Future resolution inside main(). Do NOT expect raw isolates or complex stream transformers unless explicitly demanded.", IF(G9="Intermediate", "Expect clean asynchronous functions, proper error handling (try-catch), Stream listeners, and correct event-loop flow control. Enforce solid concurrency principles.", "Expect advanced multi-threading architecture using Isolate, bidirectional communication ports (SendPort/ReceivePort), custom async generators, and stream manipulation.")) &amp; " | " &amp;</v>
      </c>
      <c r="E93" s="77" t="str">
        <f>IF(D93="","",""""&amp;C93&amp;" "&amp;IF(C93="[FOOTER RULE - STRICT]",D93,IF(RIGHT(D93,6)=" | "&amp;CHAR(34)&amp;" &amp;",D93,D93&amp;" | "&amp;CHAR(34)&amp;" &amp;")))</f>
        <v>"[MENTOR_SCOPE_EXPECTATIONS] " &amp; IF(G9="Beginner", "Evaluate based on basic async/await usage and Future resolution inside main(). Do NOT expect raw isolates or complex stream transformers unless explicitly demanded.", IF(G9="Intermediate", "Expect clean asynchronous functions, proper error handling (try-catch), Stream listeners, and correct event-loop flow control. Enforce solid concurrency principles.", "Expect advanced multi-threading architecture using Isolate, bidirectional communication ports (SendPort/ReceivePort), custom async generators, and stream manipulation.")) &amp; " | " &amp;</v>
      </c>
      <c r="F93" s="54" t="s">
        <v>224</v>
      </c>
    </row>
    <row r="94" spans="2:6">
      <c r="B94" s="54" t="s">
        <v>223</v>
      </c>
      <c r="C94" s="32" t="s">
        <v>621</v>
      </c>
      <c r="D94" s="94" t="str">
        <f>"Code MUST be idiomatic Python. " &amp; Variables!E25 &amp; " " &amp; Variables!E26 &amp; " " &amp; Variables!E27 &amp; " " &amp; Variables!E28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&amp; IF(AJ9&lt;&gt;"", "[MENTOR CONTEXT ALERT] Be aware of the following infrastructure limitation for this exercise: " &amp; AJ9 &amp; " Use this knowledge to reassure the student if they present an environment error. | ", "") &amp; " | " &amp;</v>
      </c>
      <c r="E94" s="77" t="str">
        <f>IF(D94="","",""""&amp;C94&amp;" "&amp;IF(C94="[FOOTER RULE - STRICT]",D94,IF(RIGHT(D94,6)=" | "&amp;CHAR(34)&amp;" &amp;",D94,D94&amp;" | "&amp;CHAR(34)&amp;" &amp;")))</f>
        <v>"[CODE_QUALITY_POLICIES]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&amp; IF(AJ9&lt;&gt;"", "[MENTOR CONTEXT ALERT] Be aware of the following infrastructure limitation for this exercise: " &amp; AJ9 &amp; " Use this knowledge to reassure the student if they present an environment error. | ", "") &amp; " | " &amp;</v>
      </c>
      <c r="F94" s="54" t="s">
        <v>224</v>
      </c>
    </row>
    <row r="95" spans="2:6">
      <c r="B95" s="84" t="s">
        <v>271</v>
      </c>
      <c r="C95" s="54" t="s">
        <v>174</v>
      </c>
      <c r="D95" s="94" t="s">
        <v>248</v>
      </c>
      <c r="E95" s="77" t="str">
        <f t="shared" si="4"/>
        <v>"[DATA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v>
      </c>
      <c r="F95" s="54" t="s">
        <v>224</v>
      </c>
    </row>
    <row r="96" spans="2:6">
      <c r="B96" s="84" t="s">
        <v>271</v>
      </c>
      <c r="C96" s="54" t="s">
        <v>238</v>
      </c>
      <c r="D96" s="94" t="s">
        <v>251</v>
      </c>
      <c r="E96" s="77" t="str">
        <f t="shared" si="4"/>
        <v>"[EMPTY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v>
      </c>
      <c r="F96" s="54" t="s">
        <v>224</v>
      </c>
    </row>
    <row r="97" spans="2:6">
      <c r="B97" s="84" t="s">
        <v>271</v>
      </c>
      <c r="C97" s="54" t="s">
        <v>162</v>
      </c>
      <c r="D97" s="94" t="s">
        <v>246</v>
      </c>
      <c r="E97" s="77" t="str">
        <f>IF(D97="","",""""&amp;C97&amp;" "&amp;IF(C97="[FOOTER RULE - STRICT]",D97,IF(RIGHT(D97,6)=" | "&amp;CHAR(34)&amp;" &amp;",D97,D97&amp;" | "&amp;CHAR(34)&amp;" &amp;")))</f>
        <v>"[TASK] Analyze the student's code and explanation. If the code is perfect, congratulate them warmly and provide 2 'Bonus Challenges'. Otherwise, follow the 2-PHASE MENTORING PROTOCOL | " &amp;</v>
      </c>
      <c r="F97" s="54" t="s">
        <v>224</v>
      </c>
    </row>
    <row r="98" spans="2:6">
      <c r="B98" s="84" t="s">
        <v>271</v>
      </c>
      <c r="C98" s="54" t="s">
        <v>239</v>
      </c>
      <c r="D98" s="94" t="s">
        <v>311</v>
      </c>
      <c r="E98" s="77" t="str">
        <f t="shared" si="4"/>
        <v>"[ATOMIC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v>
      </c>
      <c r="F98" s="54" t="s">
        <v>224</v>
      </c>
    </row>
    <row r="99" spans="2:6">
      <c r="B99" s="84" t="s">
        <v>271</v>
      </c>
      <c r="C99" s="54" t="s">
        <v>240</v>
      </c>
      <c r="D99" s="94" t="s">
        <v>307</v>
      </c>
      <c r="E99" s="77" t="str">
        <f t="shared" si="4"/>
        <v>"[PHASE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v>
      </c>
      <c r="F99" s="54" t="s">
        <v>224</v>
      </c>
    </row>
    <row r="100" spans="2:6">
      <c r="B100" s="84" t="s">
        <v>271</v>
      </c>
      <c r="C100" s="54" t="s">
        <v>241</v>
      </c>
      <c r="D100" s="94" t="s">
        <v>310</v>
      </c>
      <c r="E100" s="77" t="str">
        <f t="shared" si="4"/>
        <v>"[EXPLANATION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v>
      </c>
      <c r="F100" s="54" t="s">
        <v>224</v>
      </c>
    </row>
    <row r="101" spans="2:6">
      <c r="B101" s="84" t="s">
        <v>271</v>
      </c>
      <c r="C101" s="54" t="s">
        <v>242</v>
      </c>
      <c r="D101" s="94" t="s">
        <v>252</v>
      </c>
      <c r="E101" s="77" t="str">
        <f t="shared" si="4"/>
        <v>"[MINIMAL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v>
      </c>
      <c r="F101" s="54" t="s">
        <v>224</v>
      </c>
    </row>
    <row r="102" spans="2:6">
      <c r="B102" s="84" t="s">
        <v>271</v>
      </c>
      <c r="C102" s="54" t="s">
        <v>244</v>
      </c>
      <c r="D102" s="94" t="s">
        <v>308</v>
      </c>
      <c r="E102" s="77" t="str">
        <f t="shared" si="4"/>
        <v>"[PHASE 2: FULL SOLUTION - STRICT] 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v>
      </c>
      <c r="F102" s="54" t="s">
        <v>224</v>
      </c>
    </row>
    <row r="103" spans="2:6">
      <c r="B103" s="84" t="s">
        <v>271</v>
      </c>
      <c r="C103" s="54" t="s">
        <v>215</v>
      </c>
      <c r="D103" s="94" t="s">
        <v>583</v>
      </c>
      <c r="E103" s="77" t="str">
        <f t="shared" si="4"/>
        <v>"[HEADER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v>
      </c>
      <c r="F103" s="54" t="s">
        <v>224</v>
      </c>
    </row>
    <row r="104" spans="2:6">
      <c r="B104" s="84" t="s">
        <v>271</v>
      </c>
      <c r="C104" s="54" t="s">
        <v>220</v>
      </c>
      <c r="D104" s="94" t="s">
        <v>309</v>
      </c>
      <c r="E104" s="77" t="str">
        <f t="shared" si="4"/>
        <v>"[FOOTER RULE - STRICT] End your response with: '--- ⚡ *Coding5s Mentor System — Eliminating Epistemic Debt*' | ","")</v>
      </c>
      <c r="F104" s="54" t="s">
        <v>224</v>
      </c>
    </row>
  </sheetData>
  <conditionalFormatting sqref="B1:B1048576">
    <cfRule type="cellIs" dxfId="56" priority="19" operator="equal">
      <formula>"The Immutable ""Kernel"""</formula>
    </cfRule>
    <cfRule type="cellIs" dxfId="55" priority="20" operator="equal">
      <formula>"Paradigm &amp; Ecosystem"</formula>
    </cfRule>
    <cfRule type="cellIs" dxfId="54" priority="21" operator="equal">
      <formula>"Global Variables &amp; Configuration"</formula>
    </cfRule>
  </conditionalFormatting>
  <conditionalFormatting sqref="C4:C50">
    <cfRule type="expression" dxfId="53" priority="16">
      <formula>$B4="The Immutable Kernel"</formula>
    </cfRule>
    <cfRule type="expression" dxfId="52" priority="17">
      <formula>$B4="Paradigm &amp; Ecosystem"</formula>
    </cfRule>
    <cfRule type="expression" dxfId="51" priority="18">
      <formula>$B4="Global Variables &amp; Configuration"</formula>
    </cfRule>
  </conditionalFormatting>
  <conditionalFormatting sqref="C55:C79">
    <cfRule type="expression" dxfId="50" priority="1">
      <formula>$B55="The Immutable Kernel"</formula>
    </cfRule>
    <cfRule type="expression" dxfId="49" priority="2">
      <formula>$B55="Paradigm &amp; Ecosystem"</formula>
    </cfRule>
    <cfRule type="expression" dxfId="48" priority="3">
      <formula>$B55="Global Variables &amp; Configuration"</formula>
    </cfRule>
  </conditionalFormatting>
  <conditionalFormatting sqref="C84:C104">
    <cfRule type="expression" dxfId="47" priority="10">
      <formula>$B84="The Immutable Kernel"</formula>
    </cfRule>
    <cfRule type="expression" dxfId="46" priority="11">
      <formula>$B84="Paradigm &amp; Ecosystem"</formula>
    </cfRule>
    <cfRule type="expression" dxfId="45" priority="12">
      <formula>$B84="Global Variables &amp; Configuration"</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4C0D-B07E-409E-B83B-9ECCA7DC7C4D}">
  <sheetPr>
    <tabColor theme="8" tint="0.79998168889431442"/>
  </sheetPr>
  <dimension ref="A2:AC100"/>
  <sheetViews>
    <sheetView showGridLines="0" topLeftCell="A79" zoomScaleNormal="100" workbookViewId="0">
      <selection activeCell="E80" sqref="E80:E97"/>
    </sheetView>
  </sheetViews>
  <sheetFormatPr defaultRowHeight="15"/>
  <cols>
    <col min="1" max="1" width="5.42578125" customWidth="1"/>
    <col min="2" max="2" width="37.42578125" customWidth="1"/>
    <col min="3" max="3" width="33" customWidth="1"/>
    <col min="4" max="4" width="85.28515625" customWidth="1"/>
    <col min="5" max="5" width="39.5703125" style="85" customWidth="1"/>
    <col min="6" max="6" width="4" customWidth="1"/>
  </cols>
  <sheetData>
    <row r="2" spans="1:29" ht="36">
      <c r="B2" s="78" t="s">
        <v>446</v>
      </c>
      <c r="D2" s="81" t="s">
        <v>270</v>
      </c>
      <c r="H2" s="82"/>
      <c r="T2" s="82"/>
    </row>
    <row r="3" spans="1:29">
      <c r="B3" s="76" t="s">
        <v>221</v>
      </c>
      <c r="C3" s="76" t="s">
        <v>579</v>
      </c>
      <c r="D3" s="76" t="s">
        <v>580</v>
      </c>
      <c r="E3" s="88" t="s">
        <v>228</v>
      </c>
      <c r="F3" s="4" t="s">
        <v>224</v>
      </c>
      <c r="AC3" t="s">
        <v>224</v>
      </c>
    </row>
    <row r="4" spans="1:29">
      <c r="A4">
        <f>LEN(D4)</f>
        <v>31</v>
      </c>
      <c r="B4" s="75" t="s">
        <v>222</v>
      </c>
      <c r="C4" s="54" t="s">
        <v>160</v>
      </c>
      <c r="D4" s="93" t="s">
        <v>272</v>
      </c>
      <c r="E4" s="77" t="str">
        <f t="shared" ref="E4:E41" si="0">IF(D4="","",""""&amp;C4&amp;" "&amp;IF(C4="[FOOTER RULE - STRICT]",D4,IF(RIGHT(D4,6)=" | "&amp;CHAR(34)&amp;" &amp;",D4,D4&amp;" | "&amp;CHAR(34)&amp;" &amp;")))</f>
        <v>"[ROLE] Careless " &amp; $I$2 &amp; " Developer | " &amp;</v>
      </c>
      <c r="F4" s="54" t="s">
        <v>224</v>
      </c>
    </row>
    <row r="5" spans="1:29">
      <c r="A5">
        <f t="shared" ref="A5:A42" si="1">LEN(D5)</f>
        <v>47</v>
      </c>
      <c r="B5" s="75" t="s">
        <v>222</v>
      </c>
      <c r="C5" s="54" t="s">
        <v>162</v>
      </c>
      <c r="D5" s="93" t="s">
        <v>273</v>
      </c>
      <c r="E5" s="77" t="str">
        <f t="shared" si="0"/>
        <v>"[TASK] Generate debugging challenges in " &amp; $I$2 &amp; " | | " &amp;</v>
      </c>
      <c r="F5" s="54" t="s">
        <v>224</v>
      </c>
    </row>
    <row r="6" spans="1:29">
      <c r="A6">
        <f t="shared" si="1"/>
        <v>12</v>
      </c>
      <c r="B6" s="75" t="s">
        <v>222</v>
      </c>
      <c r="C6" s="54" t="s">
        <v>164</v>
      </c>
      <c r="D6" s="93" t="s">
        <v>274</v>
      </c>
      <c r="E6" s="77" t="str">
        <f t="shared" si="0"/>
        <v>"[TOPIC] " &amp; I9 &amp; " | | " &amp;</v>
      </c>
      <c r="F6" s="54" t="s">
        <v>224</v>
      </c>
    </row>
    <row r="7" spans="1:29">
      <c r="A7">
        <f t="shared" si="1"/>
        <v>12</v>
      </c>
      <c r="B7" s="75" t="s">
        <v>222</v>
      </c>
      <c r="C7" s="54" t="s">
        <v>166</v>
      </c>
      <c r="D7" s="93" t="s">
        <v>275</v>
      </c>
      <c r="E7" s="77" t="str">
        <f t="shared" si="0"/>
        <v>"[LEVEL] " &amp; G9 &amp; " | | " &amp;</v>
      </c>
      <c r="F7" s="54" t="s">
        <v>224</v>
      </c>
    </row>
    <row r="8" spans="1:29">
      <c r="A8">
        <f t="shared" si="1"/>
        <v>21</v>
      </c>
      <c r="B8" s="75" t="s">
        <v>222</v>
      </c>
      <c r="C8" s="54" t="s">
        <v>168</v>
      </c>
      <c r="D8" s="93" t="s">
        <v>276</v>
      </c>
      <c r="E8" s="77" t="str">
        <f t="shared" si="0"/>
        <v>"[COUNT] " &amp; D9 &amp; " challenges | " &amp;</v>
      </c>
      <c r="F8" s="54" t="s">
        <v>224</v>
      </c>
    </row>
    <row r="9" spans="1:29">
      <c r="A9">
        <f t="shared" si="1"/>
        <v>18</v>
      </c>
      <c r="B9" s="75" t="s">
        <v>222</v>
      </c>
      <c r="C9" s="54" t="s">
        <v>229</v>
      </c>
      <c r="D9" s="93" t="s">
        <v>267</v>
      </c>
      <c r="E9" s="77" t="str">
        <f t="shared" si="0"/>
        <v>"[LIBRARY BEING LEARNED] " &amp; $I$3 &amp; " | " &amp;</v>
      </c>
      <c r="F9" s="54" t="s">
        <v>224</v>
      </c>
    </row>
    <row r="10" spans="1:29">
      <c r="A10">
        <f t="shared" si="1"/>
        <v>492</v>
      </c>
      <c r="B10" s="83" t="s">
        <v>223</v>
      </c>
      <c r="C10" s="32" t="s">
        <v>225</v>
      </c>
      <c r="D10" s="93"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 &amp;</v>
      </c>
      <c r="E10" s="77" t="str">
        <f t="shared" si="0"/>
        <v>"[ECOSYSTEM ORIENTATION RULE] If a data manipulation library, external package, or ecosystem like Pandas or NumPy is specified in " &amp; $I$3 &amp;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 &amp;</v>
      </c>
      <c r="F10" s="54" t="s">
        <v>224</v>
      </c>
    </row>
    <row r="11" spans="1:29">
      <c r="A11">
        <f t="shared" si="1"/>
        <v>313</v>
      </c>
      <c r="B11" s="75" t="s">
        <v>222</v>
      </c>
      <c r="C11" s="54" t="s">
        <v>215</v>
      </c>
      <c r="D11" s="93" t="s">
        <v>584</v>
      </c>
      <c r="E11" s="77" t="str">
        <f t="shared" si="0"/>
        <v>"[HEADER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v>
      </c>
      <c r="F11" s="54" t="s">
        <v>224</v>
      </c>
    </row>
    <row r="12" spans="1:29">
      <c r="A12">
        <f t="shared" si="1"/>
        <v>406</v>
      </c>
      <c r="B12" s="75" t="s">
        <v>222</v>
      </c>
      <c r="C12" s="54" t="s">
        <v>172</v>
      </c>
      <c r="D12" s="93"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1:29">
      <c r="A13">
        <f t="shared" si="1"/>
        <v>214</v>
      </c>
      <c r="B13" s="75" t="s">
        <v>222</v>
      </c>
      <c r="C13" s="54" t="s">
        <v>491</v>
      </c>
      <c r="D13" s="93" t="s">
        <v>483</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1:29">
      <c r="A14">
        <f t="shared" si="1"/>
        <v>0</v>
      </c>
      <c r="B14" s="83" t="s">
        <v>223</v>
      </c>
      <c r="C14" s="54" t="s">
        <v>230</v>
      </c>
      <c r="D14" s="93"/>
      <c r="E14" s="77" t="str">
        <f t="shared" si="0"/>
        <v/>
      </c>
      <c r="F14" s="54" t="s">
        <v>224</v>
      </c>
    </row>
    <row r="15" spans="1:29">
      <c r="A15">
        <f t="shared" si="1"/>
        <v>0</v>
      </c>
      <c r="B15" s="83" t="s">
        <v>223</v>
      </c>
      <c r="C15" s="54" t="s">
        <v>230</v>
      </c>
      <c r="D15" s="93"/>
      <c r="E15" s="77" t="str">
        <f t="shared" si="0"/>
        <v/>
      </c>
      <c r="F15" s="54" t="s">
        <v>224</v>
      </c>
    </row>
    <row r="16" spans="1:29">
      <c r="A16">
        <f t="shared" si="1"/>
        <v>398</v>
      </c>
      <c r="B16" s="83" t="s">
        <v>223</v>
      </c>
      <c r="C16" s="32" t="s">
        <v>188</v>
      </c>
      <c r="D16" s="93" t="str">
        <f>Variables!E29 &amp; " | " &amp; Variables!E30 &amp; " | " &amp; Variables!E31 &amp; " | " &amp; CHAR(34) &amp; " &amp;"</f>
        <v>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 &amp;</v>
      </c>
      <c r="E16" s="77" t="str">
        <f t="shared" si="0"/>
        <v>"[FILE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 &amp;</v>
      </c>
      <c r="F16" s="54" t="s">
        <v>224</v>
      </c>
    </row>
    <row r="17" spans="1:6">
      <c r="A17">
        <f t="shared" si="1"/>
        <v>146</v>
      </c>
      <c r="B17" s="83" t="s">
        <v>223</v>
      </c>
      <c r="C17" s="32" t="s">
        <v>728</v>
      </c>
      <c r="D17" s="93" t="str">
        <f>Variables!E32 &amp; " | " &amp; CHAR(34) &amp; " &amp;"</f>
        <v>Validation using print() statements or native assert statements. Avoid complex dart test suites; keep asynchronous validation inside main(). | " &amp;</v>
      </c>
      <c r="E17" s="77" t="str">
        <f t="shared" si="0"/>
        <v>"[TESTING_FRAMEWORK_RULE] Validation using print() statements or native assert statements. Avoid complex dart test suites; keep asynchronous validation inside main(). | " &amp;</v>
      </c>
      <c r="F17" s="54" t="s">
        <v>224</v>
      </c>
    </row>
    <row r="18" spans="1:6">
      <c r="A18">
        <f t="shared" si="1"/>
        <v>122</v>
      </c>
      <c r="B18" s="54" t="s">
        <v>223</v>
      </c>
      <c r="C18" s="32" t="s">
        <v>729</v>
      </c>
      <c r="D18" s="93" t="str">
        <f>Variables!E33 &amp; " | " &amp; CHAR(34) &amp; " &amp;"</f>
        <v>Standard Dart runtime context. If external packages are needed, specify them strictly in pubspec.yaml support files. | " &amp;</v>
      </c>
      <c r="E18" s="77" t="str">
        <f t="shared" si="0"/>
        <v>"[DEPENDENCY_MANAGEMENT_RULE] Standard Dart runtime context. If external packages are needed, specify them strictly in pubspec.yaml support files. | " &amp;</v>
      </c>
      <c r="F18" s="54" t="s">
        <v>224</v>
      </c>
    </row>
    <row r="19" spans="1:6">
      <c r="A19">
        <f t="shared" si="1"/>
        <v>549</v>
      </c>
      <c r="B19" s="54" t="s">
        <v>223</v>
      </c>
      <c r="C19" s="32" t="s">
        <v>178</v>
      </c>
      <c r="D19" s="93" t="str">
        <f>Variables!E34 &amp; " - " &amp; CHAR(34) &amp; " &amp; IF(G9=" &amp; CHAR(34) &amp; "Beginner" &amp; CHAR(34) &amp; ", " &amp; CHAR(34) &amp; "5–15" &amp; CHAR(34) &amp; ", IF(G9=" &amp; CHAR(34) &amp; "Intermediate" &amp; CHAR(34) &amp; ", " &amp; CHAR(34) &amp; "10–25" &amp; CHAR(34) &amp; ", " &amp; CHAR(34) &amp; "15–35" &amp; CHAR(34) &amp; ")) &amp; " &amp; CHAR(34) &amp; " " &amp; Variables!E35 &amp; " | " &amp; Variables!E36 &amp; " | " &amp; CHAR(34) &amp; " &amp;"</f>
        <v>Each challenge MUST include: asynchronous data fetching OR stream handling, at least 1 print statement, at least 1 async/await construct, EXACTLY 1 asynchronous function, and EXACTLY 1 function call within main(). - " &amp; IF(G9="Beginner", "5–15", IF(G9="Intermediate", "10–25", "15–35")) &amp; " lines of EXECUTABLE broken Dart code per challenge (STRICT: Do NOT count blank lines). All concurrency logic MUST be encapsulated inside async methods and executed via main(). | All challenges MUST have similar complexity, length, and functional scope. | " &amp;</v>
      </c>
      <c r="E19" s="77" t="str">
        <f t="shared" si="0"/>
        <v>"[CODE CONSTRAINTS] Each challenge MUST include: asynchronous data fetching OR stream handling, at least 1 print statement, at least 1 async/await construct, EXACTLY 1 asynchronous function, and EXACTLY 1 function call within main(). - " &amp; IF(G9="Beginner", "5–15", IF(G9="Intermediate", "10–25", "15–35")) &amp; " lines of EXECUTABLE broken Dart code per challenge (STRICT: Do NOT count blank lines). All concurrency logic MUST be encapsulated inside async methods and executed via main(). | All challenges MUST have similar complexity, length, and functional scope. | " &amp;</v>
      </c>
      <c r="F19" s="54" t="s">
        <v>224</v>
      </c>
    </row>
    <row r="20" spans="1:6">
      <c r="A20">
        <f t="shared" si="1"/>
        <v>888</v>
      </c>
      <c r="B20" s="54" t="s">
        <v>271</v>
      </c>
      <c r="C20" s="54" t="s">
        <v>187</v>
      </c>
      <c r="D20" s="93" t="s">
        <v>705</v>
      </c>
      <c r="E20" s="77" t="str">
        <f t="shared" si="0"/>
        <v>"[INTRO RULE] 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v>
      </c>
      <c r="F20" s="54" t="s">
        <v>224</v>
      </c>
    </row>
    <row r="21" spans="1:6">
      <c r="A21">
        <f t="shared" si="1"/>
        <v>40</v>
      </c>
      <c r="B21" s="54" t="s">
        <v>271</v>
      </c>
      <c r="C21" s="54" t="s">
        <v>278</v>
      </c>
      <c r="D21" s="93" t="s">
        <v>279</v>
      </c>
      <c r="E21" s="77" t="str">
        <f t="shared" si="0"/>
        <v>"[COMMENT RULE] Do NOT include comments that reveal bugs | " &amp;</v>
      </c>
      <c r="F21" s="54" t="s">
        <v>224</v>
      </c>
    </row>
    <row r="22" spans="1:6">
      <c r="A22">
        <f t="shared" si="1"/>
        <v>39</v>
      </c>
      <c r="B22" s="54" t="s">
        <v>271</v>
      </c>
      <c r="C22" s="54" t="s">
        <v>207</v>
      </c>
      <c r="D22" s="93" t="s">
        <v>280</v>
      </c>
      <c r="E22" s="77" t="str">
        <f t="shared" si="0"/>
        <v>"[FORMAT RULE] Only valid markdown code blocks allowed | " &amp;</v>
      </c>
      <c r="F22" s="54" t="s">
        <v>224</v>
      </c>
    </row>
    <row r="23" spans="1:6">
      <c r="A23">
        <f t="shared" si="1"/>
        <v>114</v>
      </c>
      <c r="B23" s="54" t="s">
        <v>271</v>
      </c>
      <c r="C23" s="54" t="s">
        <v>209</v>
      </c>
      <c r="D23" s="93" t="s">
        <v>281</v>
      </c>
      <c r="E23" s="77" t="str">
        <f t="shared" si="0"/>
        <v>"[LANGUAGE TAG RULE] ALWAYS label markdown code blocks with the correct underlying programming language (e.g., python, javascript, sql) | " &amp;</v>
      </c>
      <c r="F23" s="54" t="s">
        <v>224</v>
      </c>
    </row>
    <row r="24" spans="1:6">
      <c r="A24">
        <f t="shared" si="1"/>
        <v>51</v>
      </c>
      <c r="B24" s="54" t="s">
        <v>271</v>
      </c>
      <c r="C24" s="54" t="s">
        <v>282</v>
      </c>
      <c r="D24" s="93" t="s">
        <v>283</v>
      </c>
      <c r="E24" s="77" t="str">
        <f t="shared" si="0"/>
        <v>"[STRICT MODE] If ANY rule is violated, regenerate entire response | " &amp;</v>
      </c>
      <c r="F24" s="54" t="s">
        <v>224</v>
      </c>
    </row>
    <row r="25" spans="1:6">
      <c r="A25">
        <f t="shared" si="1"/>
        <v>57</v>
      </c>
      <c r="B25" s="54" t="s">
        <v>271</v>
      </c>
      <c r="C25" s="54" t="s">
        <v>170</v>
      </c>
      <c r="D25" s="93" t="s">
        <v>284</v>
      </c>
      <c r="E25" s="77" t="str">
        <f t="shared" si="0"/>
        <v>"[PERSONA RULE] Use a careless, messy, slightly frustrated developer tone | " &amp;</v>
      </c>
      <c r="F25" s="54" t="s">
        <v>224</v>
      </c>
    </row>
    <row r="26" spans="1:6">
      <c r="A26">
        <f t="shared" si="1"/>
        <v>330</v>
      </c>
      <c r="B26" s="54" t="s">
        <v>271</v>
      </c>
      <c r="C26" s="54" t="s">
        <v>177</v>
      </c>
      <c r="D26" s="93" t="s">
        <v>285</v>
      </c>
      <c r="E26" s="77" t="str">
        <f t="shared" si="0"/>
        <v>"[OUTPUT CONTRACT] 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v>
      </c>
      <c r="F26" s="54" t="s">
        <v>224</v>
      </c>
    </row>
    <row r="27" spans="1:6">
      <c r="A27">
        <f t="shared" si="1"/>
        <v>74</v>
      </c>
      <c r="B27" s="54" t="s">
        <v>271</v>
      </c>
      <c r="C27" s="54" t="s">
        <v>216</v>
      </c>
      <c r="D27" s="93" t="s">
        <v>286</v>
      </c>
      <c r="E27" s="77" t="str">
        <f t="shared" si="0"/>
        <v>"[OUTPUT] Only header, dataset summary (if any), email intro, challenges, and footer | " &amp;</v>
      </c>
      <c r="F27" s="54" t="s">
        <v>224</v>
      </c>
    </row>
    <row r="28" spans="1:6">
      <c r="A28">
        <f t="shared" si="1"/>
        <v>109</v>
      </c>
      <c r="B28" s="54" t="s">
        <v>271</v>
      </c>
      <c r="C28" s="54" t="s">
        <v>287</v>
      </c>
      <c r="D28" s="93" t="s">
        <v>288</v>
      </c>
      <c r="E28" s="77" t="str">
        <f t="shared" si="0"/>
        <v>"[STRUCTURE RULE] Do NOT rename sections. Do NOT add titles. Do NOT add extra text (except when required by SUPPORT FILES RULE) | " &amp;</v>
      </c>
      <c r="F28" s="54" t="s">
        <v>224</v>
      </c>
    </row>
    <row r="29" spans="1:6">
      <c r="A29">
        <f t="shared" si="1"/>
        <v>54</v>
      </c>
      <c r="B29" s="54" t="s">
        <v>271</v>
      </c>
      <c r="C29" s="54" t="s">
        <v>212</v>
      </c>
      <c r="D29" s="93" t="s">
        <v>289</v>
      </c>
      <c r="E29" s="77" t="str">
        <f t="shared" si="0"/>
        <v>"[CONSISTENCY RULE] All challenges MUST have similar complexity and length | " &amp;</v>
      </c>
      <c r="F29" s="54" t="s">
        <v>224</v>
      </c>
    </row>
    <row r="30" spans="1:6">
      <c r="A30">
        <f t="shared" si="1"/>
        <v>61</v>
      </c>
      <c r="B30" s="54" t="s">
        <v>271</v>
      </c>
      <c r="C30" s="54" t="s">
        <v>290</v>
      </c>
      <c r="D30" s="93" t="s">
        <v>291</v>
      </c>
      <c r="E30" s="77" t="str">
        <f t="shared" si="0"/>
        <v>"[BUG COMPLEXITY RULE] Must align with score (3 basic, 4 intermediate, 5 multi-step) | " &amp;</v>
      </c>
      <c r="F30" s="54" t="s">
        <v>224</v>
      </c>
    </row>
    <row r="31" spans="1:6">
      <c r="A31">
        <f t="shared" si="1"/>
        <v>37</v>
      </c>
      <c r="B31" s="54" t="s">
        <v>271</v>
      </c>
      <c r="C31" s="54" t="s">
        <v>292</v>
      </c>
      <c r="D31" s="93" t="s">
        <v>293</v>
      </c>
      <c r="E31" s="77" t="str">
        <f t="shared" si="0"/>
        <v>"[BUG RULE] Each challenge MUST include 2–3 bugs. | " &amp;</v>
      </c>
      <c r="F31" s="54" t="s">
        <v>224</v>
      </c>
    </row>
    <row r="32" spans="1:6">
      <c r="A32">
        <f t="shared" si="1"/>
        <v>487</v>
      </c>
      <c r="B32" s="54" t="s">
        <v>271</v>
      </c>
      <c r="C32" s="54" t="s">
        <v>294</v>
      </c>
      <c r="D32" s="93" t="s">
        <v>706</v>
      </c>
      <c r="E32" s="77" t="str">
        <f t="shared" si="0"/>
        <v>"[CORRECTNESS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v>
      </c>
      <c r="F32" s="54" t="s">
        <v>224</v>
      </c>
    </row>
    <row r="33" spans="1:6">
      <c r="A33">
        <f t="shared" si="1"/>
        <v>84</v>
      </c>
      <c r="B33" s="54" t="s">
        <v>271</v>
      </c>
      <c r="C33" s="54" t="s">
        <v>259</v>
      </c>
      <c r="D33" s="93" t="s">
        <v>295</v>
      </c>
      <c r="E33" s="77" t="str">
        <f t="shared" si="0"/>
        <v>"[EXECUTION RULE] Code must fail due to syntax errors, runtime exceptions, or produce incorrect output | " &amp;</v>
      </c>
      <c r="F33" s="54" t="s">
        <v>224</v>
      </c>
    </row>
    <row r="34" spans="1:6">
      <c r="A34">
        <f t="shared" si="1"/>
        <v>510</v>
      </c>
      <c r="B34" s="54" t="s">
        <v>271</v>
      </c>
      <c r="C34" s="54" t="s">
        <v>174</v>
      </c>
      <c r="D34" s="93" t="s">
        <v>707</v>
      </c>
      <c r="E34" s="77" t="str">
        <f t="shared" si="0"/>
        <v>"[DATA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v>
      </c>
      <c r="F34" s="54" t="s">
        <v>224</v>
      </c>
    </row>
    <row r="35" spans="1:6">
      <c r="A35">
        <f t="shared" si="1"/>
        <v>358</v>
      </c>
      <c r="B35" s="54" t="s">
        <v>271</v>
      </c>
      <c r="C35" s="54" t="s">
        <v>296</v>
      </c>
      <c r="D35" s="93" t="s">
        <v>297</v>
      </c>
      <c r="E35" s="77" t="str">
        <f t="shared" si="0"/>
        <v>"[CRITICAL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v>
      </c>
      <c r="F35" s="54" t="s">
        <v>224</v>
      </c>
    </row>
    <row r="36" spans="1:6">
      <c r="A36">
        <f t="shared" si="1"/>
        <v>72</v>
      </c>
      <c r="B36" s="54" t="s">
        <v>271</v>
      </c>
      <c r="C36" s="54" t="s">
        <v>175</v>
      </c>
      <c r="D36" s="93" t="s">
        <v>298</v>
      </c>
      <c r="E36" s="77" t="str">
        <f t="shared" si="0"/>
        <v>"[DATA SUMMARY FORMAT RULE] Dataset Summary: - File Type: - Columns / Fields: - Data Types: - Notes: | " &amp;</v>
      </c>
      <c r="F36" s="54" t="s">
        <v>224</v>
      </c>
    </row>
    <row r="37" spans="1:6">
      <c r="A37">
        <f t="shared" si="1"/>
        <v>129</v>
      </c>
      <c r="B37" s="54" t="s">
        <v>271</v>
      </c>
      <c r="C37" s="54" t="s">
        <v>299</v>
      </c>
      <c r="D37" s="93" t="s">
        <v>300</v>
      </c>
      <c r="E37" s="77" t="str">
        <f t="shared" si="0"/>
        <v>"[SUPPORT FILES RULE - STRICT] If env/config is used, MUST include: 1. Instructional sentence 2. File content in markdown code block 3. BEFORE the broken code | | " &amp;</v>
      </c>
      <c r="F37" s="54" t="s">
        <v>224</v>
      </c>
    </row>
    <row r="38" spans="1:6">
      <c r="A38">
        <f t="shared" si="1"/>
        <v>88</v>
      </c>
      <c r="B38" s="54" t="s">
        <v>271</v>
      </c>
      <c r="C38" s="54" t="s">
        <v>301</v>
      </c>
      <c r="D38" s="93" t="s">
        <v>302</v>
      </c>
      <c r="E38" s="77" t="str">
        <f t="shared" si="0"/>
        <v>"[SUPPORT FILES QUALITY RULE] Support files (.env, .env.example, .gitignore) MUST be fully correct and contain NO bugs | " &amp;</v>
      </c>
      <c r="F38" s="54" t="s">
        <v>224</v>
      </c>
    </row>
    <row r="39" spans="1:6">
      <c r="A39">
        <f t="shared" si="1"/>
        <v>208</v>
      </c>
      <c r="B39" s="54" t="s">
        <v>271</v>
      </c>
      <c r="C39" s="54" t="s">
        <v>303</v>
      </c>
      <c r="D39" s="93" t="s">
        <v>304</v>
      </c>
      <c r="E39" s="77" t="str">
        <f t="shared" si="0"/>
        <v>"[NO SOLUTION RULE - STRICT] You are generating an EXAM. You MUST NOT provide the fixed code, bug diagnosis, hints, explanations, or takeaways. Output ONLY the broken code. Do NOT solve your own challenges. Let the student find the bugs. | " &amp;</v>
      </c>
      <c r="F39" s="54" t="s">
        <v>224</v>
      </c>
    </row>
    <row r="40" spans="1:6">
      <c r="A40">
        <f t="shared" si="1"/>
        <v>210</v>
      </c>
      <c r="B40" s="54" t="s">
        <v>271</v>
      </c>
      <c r="C40" s="54" t="s">
        <v>220</v>
      </c>
      <c r="D40" s="93" t="s">
        <v>306</v>
      </c>
      <c r="E40" s="77" t="str">
        <f t="shared" si="0"/>
        <v>"[FOOTER RULE - STRICT] End your entire response EXACTLY with this markdown string (ensure all code blocks are closed before it):" &amp; CHAR(10) &amp; "---" &amp; CHAR(10) &amp; "⚡ Coding5s System - Learn Programming by Writing Code - Coding5S.com",</v>
      </c>
      <c r="F40" s="54" t="s">
        <v>224</v>
      </c>
    </row>
    <row r="41" spans="1:6">
      <c r="A41">
        <f t="shared" si="1"/>
        <v>0</v>
      </c>
      <c r="B41" s="54" t="s">
        <v>271</v>
      </c>
      <c r="C41" s="54"/>
      <c r="D41" s="93"/>
      <c r="E41" s="77" t="str">
        <f t="shared" si="0"/>
        <v/>
      </c>
      <c r="F41" s="54" t="s">
        <v>224</v>
      </c>
    </row>
    <row r="42" spans="1:6">
      <c r="A42">
        <f t="shared" si="1"/>
        <v>0</v>
      </c>
      <c r="B42" s="54" t="s">
        <v>271</v>
      </c>
      <c r="C42" s="54"/>
      <c r="D42" s="93"/>
      <c r="E42" s="88" t="s">
        <v>305</v>
      </c>
      <c r="F42" s="54"/>
    </row>
    <row r="43" spans="1:6">
      <c r="B43" s="74"/>
      <c r="C43" s="74"/>
      <c r="E43" s="86"/>
    </row>
    <row r="44" spans="1:6">
      <c r="B44" s="74"/>
      <c r="C44" s="74"/>
      <c r="E44" s="86"/>
    </row>
    <row r="45" spans="1:6" ht="36">
      <c r="B45" s="79" t="s">
        <v>445</v>
      </c>
      <c r="C45" s="74"/>
      <c r="E45" s="86"/>
    </row>
    <row r="46" spans="1:6">
      <c r="B46" s="76" t="s">
        <v>264</v>
      </c>
      <c r="C46" s="76" t="s">
        <v>579</v>
      </c>
      <c r="D46" s="76" t="s">
        <v>580</v>
      </c>
      <c r="E46" s="88" t="s">
        <v>265</v>
      </c>
      <c r="F46" s="32" t="s">
        <v>224</v>
      </c>
    </row>
    <row r="47" spans="1:6">
      <c r="B47" s="54" t="s">
        <v>222</v>
      </c>
      <c r="C47" s="54" t="s">
        <v>160</v>
      </c>
      <c r="D47" s="93" t="s">
        <v>272</v>
      </c>
      <c r="E47" s="77" t="str">
        <f>IF(D47="","",""""&amp;C47&amp;" "&amp;IF(C47="[FOOTER RULE - STRICT]",D47,IF(RIGHT(D47,6)=" | "&amp;CHAR(34)&amp;" &amp;",D47,D47&amp;" | "&amp;CHAR(34)&amp;" &amp;")))</f>
        <v>"[ROLE] Careless " &amp; $I$2 &amp; " Developer | " &amp;</v>
      </c>
      <c r="F47" s="32" t="s">
        <v>224</v>
      </c>
    </row>
    <row r="48" spans="1:6">
      <c r="B48" s="54" t="s">
        <v>222</v>
      </c>
      <c r="C48" s="54" t="s">
        <v>162</v>
      </c>
      <c r="D48" s="93" t="s">
        <v>312</v>
      </c>
      <c r="E48" s="77" t="str">
        <f t="shared" ref="E48:E76" si="2">IF(D48="","",""""&amp;C48&amp;" "&amp;IF(C48="[FOOTER RULE - STRICT]",D48,IF(RIGHT(D48,6)=" | "&amp;CHAR(34)&amp;" &amp;",D48,D48&amp;" | "&amp;CHAR(34)&amp;" &amp;")))</f>
        <v>"[TASK] Generate debugging project in " &amp; $I$2 &amp; " | " &amp;</v>
      </c>
      <c r="F48" s="32" t="s">
        <v>224</v>
      </c>
    </row>
    <row r="49" spans="2:6">
      <c r="B49" s="54" t="s">
        <v>222</v>
      </c>
      <c r="C49" s="54" t="s">
        <v>313</v>
      </c>
      <c r="D49" s="93" t="s">
        <v>165</v>
      </c>
      <c r="E49" s="77" t="str">
        <f t="shared" si="2"/>
        <v>"[PROJECT] " &amp; I9 &amp; " | " &amp;</v>
      </c>
      <c r="F49" s="32" t="s">
        <v>224</v>
      </c>
    </row>
    <row r="50" spans="2:6">
      <c r="B50" s="54" t="s">
        <v>222</v>
      </c>
      <c r="C50" s="54" t="s">
        <v>253</v>
      </c>
      <c r="D50" s="93" t="s">
        <v>712</v>
      </c>
      <c r="E50" s="77" t="str">
        <f t="shared" si="2"/>
        <v>"[TOPICS USED] " &amp; A9 &amp; " | " &amp;</v>
      </c>
      <c r="F50" s="32" t="s">
        <v>224</v>
      </c>
    </row>
    <row r="51" spans="2:6">
      <c r="B51" s="54" t="s">
        <v>222</v>
      </c>
      <c r="C51" s="54" t="s">
        <v>166</v>
      </c>
      <c r="D51" s="93" t="s">
        <v>167</v>
      </c>
      <c r="E51" s="77" t="str">
        <f t="shared" si="2"/>
        <v>"[LEVEL] " &amp; G9 &amp; " | " &amp;</v>
      </c>
      <c r="F51" s="32" t="s">
        <v>224</v>
      </c>
    </row>
    <row r="52" spans="2:6">
      <c r="B52" s="54" t="s">
        <v>222</v>
      </c>
      <c r="C52" s="54" t="s">
        <v>216</v>
      </c>
      <c r="D52" s="93" t="s">
        <v>314</v>
      </c>
      <c r="E52" s="77" t="str">
        <f t="shared" si="2"/>
        <v>"[OUTPUT] Only header, dataset summary or statement (if any), email intro, objective, expected output, broken code, and footer | " &amp;</v>
      </c>
      <c r="F52" s="32" t="s">
        <v>224</v>
      </c>
    </row>
    <row r="53" spans="2:6">
      <c r="B53" s="54" t="s">
        <v>222</v>
      </c>
      <c r="C53" s="54" t="s">
        <v>215</v>
      </c>
      <c r="D53" s="93" t="s">
        <v>585</v>
      </c>
      <c r="E53" s="77" t="str">
        <f t="shared" si="2"/>
        <v>"[HEADER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v>
      </c>
      <c r="F53" s="32" t="s">
        <v>224</v>
      </c>
    </row>
    <row r="54" spans="2:6">
      <c r="B54" s="54" t="s">
        <v>222</v>
      </c>
      <c r="C54" s="54" t="s">
        <v>229</v>
      </c>
      <c r="D54" s="93" t="s">
        <v>267</v>
      </c>
      <c r="E54" s="77" t="str">
        <f t="shared" si="2"/>
        <v>"[LIBRARY BEING LEARNED] " &amp; $I$3 &amp; " | " &amp;</v>
      </c>
      <c r="F54" s="32" t="s">
        <v>224</v>
      </c>
    </row>
    <row r="55" spans="2:6">
      <c r="B55" s="54" t="s">
        <v>223</v>
      </c>
      <c r="C55" s="32" t="s">
        <v>225</v>
      </c>
      <c r="D55" s="93" t="s">
        <v>254</v>
      </c>
      <c r="E55" s="77" t="str">
        <f t="shared" si="2"/>
        <v>"[ECOSYSTEM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224</v>
      </c>
    </row>
    <row r="56" spans="2:6">
      <c r="B56" s="54" t="s">
        <v>222</v>
      </c>
      <c r="C56" s="54" t="s">
        <v>172</v>
      </c>
      <c r="D56" s="93" t="s">
        <v>315</v>
      </c>
      <c r="E56" s="77" t="str">
        <f t="shared" si="2"/>
        <v>"[LANGUAGE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v>
      </c>
      <c r="F56" s="32" t="s">
        <v>224</v>
      </c>
    </row>
    <row r="57" spans="2:6">
      <c r="B57" s="54" t="s">
        <v>222</v>
      </c>
      <c r="C57" s="54" t="s">
        <v>491</v>
      </c>
      <c r="D57" s="93" t="s">
        <v>483</v>
      </c>
      <c r="E57" s="77" t="str">
        <f t="shared" si="2"/>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3"/>
      <c r="E58" s="77" t="str">
        <f t="shared" si="2"/>
        <v/>
      </c>
      <c r="F58" s="32" t="s">
        <v>224</v>
      </c>
    </row>
    <row r="59" spans="2:6">
      <c r="B59" s="54" t="s">
        <v>223</v>
      </c>
      <c r="C59" s="32" t="s">
        <v>292</v>
      </c>
      <c r="D59" s="93" t="str">
        <f>Variables!E37 &amp; " " &amp; Variables!E38 &amp; " " &amp; Variables!E39 &amp; " " &amp; Variables!E40 &amp; " | " &amp; CHAR(34) &amp; " &amp;"</f>
        <v>Simulate a messy Dart concurrency script. The project MUST contain EXACTLY 2-5 bugs mixing unawaited futures, missing async/await keywords, concurrency logic errors, and runtime exceptions. 1. Syntax &amp; Type Errors (e.g., missing semicolons/brackets, returning raw values instead of Futures, unhandled null safety exceptions in streams), 2. Logic Errors (e.g., unawaited async calls causing race conditions, incorrect stream subscription logic, deadlock states), AND 3. Runtime Exceptions (e.g., TimeoutException, StateError on closed controllers, IsolateSpawnException, FormatException). | " &amp;</v>
      </c>
      <c r="E59" s="77" t="str">
        <f t="shared" si="2"/>
        <v>"[BUG RULE] Simulate a messy Dart concurrency script. The project MUST contain EXACTLY 2-5 bugs mixing unawaited futures, missing async/await keywords, concurrency logic errors, and runtime exceptions. 1. Syntax &amp; Type Errors (e.g., missing semicolons/brackets, returning raw values instead of Futures, unhandled null safety exceptions in streams), 2. Logic Errors (e.g., unawaited async calls causing race conditions, incorrect stream subscription logic, deadlock states), AND 3. Runtime Exceptions (e.g., TimeoutException, StateError on closed controllers, IsolateSpawnException, FormatException). | " &amp;</v>
      </c>
      <c r="F59" s="32" t="s">
        <v>224</v>
      </c>
    </row>
    <row r="60" spans="2:6">
      <c r="B60" s="54" t="s">
        <v>271</v>
      </c>
      <c r="C60" s="54" t="s">
        <v>277</v>
      </c>
      <c r="D60" s="93" t="s">
        <v>316</v>
      </c>
      <c r="E60" s="77" t="str">
        <f t="shared" si="2"/>
        <v>"[ENV USAGE RULE] Bugs ONLY in code logic, not config files | " &amp;</v>
      </c>
      <c r="F60" s="32" t="s">
        <v>224</v>
      </c>
    </row>
    <row r="61" spans="2:6">
      <c r="B61" s="54" t="s">
        <v>271</v>
      </c>
      <c r="C61" s="54" t="s">
        <v>194</v>
      </c>
      <c r="D61" s="93" t="s">
        <v>317</v>
      </c>
      <c r="E61" s="77" t="str">
        <f t="shared" si="2"/>
        <v>"[SUPPORT FILES RULE] IF an external configuration or data file is needed, include: 1. Short instructional sentence 2. File content in markdown code block 3. Place it strictly BEFORE the main code. | " &amp;</v>
      </c>
      <c r="F61" s="32" t="s">
        <v>224</v>
      </c>
    </row>
    <row r="62" spans="2:6">
      <c r="B62" s="54" t="s">
        <v>271</v>
      </c>
      <c r="C62" s="54" t="s">
        <v>303</v>
      </c>
      <c r="D62" s="93" t="s">
        <v>599</v>
      </c>
      <c r="E62" s="77" t="str">
        <f t="shared" si="2"/>
        <v>"[NO SOLUTION RULE - STRICT] You are generating an EXAM. Do NOT provide the fixed code, diagnosis, hints, or explanations. Output ONLY the broken code. Do NOT include comments that reveal the bugs. Let the student find them. | " &amp;</v>
      </c>
      <c r="F62" s="32" t="s">
        <v>224</v>
      </c>
    </row>
    <row r="63" spans="2:6">
      <c r="B63" s="54" t="s">
        <v>271</v>
      </c>
      <c r="C63" s="54" t="s">
        <v>170</v>
      </c>
      <c r="D63" s="93" t="s">
        <v>318</v>
      </c>
      <c r="E63" s="77" t="str">
        <f t="shared" si="2"/>
        <v>"[PERSONA RULE] Use a messy, careless developer tone | " &amp;</v>
      </c>
      <c r="F63" s="32" t="s">
        <v>224</v>
      </c>
    </row>
    <row r="64" spans="2:6">
      <c r="B64" s="54" t="s">
        <v>271</v>
      </c>
      <c r="C64" s="54" t="s">
        <v>187</v>
      </c>
      <c r="D64" s="93" t="s">
        <v>319</v>
      </c>
      <c r="E64" s="77" t="str">
        <f t="shared" si="2"/>
        <v>"[INTRO RULE] 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v>
      </c>
      <c r="F64" s="32" t="s">
        <v>224</v>
      </c>
    </row>
    <row r="65" spans="2:6">
      <c r="B65" s="54" t="s">
        <v>271</v>
      </c>
      <c r="C65" s="54" t="s">
        <v>177</v>
      </c>
      <c r="D65" s="93" t="s">
        <v>320</v>
      </c>
      <c r="E65" s="77" t="str">
        <f t="shared" si="2"/>
        <v>"[OUTPUT CONTRACT] EXACTLY 1 project. Structure MUST be: 'Project:' followed by 'Objective: maximum 6 lines.', then 'Expected Output: standalone markdown code block.', and finally 'Broken Code' | " &amp;</v>
      </c>
      <c r="F65" s="32" t="s">
        <v>224</v>
      </c>
    </row>
    <row r="66" spans="2:6">
      <c r="B66" s="54" t="s">
        <v>271</v>
      </c>
      <c r="C66" s="54" t="s">
        <v>287</v>
      </c>
      <c r="D66" s="93" t="s">
        <v>321</v>
      </c>
      <c r="E66" s="77" t="str">
        <f t="shared" si="2"/>
        <v>"[STRUCTURE RULE] Do NOT add extra sections or explanations (except when required by SUPPORT FILES RULE) | " &amp;</v>
      </c>
      <c r="F66" s="32" t="s">
        <v>224</v>
      </c>
    </row>
    <row r="67" spans="2:6">
      <c r="B67" s="54" t="s">
        <v>271</v>
      </c>
      <c r="C67" s="54" t="s">
        <v>178</v>
      </c>
      <c r="D67" s="93" t="s">
        <v>322</v>
      </c>
      <c r="E67" s="77" t="str">
        <f t="shared" si="2"/>
        <v>"[CODE CONSTRAINTS] - " &amp; IF(G9="Beginner", "25–40", IF(G9="Intermediate", "30–60", "40–100")) &amp; " lines of EXECUTABLE code (STRICT: Do NOT count blank lines towards this limit) - Multi-step flow - 2–4 functions ONLY - main() as entry point " &amp; IF(G9&lt;&gt;"Advanced", "- NO classes | ", "") &amp; " | " &amp;</v>
      </c>
      <c r="F67" s="32" t="s">
        <v>224</v>
      </c>
    </row>
    <row r="68" spans="2:6">
      <c r="B68" s="54" t="s">
        <v>271</v>
      </c>
      <c r="C68" s="54" t="s">
        <v>259</v>
      </c>
      <c r="D68" s="93" t="s">
        <v>295</v>
      </c>
      <c r="E68" s="77" t="str">
        <f t="shared" si="2"/>
        <v>"[EXECUTION RULE] Code must fail due to syntax errors, runtime exceptions, or produce incorrect output | " &amp;</v>
      </c>
      <c r="F68" s="32" t="s">
        <v>224</v>
      </c>
    </row>
    <row r="69" spans="2:6">
      <c r="B69" s="54" t="s">
        <v>271</v>
      </c>
      <c r="C69" s="54" t="s">
        <v>174</v>
      </c>
      <c r="D69" s="93" t="s">
        <v>323</v>
      </c>
      <c r="E69"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69" s="32" t="s">
        <v>224</v>
      </c>
    </row>
    <row r="70" spans="2:6">
      <c r="B70" s="54" t="s">
        <v>271</v>
      </c>
      <c r="C70" s="54" t="s">
        <v>207</v>
      </c>
      <c r="D70" s="93" t="s">
        <v>324</v>
      </c>
      <c r="E70" s="77" t="str">
        <f t="shared" si="2"/>
        <v>"[FORMAT RULE] Only valid markdown code blocks | " &amp;</v>
      </c>
      <c r="F70" s="32" t="s">
        <v>224</v>
      </c>
    </row>
    <row r="71" spans="2:6">
      <c r="B71" s="54" t="s">
        <v>271</v>
      </c>
      <c r="C71" s="54" t="s">
        <v>209</v>
      </c>
      <c r="D71" s="93" t="s">
        <v>281</v>
      </c>
      <c r="E71" s="77" t="str">
        <f t="shared" si="2"/>
        <v>"[LANGUAGE TAG RULE] ALWAYS label markdown code blocks with the correct underlying programming language (e.g., python, javascript, sql) | " &amp;</v>
      </c>
      <c r="F71" s="32" t="s">
        <v>224</v>
      </c>
    </row>
    <row r="72" spans="2:6">
      <c r="B72" s="54" t="s">
        <v>271</v>
      </c>
      <c r="C72" s="54" t="s">
        <v>282</v>
      </c>
      <c r="D72" s="93" t="s">
        <v>325</v>
      </c>
      <c r="E72" s="77" t="str">
        <f t="shared" si="2"/>
        <v>"[STRICT MODE] Enforce all rules strictly | " &amp;</v>
      </c>
      <c r="F72" s="32" t="s">
        <v>224</v>
      </c>
    </row>
    <row r="73" spans="2:6">
      <c r="B73" s="54" t="s">
        <v>271</v>
      </c>
      <c r="C73" s="54" t="s">
        <v>220</v>
      </c>
      <c r="D73" s="93" t="s">
        <v>326</v>
      </c>
      <c r="E73" s="77" t="str">
        <f t="shared" si="2"/>
        <v>"[FOOTER RULE - STRICT] End your entire response EXACTLY with this markdown string (ensure all code blocks are closed before it):" &amp; CHAR(10) &amp; "---" &amp; CHAR(10) &amp; "⚡ Coding5s System - Learn Programming by Writing Code - Coding5S.com" )</v>
      </c>
      <c r="F73" s="32" t="s">
        <v>224</v>
      </c>
    </row>
    <row r="74" spans="2:6">
      <c r="B74" s="54"/>
      <c r="C74" s="54"/>
      <c r="D74" s="93"/>
      <c r="E74" s="77" t="str">
        <f t="shared" si="2"/>
        <v/>
      </c>
      <c r="F74" s="32" t="s">
        <v>224</v>
      </c>
    </row>
    <row r="75" spans="2:6">
      <c r="B75" s="54"/>
      <c r="C75" s="54"/>
      <c r="D75" s="93"/>
      <c r="E75" s="77" t="str">
        <f t="shared" si="2"/>
        <v/>
      </c>
      <c r="F75" s="32" t="s">
        <v>224</v>
      </c>
    </row>
    <row r="76" spans="2:6">
      <c r="B76" s="54"/>
      <c r="C76" s="54"/>
      <c r="D76" s="93"/>
      <c r="E76" s="77" t="str">
        <f t="shared" si="2"/>
        <v/>
      </c>
      <c r="F76" s="32" t="s">
        <v>224</v>
      </c>
    </row>
    <row r="77" spans="2:6">
      <c r="E77" s="86"/>
      <c r="F77" t="s">
        <v>224</v>
      </c>
    </row>
    <row r="79" spans="2:6" ht="36">
      <c r="B79" s="80" t="s">
        <v>444</v>
      </c>
    </row>
    <row r="80" spans="2:6">
      <c r="B80" s="76" t="s">
        <v>221</v>
      </c>
      <c r="C80" s="76" t="s">
        <v>579</v>
      </c>
      <c r="D80" s="76" t="s">
        <v>580</v>
      </c>
      <c r="E80" s="88" t="s">
        <v>234</v>
      </c>
      <c r="F80" s="54" t="s">
        <v>224</v>
      </c>
    </row>
    <row r="81" spans="2:6">
      <c r="B81" s="54" t="s">
        <v>222</v>
      </c>
      <c r="C81" s="54" t="s">
        <v>327</v>
      </c>
      <c r="D81" s="93" t="s">
        <v>381</v>
      </c>
      <c r="E81" s="17" t="str">
        <f t="shared" ref="E81:E94" si="3">IF(D81="","",""""&amp;C81&amp;" "&amp;IF(OR(C81="[FOOTER RULE - STRICT]",C81="[FOOTER RULE]"),D81,IF(RIGHT(D81,6)=" | "&amp;CHAR(34)&amp;" &amp;",D81,D81&amp;" | "&amp;CHAR(34)&amp;" &amp;")))</f>
        <v>"[MENTOR_S2_DETECTIVE] 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v>
      </c>
      <c r="F81" s="54" t="s">
        <v>224</v>
      </c>
    </row>
    <row r="82" spans="2:6">
      <c r="B82" s="54" t="s">
        <v>222</v>
      </c>
      <c r="C82" s="54" t="s">
        <v>236</v>
      </c>
      <c r="D82" s="93" t="s">
        <v>328</v>
      </c>
      <c r="E82" s="17" t="str">
        <f t="shared" si="3"/>
        <v>"[CULTURAL &amp; JARGON RULE] 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v>
      </c>
      <c r="F82" s="54" t="s">
        <v>224</v>
      </c>
    </row>
    <row r="83" spans="2:6">
      <c r="B83" s="54" t="s">
        <v>222</v>
      </c>
      <c r="C83" s="54" t="s">
        <v>237</v>
      </c>
      <c r="D83" s="93" t="s">
        <v>714</v>
      </c>
      <c r="E83" s="17" t="str">
        <f t="shared" si="3"/>
        <v>"[CONTEXT] You are helping a Junior Developer debug a " &amp; IF(UPPER(H9)="PROJECT", "PROJECT: " &amp; I9 &amp; ". Topics involved: " &amp; A9 &amp; ". Project objective: " &amp; J9, "TOPIC: " &amp; I9 &amp; ". Topic details: " &amp; J9) &amp; " | " &amp;</v>
      </c>
      <c r="F83" s="54" t="s">
        <v>224</v>
      </c>
    </row>
    <row r="84" spans="2:6">
      <c r="B84" s="54" t="s">
        <v>222</v>
      </c>
      <c r="C84" s="54" t="s">
        <v>162</v>
      </c>
      <c r="D84" s="93" t="s">
        <v>329</v>
      </c>
      <c r="E84" s="17" t="str">
        <f t="shared" si="3"/>
        <v>"[TASK] Analyze the student's code, explanation, and error. If the code is already fixed and correct, recognize their 'debugging skill' and provide a 'Pro-Tip' for prevention. Otherwise, follow the 2-PHASE MENTORING PROTOCOL | " &amp;</v>
      </c>
      <c r="F84" s="54" t="s">
        <v>224</v>
      </c>
    </row>
    <row r="85" spans="2:6">
      <c r="B85" s="54" t="s">
        <v>222</v>
      </c>
      <c r="C85" s="54" t="s">
        <v>229</v>
      </c>
      <c r="D85" s="93" t="s">
        <v>267</v>
      </c>
      <c r="E85" s="17" t="str">
        <f t="shared" si="3"/>
        <v>"[LIBRARY BEING LEARNED] " &amp; $I$3 &amp; " | " &amp;</v>
      </c>
      <c r="F85" s="54" t="s">
        <v>224</v>
      </c>
    </row>
    <row r="86" spans="2:6">
      <c r="B86" s="54" t="s">
        <v>222</v>
      </c>
      <c r="C86" s="54" t="s">
        <v>172</v>
      </c>
      <c r="D86" s="93" t="s">
        <v>254</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3" t="s">
        <v>483</v>
      </c>
      <c r="E87" s="17" t="str">
        <f t="shared" si="3"/>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3" t="s">
        <v>586</v>
      </c>
      <c r="E88" s="17" t="str">
        <f t="shared" si="3"/>
        <v>"[HEADER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v>
      </c>
      <c r="F88" s="54" t="s">
        <v>224</v>
      </c>
    </row>
    <row r="89" spans="2:6">
      <c r="B89" s="54" t="s">
        <v>223</v>
      </c>
      <c r="C89" s="54" t="s">
        <v>230</v>
      </c>
      <c r="D89" s="93"/>
      <c r="E89" s="17" t="str">
        <f t="shared" si="3"/>
        <v/>
      </c>
      <c r="F89" s="54" t="s">
        <v>224</v>
      </c>
    </row>
    <row r="90" spans="2:6">
      <c r="B90" s="54" t="s">
        <v>223</v>
      </c>
      <c r="C90" s="32" t="s">
        <v>730</v>
      </c>
      <c r="D90" s="93" t="str">
        <f>Variables!E41 &amp; " " &amp; Variables!E42 &amp; " " &amp; Variables!E43 &amp; " " &amp; Variables!E44 &amp; " | " &amp; CHAR(34) &amp; " &amp;"</f>
        <v>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 &amp;</v>
      </c>
      <c r="E90" s="17" t="str">
        <f t="shared" si="3"/>
        <v>"[CORE_QUALITY_POLICY]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 &amp;</v>
      </c>
      <c r="F90" s="54" t="s">
        <v>224</v>
      </c>
    </row>
    <row r="91" spans="2:6">
      <c r="B91" s="54" t="s">
        <v>271</v>
      </c>
      <c r="C91" s="54" t="s">
        <v>238</v>
      </c>
      <c r="D91" s="93" t="s">
        <v>332</v>
      </c>
      <c r="E91" s="17" t="str">
        <f t="shared" si="3"/>
        <v>"[EMPTY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v>
      </c>
      <c r="F91" s="54" t="s">
        <v>224</v>
      </c>
    </row>
    <row r="92" spans="2:6">
      <c r="B92" s="54" t="s">
        <v>271</v>
      </c>
      <c r="C92" s="54" t="s">
        <v>240</v>
      </c>
      <c r="D92" s="93" t="s">
        <v>333</v>
      </c>
      <c r="E92" s="17" t="str">
        <f t="shared" si="3"/>
        <v>"[PHASE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v>
      </c>
      <c r="F92" s="54" t="s">
        <v>224</v>
      </c>
    </row>
    <row r="93" spans="2:6">
      <c r="B93" s="54" t="s">
        <v>271</v>
      </c>
      <c r="C93" s="54" t="s">
        <v>241</v>
      </c>
      <c r="D93" s="93" t="s">
        <v>331</v>
      </c>
      <c r="E93" s="17" t="str">
        <f t="shared" si="3"/>
        <v>"[EXPLANATION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v>
      </c>
      <c r="F93" s="54" t="s">
        <v>224</v>
      </c>
    </row>
    <row r="94" spans="2:6">
      <c r="B94" s="54" t="s">
        <v>271</v>
      </c>
      <c r="C94" s="54" t="s">
        <v>244</v>
      </c>
      <c r="D94" s="93" t="s">
        <v>334</v>
      </c>
      <c r="E94" s="17" t="str">
        <f t="shared" si="3"/>
        <v>"[PHASE 2: FULL SOLUTION - STRICT] 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v>
      </c>
      <c r="F94" s="54" t="s">
        <v>224</v>
      </c>
    </row>
    <row r="95" spans="2:6">
      <c r="B95" s="54" t="s">
        <v>271</v>
      </c>
      <c r="C95" s="54" t="s">
        <v>492</v>
      </c>
      <c r="D95" s="93" t="s">
        <v>493</v>
      </c>
      <c r="E95" s="17" t="str">
        <f>IF(D95="","",""""&amp;C95&amp;" "&amp;IF(OR(C95="[FOOTER RULE - STRICT]",C95="[FOOTER RULE]"),D95,IF(RIGHT(D95,6)=" | "&amp;CHAR(34)&amp;" &amp;",D95,D95&amp;" | "&amp;CHAR(34)&amp;" &amp;")))</f>
        <v>"[MINIMAL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v>
      </c>
      <c r="F95" s="54" t="s">
        <v>224</v>
      </c>
    </row>
    <row r="96" spans="2:6">
      <c r="B96" s="54" t="s">
        <v>271</v>
      </c>
      <c r="C96" s="54" t="s">
        <v>330</v>
      </c>
      <c r="D96" s="93" t="s">
        <v>335</v>
      </c>
      <c r="E96" s="17" t="str">
        <f>IF(D96="","",""""&amp;C96&amp;" "&amp;IF(OR(C96="[FOOTER RULE - STRICT]",C96="[FOOTER RULE]"),D96,IF(RIGHT(D96,6)=" | "&amp;CHAR(34)&amp;" &amp;",D96,D96&amp;" | "&amp;CHAR(34)&amp;" &amp;")))</f>
        <v>"[FOOTER RULE] End your response with: '--- ⚡ *Coding5s Mentor System — Eliminating Epistemic Debt &amp; Hunting Bugs*</v>
      </c>
      <c r="F96" s="54" t="s">
        <v>224</v>
      </c>
    </row>
    <row r="97" spans="2:6">
      <c r="B97" s="54"/>
      <c r="C97" s="54"/>
      <c r="D97" s="93"/>
      <c r="E97" s="88" t="s">
        <v>336</v>
      </c>
      <c r="F97" s="54" t="s">
        <v>224</v>
      </c>
    </row>
    <row r="98" spans="2:6">
      <c r="B98" s="54"/>
      <c r="C98" s="54"/>
      <c r="D98" s="93"/>
      <c r="E98" s="77" t="str">
        <f t="shared" ref="E98:E100" si="4">IF(D98="","",""""&amp;C98&amp;" "&amp;IF(C98="[FOOTER RULE - STRICT]",D98,IF(RIGHT(D98,6)=" | "&amp;CHAR(34)&amp;" &amp;",D98,D98&amp;" | "&amp;CHAR(34)&amp;" &amp;")))</f>
        <v/>
      </c>
      <c r="F98" s="54" t="s">
        <v>224</v>
      </c>
    </row>
    <row r="99" spans="2:6">
      <c r="B99" s="54"/>
      <c r="C99" s="54"/>
      <c r="D99" s="93"/>
      <c r="E99" s="77" t="str">
        <f t="shared" si="4"/>
        <v/>
      </c>
      <c r="F99" s="54" t="s">
        <v>224</v>
      </c>
    </row>
    <row r="100" spans="2:6">
      <c r="B100" s="54"/>
      <c r="C100" s="54"/>
      <c r="D100" s="93"/>
      <c r="E100" s="77" t="str">
        <f t="shared" si="4"/>
        <v/>
      </c>
      <c r="F100" s="54" t="s">
        <v>224</v>
      </c>
    </row>
  </sheetData>
  <conditionalFormatting sqref="B1:B1048576">
    <cfRule type="cellIs" dxfId="44" priority="10" operator="equal">
      <formula>"The Immutable Kernel"</formula>
    </cfRule>
    <cfRule type="cellIs" dxfId="43" priority="11" operator="equal">
      <formula>"Paradigm &amp; Ecosystem"</formula>
    </cfRule>
    <cfRule type="cellIs" dxfId="42" priority="12" operator="equal">
      <formula>"Global Variables &amp; Configuration"</formula>
    </cfRule>
  </conditionalFormatting>
  <conditionalFormatting sqref="C4:C42">
    <cfRule type="expression" dxfId="41" priority="7">
      <formula>$B4="The Immutable Kernel"</formula>
    </cfRule>
    <cfRule type="expression" dxfId="40" priority="8">
      <formula>$B4="Paradigm &amp; Ecosystem"</formula>
    </cfRule>
    <cfRule type="expression" dxfId="39" priority="9">
      <formula>$B4="Global Variables &amp; Configuration"</formula>
    </cfRule>
  </conditionalFormatting>
  <conditionalFormatting sqref="C47:C76">
    <cfRule type="expression" dxfId="38" priority="4">
      <formula>$B47="The Immutable Kernel"</formula>
    </cfRule>
    <cfRule type="expression" dxfId="37" priority="5">
      <formula>$B47="Paradigm &amp; Ecosystem"</formula>
    </cfRule>
    <cfRule type="expression" dxfId="36" priority="6">
      <formula>$B47="Global Variables &amp; Configuration"</formula>
    </cfRule>
  </conditionalFormatting>
  <conditionalFormatting sqref="C81:C100">
    <cfRule type="expression" dxfId="35" priority="1">
      <formula>$B81="The Immutable Kernel"</formula>
    </cfRule>
    <cfRule type="expression" dxfId="34" priority="2">
      <formula>$B81="Paradigm &amp; Ecosystem"</formula>
    </cfRule>
    <cfRule type="expression" dxfId="33" priority="3">
      <formula>$B81="Global Variables &amp; Configuration"</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3BC9-B2EF-4F3D-8F73-57D435228023}">
  <sheetPr>
    <tabColor rgb="FFFFFF99"/>
  </sheetPr>
  <dimension ref="B2:AC100"/>
  <sheetViews>
    <sheetView showGridLines="0" topLeftCell="A80" zoomScaleNormal="100" workbookViewId="0">
      <selection activeCell="E80" sqref="E80:E96"/>
    </sheetView>
  </sheetViews>
  <sheetFormatPr defaultRowHeight="15"/>
  <cols>
    <col min="1" max="1" width="5.42578125" customWidth="1"/>
    <col min="2" max="2" width="36.28515625" customWidth="1"/>
    <col min="3" max="3" width="33" customWidth="1"/>
    <col min="4" max="4" width="85.28515625" customWidth="1"/>
    <col min="5" max="5" width="39.5703125" style="85" customWidth="1"/>
    <col min="6" max="6" width="4" customWidth="1"/>
  </cols>
  <sheetData>
    <row r="2" spans="2:29" ht="36">
      <c r="B2" s="78" t="s">
        <v>442</v>
      </c>
      <c r="D2" s="81" t="s">
        <v>337</v>
      </c>
      <c r="H2" s="82"/>
      <c r="T2" s="82"/>
    </row>
    <row r="3" spans="2:29">
      <c r="B3" s="76" t="s">
        <v>221</v>
      </c>
      <c r="C3" s="76" t="s">
        <v>579</v>
      </c>
      <c r="D3" s="76" t="s">
        <v>580</v>
      </c>
      <c r="E3" s="88" t="s">
        <v>228</v>
      </c>
      <c r="F3" s="4" t="s">
        <v>224</v>
      </c>
      <c r="AC3" t="s">
        <v>224</v>
      </c>
    </row>
    <row r="4" spans="2:29">
      <c r="B4" s="75" t="s">
        <v>222</v>
      </c>
      <c r="C4" s="54" t="s">
        <v>160</v>
      </c>
      <c r="D4" s="92" t="s">
        <v>338</v>
      </c>
      <c r="E4" s="77" t="str">
        <f t="shared" ref="E4:E37" si="0">IF(D4="","",""""&amp;C4&amp;" "&amp;IF(C4="[FOOTER RULE - STRICT]",D4,IF(RIGHT(D4,6)=" | "&amp;CHAR(34)&amp;" &amp;",D4,D4&amp;" | "&amp;CHAR(34)&amp;" &amp;")))</f>
        <v>"[ROLE] Tech Lead | " &amp;</v>
      </c>
      <c r="F4" s="54" t="s">
        <v>224</v>
      </c>
    </row>
    <row r="5" spans="2:29">
      <c r="B5" s="75" t="s">
        <v>222</v>
      </c>
      <c r="C5" s="54" t="s">
        <v>162</v>
      </c>
      <c r="D5" s="92" t="s">
        <v>339</v>
      </c>
      <c r="E5" s="77" t="str">
        <f t="shared" si="0"/>
        <v>"[TASK] Assign incomplete " &amp; $I$2 &amp; " script challenges | " &amp;</v>
      </c>
      <c r="F5" s="54" t="s">
        <v>224</v>
      </c>
    </row>
    <row r="6" spans="2:29">
      <c r="B6" s="75" t="s">
        <v>222</v>
      </c>
      <c r="C6" s="54" t="s">
        <v>164</v>
      </c>
      <c r="D6" s="92" t="s">
        <v>165</v>
      </c>
      <c r="E6" s="77" t="str">
        <f t="shared" si="0"/>
        <v>"[TOPIC] " &amp; I9 &amp; " | " &amp;</v>
      </c>
      <c r="F6" s="54" t="s">
        <v>224</v>
      </c>
    </row>
    <row r="7" spans="2:29">
      <c r="B7" s="75" t="s">
        <v>222</v>
      </c>
      <c r="C7" s="54" t="s">
        <v>166</v>
      </c>
      <c r="D7" s="92" t="s">
        <v>167</v>
      </c>
      <c r="E7" s="77" t="str">
        <f t="shared" si="0"/>
        <v>"[LEVEL] " &amp; G9 &amp; " | " &amp;</v>
      </c>
      <c r="F7" s="54" t="s">
        <v>224</v>
      </c>
    </row>
    <row r="8" spans="2:29">
      <c r="B8" s="75" t="s">
        <v>222</v>
      </c>
      <c r="C8" s="54" t="s">
        <v>168</v>
      </c>
      <c r="D8" s="92" t="s">
        <v>276</v>
      </c>
      <c r="E8" s="77" t="str">
        <f t="shared" si="0"/>
        <v>"[COUNT] " &amp; D9 &amp; " challenges | " &amp;</v>
      </c>
      <c r="F8" s="54" t="s">
        <v>224</v>
      </c>
    </row>
    <row r="9" spans="2:29">
      <c r="B9" s="75" t="s">
        <v>222</v>
      </c>
      <c r="C9" s="54" t="s">
        <v>229</v>
      </c>
      <c r="D9" s="92" t="s">
        <v>267</v>
      </c>
      <c r="E9" s="77" t="str">
        <f t="shared" si="0"/>
        <v>"[LIBRARY BEING LEARNED] " &amp; $I$3 &amp; " | " &amp;</v>
      </c>
      <c r="F9" s="54" t="s">
        <v>224</v>
      </c>
    </row>
    <row r="10" spans="2:29">
      <c r="B10" s="75" t="s">
        <v>222</v>
      </c>
      <c r="C10" s="32" t="s">
        <v>225</v>
      </c>
      <c r="D10" s="92"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 &amp;</v>
      </c>
      <c r="E10" s="77" t="str">
        <f t="shared" si="0"/>
        <v>"[ECOSYSTEM ORIENTATION RULE] If a data manipulation library, external package, or ecosystem like Pandas or NumPy is specified in " &amp; $I$3 &amp;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 &amp;</v>
      </c>
      <c r="F10" s="54" t="s">
        <v>224</v>
      </c>
    </row>
    <row r="11" spans="2:29">
      <c r="B11" s="75" t="s">
        <v>222</v>
      </c>
      <c r="C11" s="54" t="s">
        <v>215</v>
      </c>
      <c r="D11" s="92" t="s">
        <v>587</v>
      </c>
      <c r="E11" s="77" t="str">
        <f t="shared" si="0"/>
        <v>"[HEADER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v>
      </c>
      <c r="F11" s="54" t="s">
        <v>224</v>
      </c>
    </row>
    <row r="12" spans="2:29">
      <c r="B12" s="75" t="s">
        <v>222</v>
      </c>
      <c r="C12" s="54" t="s">
        <v>172</v>
      </c>
      <c r="D12" s="92"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2:29">
      <c r="B13" s="75" t="s">
        <v>222</v>
      </c>
      <c r="C13" s="54" t="s">
        <v>491</v>
      </c>
      <c r="D13" s="92" t="s">
        <v>483</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2:29">
      <c r="B14" s="83" t="s">
        <v>223</v>
      </c>
      <c r="C14" s="54" t="s">
        <v>230</v>
      </c>
      <c r="D14" s="92"/>
      <c r="E14" s="77" t="str">
        <f t="shared" si="0"/>
        <v/>
      </c>
      <c r="F14" s="54" t="s">
        <v>224</v>
      </c>
    </row>
    <row r="15" spans="2:29">
      <c r="B15" s="83" t="s">
        <v>223</v>
      </c>
      <c r="C15" s="54" t="s">
        <v>651</v>
      </c>
      <c r="D15" s="92" t="str">
        <f>Variables!E45 &amp; " | " &amp; CHAR(34) &amp; " &amp;"</f>
        <v>Standard Dart built-ins (dart:async, dart:io, dart:isolate). Strictly ZERO external pub.dev packages required for core concurrency topics. | " &amp;</v>
      </c>
      <c r="E15" s="77" t="str">
        <f t="shared" si="0"/>
        <v>"[EXTERNAL_PACKAGE_PROTOCOL] Standard Dart built-ins (dart:async, dart:io, dart:isolate). Strictly ZERO external pub.dev packages required for core concurrency topics. | " &amp;</v>
      </c>
      <c r="F15" s="54" t="s">
        <v>224</v>
      </c>
    </row>
    <row r="16" spans="2:29">
      <c r="B16" s="83" t="s">
        <v>223</v>
      </c>
      <c r="C16" s="54" t="s">
        <v>652</v>
      </c>
      <c r="D16" s="92" t="str">
        <f>Variables!E46 &amp; " | " &amp; CHAR(34) &amp; " &amp;"</f>
        <v>Simple console output verification via standard print() statements. | " &amp;</v>
      </c>
      <c r="E16" s="77" t="str">
        <f t="shared" si="0"/>
        <v>"[TESTING_FRAMEWORK_PROTOCOL] Simple console output verification via standard print() statements. | " &amp;</v>
      </c>
      <c r="F16" s="54" t="s">
        <v>224</v>
      </c>
    </row>
    <row r="17" spans="2:6">
      <c r="B17" s="83" t="s">
        <v>223</v>
      </c>
      <c r="C17" s="54" t="s">
        <v>653</v>
      </c>
      <c r="D17" s="92" t="str">
        <f>Variables!E47 &amp; " - " &amp; CHAR(34) &amp; " &amp; IF(G9=" &amp; CHAR(34) &amp; "Beginner" &amp; CHAR(34) &amp; "," &amp; CHAR(34) &amp; "5–15" &amp; CHAR(34) &amp; ", IF(G9=" &amp; CHAR(34) &amp; "Intermediate" &amp; CHAR(34) &amp; "," &amp; CHAR(34) &amp; "10–25" &amp; CHAR(34) &amp; "," &amp; CHAR(34) &amp; "15–35" &amp; CHAR(34) &amp; ")) &amp; " &amp; CHAR(34) &amp; " " &amp; Variables!E48 &amp; " | " &amp; CHAR(34) &amp; " &amp;"</f>
        <v>For Beginner level, // TODO MUST be atomic (1-2 simple lines max, e.g., adding await, creating a Future, or printing stream data). NO complex buffer redirections. - " &amp; IF(G9="Beginner","5–15", IF(G9="Intermediate","10–25","15–35")) &amp; " 5-15 lines of EXECUTABLE base code with a main() entry point. Code outside // TODO MUST be 100% valid and readable. Asynchronous context and event loops must be correctly structured. | " &amp;</v>
      </c>
      <c r="E17" s="77" t="str">
        <f t="shared" si="0"/>
        <v>"[CHALLENGE_CONSTRAINTS_POLICY] For Beginner level, // TODO MUST be atomic (1-2 simple lines max, e.g., adding await, creating a Future, or printing stream data). NO complex buffer redirections. - " &amp; IF(G9="Beginner","5–15", IF(G9="Intermediate","10–25","15–35")) &amp; " 5-15 lines of EXECUTABLE base code with a main() entry point. Code outside // TODO MUST be 100% valid and readable. Asynchronous context and event loops must be correctly structured. | " &amp;</v>
      </c>
      <c r="F17" s="54" t="s">
        <v>224</v>
      </c>
    </row>
    <row r="18" spans="2:6">
      <c r="B18" s="83" t="s">
        <v>271</v>
      </c>
      <c r="C18" s="54" t="s">
        <v>207</v>
      </c>
      <c r="D18" s="92" t="s">
        <v>646</v>
      </c>
      <c r="E18" s="77" t="str">
        <f t="shared" si="0"/>
        <v>"[FORMAT RULE] ALWAYS label markdown code blocks with the correct underlying programming language (e.g., elixir, python, javascript, sql) | " &amp;</v>
      </c>
      <c r="F18" s="54" t="s">
        <v>224</v>
      </c>
    </row>
    <row r="19" spans="2:6">
      <c r="B19" s="84" t="s">
        <v>271</v>
      </c>
      <c r="C19" s="54" t="s">
        <v>207</v>
      </c>
      <c r="D19" s="92" t="s">
        <v>280</v>
      </c>
      <c r="E19" s="77" t="str">
        <f t="shared" si="0"/>
        <v>"[FORMAT RULE] Only valid markdown code blocks allowed | " &amp;</v>
      </c>
      <c r="F19" s="54" t="s">
        <v>224</v>
      </c>
    </row>
    <row r="20" spans="2:6">
      <c r="B20" s="84" t="s">
        <v>271</v>
      </c>
      <c r="C20" s="54" t="s">
        <v>340</v>
      </c>
      <c r="D20" s="92" t="s">
        <v>367</v>
      </c>
      <c r="E20" s="77" t="str">
        <f t="shared" si="0"/>
        <v>"[SCORING ENFORCEMENT RULE] Score MUST be ONLY 3, 4, or 5 | " &amp;</v>
      </c>
      <c r="F20" s="54" t="s">
        <v>224</v>
      </c>
    </row>
    <row r="21" spans="2:6">
      <c r="B21" s="84" t="s">
        <v>271</v>
      </c>
      <c r="C21" s="54" t="s">
        <v>341</v>
      </c>
      <c r="D21" s="92" t="s">
        <v>342</v>
      </c>
      <c r="E21" s="77" t="str">
        <f t="shared" si="0"/>
        <v>"[DATA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21" s="54" t="s">
        <v>224</v>
      </c>
    </row>
    <row r="22" spans="2:6">
      <c r="B22" s="84" t="s">
        <v>271</v>
      </c>
      <c r="C22" s="54" t="s">
        <v>209</v>
      </c>
      <c r="D22" s="92" t="s">
        <v>281</v>
      </c>
      <c r="E22" s="77" t="str">
        <f t="shared" si="0"/>
        <v>"[LANGUAGE TAG RULE] ALWAYS label markdown code blocks with the correct underlying programming language (e.g., python, javascript, sql) | " &amp;</v>
      </c>
      <c r="F22" s="54" t="s">
        <v>224</v>
      </c>
    </row>
    <row r="23" spans="2:6">
      <c r="B23" s="84" t="s">
        <v>271</v>
      </c>
      <c r="C23" s="54" t="s">
        <v>187</v>
      </c>
      <c r="D23" s="92" t="s">
        <v>343</v>
      </c>
      <c r="E23" s="77" t="str">
        <f t="shared" si="0"/>
        <v>"[INTRO RULE] 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v>
      </c>
      <c r="F23" s="54" t="s">
        <v>224</v>
      </c>
    </row>
    <row r="24" spans="2:6">
      <c r="B24" s="84" t="s">
        <v>271</v>
      </c>
      <c r="C24" s="54" t="s">
        <v>177</v>
      </c>
      <c r="D24" s="92" t="s">
        <v>344</v>
      </c>
      <c r="E24" s="77" t="str">
        <f t="shared" si="0"/>
        <v>"[OUTPUT CONTRACT] 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v>
      </c>
      <c r="F24" s="54" t="s">
        <v>224</v>
      </c>
    </row>
    <row r="25" spans="2:6">
      <c r="B25" s="54" t="s">
        <v>271</v>
      </c>
      <c r="C25" s="54" t="s">
        <v>345</v>
      </c>
      <c r="D25" s="92" t="s">
        <v>346</v>
      </c>
      <c r="E25" s="77" t="str">
        <f t="shared" si="0"/>
        <v>"[OUTPUT TRUNCATION RULE - STRICT] If expected output is long, display ONLY the first 5 lines. Ensure accuracy. Do NOT use ellipsis (...) | " &amp;</v>
      </c>
      <c r="F25" s="54" t="s">
        <v>224</v>
      </c>
    </row>
    <row r="26" spans="2:6">
      <c r="B26" s="54" t="s">
        <v>271</v>
      </c>
      <c r="C26" s="54" t="s">
        <v>347</v>
      </c>
      <c r="D26" s="92" t="s">
        <v>348</v>
      </c>
      <c r="E26" s="77" t="str">
        <f t="shared" si="0"/>
        <v>"[OUTPUT EXECUTION RULE - STRICT] Expected output MUST be explicit, complete, and produced via print() (at least one print already in base code). Monetary values must include '$' | " &amp;</v>
      </c>
      <c r="F26" s="54" t="s">
        <v>224</v>
      </c>
    </row>
    <row r="27" spans="2:6">
      <c r="B27" s="54" t="s">
        <v>271</v>
      </c>
      <c r="C27" s="54" t="s">
        <v>349</v>
      </c>
      <c r="D27" s="92" t="s">
        <v>350</v>
      </c>
      <c r="E27" s="77" t="str">
        <f t="shared" si="0"/>
        <v>"[BASE CODE INTEGRITY RULE - STRICT] Code outside the TODO block MUST be 100% valid, logically correct, and run without errors. Do NOT simulate bugs using 'pass', '...', None, or wrong variable types outside the TODO. Variables used outside TODO must be initialized before TODO. | " &amp;</v>
      </c>
      <c r="F27" s="54" t="s">
        <v>224</v>
      </c>
    </row>
    <row r="28" spans="2:6">
      <c r="B28" s="54" t="s">
        <v>271</v>
      </c>
      <c r="C28" s="54" t="s">
        <v>351</v>
      </c>
      <c r="D28" s="92" t="s">
        <v>352</v>
      </c>
      <c r="E28" s="77" t="str">
        <f t="shared" si="0"/>
        <v>"[TODO VARIATION RULE] TODO sections MUST vary: Single-line TODO, Multiple TODOs, Small blocks (2–4 lines). | " &amp;</v>
      </c>
      <c r="F28" s="54" t="s">
        <v>224</v>
      </c>
    </row>
    <row r="29" spans="2:6">
      <c r="B29" s="54" t="s">
        <v>271</v>
      </c>
      <c r="C29" s="54" t="s">
        <v>353</v>
      </c>
      <c r="D29" s="92" t="s">
        <v>354</v>
      </c>
      <c r="E29" s="77" t="str">
        <f t="shared" si="0"/>
        <v>"[VARIABILITY RULE - STRICT] Each challenge MUST be structurally different. Vary: Code length, Logic type, Position of TODO, Number of TODOs (1–3), Data flow. | " &amp;</v>
      </c>
      <c r="F29" s="54" t="s">
        <v>224</v>
      </c>
    </row>
    <row r="30" spans="2:6">
      <c r="B30" s="54" t="s">
        <v>271</v>
      </c>
      <c r="C30" s="54" t="s">
        <v>355</v>
      </c>
      <c r="D30" s="92" t="s">
        <v>356</v>
      </c>
      <c r="E30" s="77" t="str">
        <f t="shared" si="0"/>
        <v>"[TODO REALISM RULE - STRICT] TODOs MUST represent realistic mistakes based on the topic: " &amp; I9 &amp; ". Describe what is incorrect or incomplete. Avoid imperative instructions. | " &amp;</v>
      </c>
      <c r="F30" s="54" t="s">
        <v>224</v>
      </c>
    </row>
    <row r="31" spans="2:6">
      <c r="B31" s="54" t="s">
        <v>271</v>
      </c>
      <c r="C31" s="54" t="s">
        <v>357</v>
      </c>
      <c r="D31" s="92" t="s">
        <v>358</v>
      </c>
      <c r="E31" s="77" t="str">
        <f t="shared" si="0"/>
        <v>"[TODO ISOLATION RULE - STRICT] ALL missing, incorrect, or output-affecting logic MUST exist ONLY inside the TODO block. | " &amp;</v>
      </c>
      <c r="F31" s="54" t="s">
        <v>224</v>
      </c>
    </row>
    <row r="32" spans="2:6">
      <c r="B32" s="54" t="s">
        <v>271</v>
      </c>
      <c r="C32" s="54" t="s">
        <v>303</v>
      </c>
      <c r="D32" s="92" t="s">
        <v>359</v>
      </c>
      <c r="E32" s="77" t="str">
        <f t="shared" si="0"/>
        <v>"[NO SOLUTION RULE - STRICT] The code under the # TODO MUST be left empty or with a 'pass'. DO NOT write the actual solution. | " &amp;</v>
      </c>
      <c r="F32" s="54" t="s">
        <v>224</v>
      </c>
    </row>
    <row r="33" spans="2:6">
      <c r="B33" s="54" t="s">
        <v>271</v>
      </c>
      <c r="C33" s="54" t="s">
        <v>360</v>
      </c>
      <c r="D33" s="92" t="s">
        <v>361</v>
      </c>
      <c r="E33" s="77" t="str">
        <f t="shared" si="0"/>
        <v>"[OUTPUT VERIFICATION RULE] The base code MUST print the final variables/results evaluated in the TODO block to verify correctness. | " &amp;</v>
      </c>
      <c r="F33" s="54" t="s">
        <v>224</v>
      </c>
    </row>
    <row r="34" spans="2:6">
      <c r="B34" s="54" t="s">
        <v>271</v>
      </c>
      <c r="C34" s="54" t="s">
        <v>362</v>
      </c>
      <c r="D34" s="92" t="s">
        <v>363</v>
      </c>
      <c r="E34" s="77" t="str">
        <f t="shared" si="0"/>
        <v>"[TODO GUIDANCE RULE] Rule " &amp; IF(G9="Beginner", "Clear explicit hint (no code) | ", IF(G9="Intermediate", "Brief hint | ", "Minimal hint | ")) &amp; " | " &amp;</v>
      </c>
      <c r="F34" s="54" t="s">
        <v>224</v>
      </c>
    </row>
    <row r="35" spans="2:6">
      <c r="B35" s="54" t="s">
        <v>271</v>
      </c>
      <c r="C35" s="54" t="s">
        <v>216</v>
      </c>
      <c r="D35" s="92" t="s">
        <v>364</v>
      </c>
      <c r="E35" s="77" t="str">
        <f t="shared" si="0"/>
        <v>"[OUTPUT] Only header, dataset summary or statement (if any), intro message, challenges (objective, expected output, incomplete code), and footer | " &amp;</v>
      </c>
      <c r="F35" s="54" t="s">
        <v>224</v>
      </c>
    </row>
    <row r="36" spans="2:6">
      <c r="B36" s="54" t="s">
        <v>271</v>
      </c>
      <c r="C36" s="54" t="s">
        <v>220</v>
      </c>
      <c r="D36" s="92" t="s">
        <v>366</v>
      </c>
      <c r="E36" s="77" t="str">
        <f t="shared" si="0"/>
        <v>"[FOOTER RULE - STRICT] End your entire response EXACTLY with this markdown string (ensure all code blocks are closed before it):" &amp; CHAR(10) &amp; "---" &amp; CHAR(10) &amp; "⚡ *Coding5s System - Learn Programming by Writing Code - Coding5S.com*",</v>
      </c>
      <c r="F36" s="54" t="s">
        <v>224</v>
      </c>
    </row>
    <row r="37" spans="2:6">
      <c r="B37" s="54"/>
      <c r="C37" s="54"/>
      <c r="D37" s="92"/>
      <c r="E37" s="77" t="str">
        <f t="shared" si="0"/>
        <v/>
      </c>
      <c r="F37" s="54" t="s">
        <v>224</v>
      </c>
    </row>
    <row r="38" spans="2:6">
      <c r="B38" s="54"/>
      <c r="C38" s="54"/>
      <c r="D38" s="92"/>
      <c r="E38" s="88" t="s">
        <v>365</v>
      </c>
      <c r="F38" s="54" t="s">
        <v>224</v>
      </c>
    </row>
    <row r="39" spans="2:6">
      <c r="B39" s="54"/>
      <c r="C39" s="54"/>
      <c r="D39" s="92"/>
      <c r="E39" s="77"/>
      <c r="F39" s="54" t="s">
        <v>224</v>
      </c>
    </row>
    <row r="40" spans="2:6">
      <c r="B40" s="54"/>
      <c r="C40" s="54"/>
      <c r="D40" s="92"/>
      <c r="E40" s="77"/>
      <c r="F40" s="54" t="s">
        <v>224</v>
      </c>
    </row>
    <row r="41" spans="2:6">
      <c r="B41" s="54"/>
      <c r="C41" s="54"/>
      <c r="D41" s="92"/>
      <c r="E41" s="77"/>
      <c r="F41" s="54" t="s">
        <v>224</v>
      </c>
    </row>
    <row r="42" spans="2:6">
      <c r="B42" s="54"/>
      <c r="C42" s="54"/>
      <c r="D42" s="92"/>
      <c r="E42" s="77"/>
      <c r="F42" s="54"/>
    </row>
    <row r="43" spans="2:6">
      <c r="B43" s="74"/>
      <c r="C43" s="74"/>
      <c r="E43" s="86"/>
    </row>
    <row r="44" spans="2:6">
      <c r="B44" s="74"/>
      <c r="C44" s="74"/>
      <c r="E44" s="86"/>
    </row>
    <row r="45" spans="2:6" ht="36">
      <c r="B45" s="79" t="s">
        <v>443</v>
      </c>
      <c r="C45" s="74"/>
      <c r="E45" s="86"/>
    </row>
    <row r="46" spans="2:6">
      <c r="B46" s="76" t="s">
        <v>264</v>
      </c>
      <c r="C46" s="76" t="s">
        <v>579</v>
      </c>
      <c r="D46" s="76" t="s">
        <v>580</v>
      </c>
      <c r="E46" s="88" t="s">
        <v>265</v>
      </c>
      <c r="F46" s="32" t="s">
        <v>224</v>
      </c>
    </row>
    <row r="47" spans="2:6">
      <c r="B47" s="54" t="s">
        <v>222</v>
      </c>
      <c r="C47" s="54" t="s">
        <v>160</v>
      </c>
      <c r="D47" s="92" t="s">
        <v>338</v>
      </c>
      <c r="E47" s="77" t="str">
        <f t="shared" ref="E47:E76" si="1">IF(D47="","",""""&amp;C47&amp;" "&amp;IF(C47="[FOOTER RULE - STRICT]",D47,IF(RIGHT(D47,6)=" | "&amp;CHAR(34)&amp;" &amp;",D47,D47&amp;" | "&amp;CHAR(34)&amp;" &amp;")))</f>
        <v>"[ROLE] Tech Lead | " &amp;</v>
      </c>
      <c r="F47" s="32" t="s">
        <v>224</v>
      </c>
    </row>
    <row r="48" spans="2:6">
      <c r="B48" s="54" t="s">
        <v>222</v>
      </c>
      <c r="C48" s="54" t="s">
        <v>162</v>
      </c>
      <c r="D48" s="92" t="s">
        <v>368</v>
      </c>
      <c r="E48" s="77" t="str">
        <f t="shared" si="1"/>
        <v>"[TASK] Assign incomplete project script | " &amp;</v>
      </c>
      <c r="F48" s="32" t="s">
        <v>224</v>
      </c>
    </row>
    <row r="49" spans="2:6">
      <c r="B49" s="54" t="s">
        <v>222</v>
      </c>
      <c r="C49" s="54" t="s">
        <v>313</v>
      </c>
      <c r="D49" s="92" t="s">
        <v>165</v>
      </c>
      <c r="E49" s="77" t="str">
        <f t="shared" si="1"/>
        <v>"[PROJECT] " &amp; I9 &amp; " | " &amp;</v>
      </c>
      <c r="F49" s="32" t="s">
        <v>224</v>
      </c>
    </row>
    <row r="50" spans="2:6">
      <c r="B50" s="54" t="s">
        <v>222</v>
      </c>
      <c r="C50" s="54" t="s">
        <v>253</v>
      </c>
      <c r="D50" s="92" t="s">
        <v>712</v>
      </c>
      <c r="E50" s="77" t="str">
        <f t="shared" si="1"/>
        <v>"[TOPICS USED] " &amp; A9 &amp; " | " &amp;</v>
      </c>
      <c r="F50" s="32" t="s">
        <v>224</v>
      </c>
    </row>
    <row r="51" spans="2:6">
      <c r="B51" s="54" t="s">
        <v>222</v>
      </c>
      <c r="C51" s="54" t="s">
        <v>166</v>
      </c>
      <c r="D51" s="92" t="s">
        <v>167</v>
      </c>
      <c r="E51" s="77" t="str">
        <f t="shared" si="1"/>
        <v>"[LEVEL] " &amp; G9 &amp; " | " &amp;</v>
      </c>
      <c r="F51" s="32" t="s">
        <v>224</v>
      </c>
    </row>
    <row r="52" spans="2:6">
      <c r="B52" s="54" t="s">
        <v>222</v>
      </c>
      <c r="C52" s="54" t="s">
        <v>229</v>
      </c>
      <c r="D52" s="92" t="s">
        <v>267</v>
      </c>
      <c r="E52" s="77" t="str">
        <f t="shared" si="1"/>
        <v>"[LIBRARY BEING LEARNED] " &amp; $I$3 &amp; " | " &amp;</v>
      </c>
      <c r="F52" s="32" t="s">
        <v>224</v>
      </c>
    </row>
    <row r="53" spans="2:6">
      <c r="B53" s="75" t="s">
        <v>222</v>
      </c>
      <c r="C53" s="54" t="s">
        <v>225</v>
      </c>
      <c r="D53" s="92"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 &amp;</v>
      </c>
      <c r="E53" s="77" t="str">
        <f t="shared" si="1"/>
        <v>"[ECOSYSTEM ORIENTATION RULE] If a data manipulation library, external package, or ecosystem like Pandas or NumPy is specified in " &amp; $I$3 &amp;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 &amp;</v>
      </c>
      <c r="F53" s="32" t="s">
        <v>224</v>
      </c>
    </row>
    <row r="54" spans="2:6">
      <c r="B54" s="54" t="s">
        <v>223</v>
      </c>
      <c r="C54" s="32" t="s">
        <v>172</v>
      </c>
      <c r="D54" s="92" t="s">
        <v>254</v>
      </c>
      <c r="E54"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4" s="32" t="s">
        <v>224</v>
      </c>
    </row>
    <row r="55" spans="2:6">
      <c r="B55" s="54" t="s">
        <v>222</v>
      </c>
      <c r="C55" s="54" t="s">
        <v>491</v>
      </c>
      <c r="D55" s="92" t="s">
        <v>483</v>
      </c>
      <c r="E55" s="77" t="str">
        <f t="shared" si="1"/>
        <v>"[LANGUAGE SEED CONTEXT] " &amp; IF($AE$7 = "", "Language Seed Not Necessary", "You MUST strictly follow this seed context to enhance, adapt, and naturalize your tone, vocabulary, and instructional quality in " &amp; $B$6 &amp; ": " &amp; $AE$7) &amp; " | " &amp;</v>
      </c>
      <c r="F55" s="32" t="s">
        <v>224</v>
      </c>
    </row>
    <row r="56" spans="2:6">
      <c r="B56" s="54" t="s">
        <v>222</v>
      </c>
      <c r="C56" s="54" t="s">
        <v>215</v>
      </c>
      <c r="D56" s="92" t="s">
        <v>588</v>
      </c>
      <c r="E56" s="77" t="str">
        <f t="shared" si="1"/>
        <v>"[HEADER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v>
      </c>
      <c r="F56" s="32" t="s">
        <v>224</v>
      </c>
    </row>
    <row r="57" spans="2:6">
      <c r="B57" s="54" t="s">
        <v>223</v>
      </c>
      <c r="C57" s="32" t="s">
        <v>651</v>
      </c>
      <c r="D57" s="92" t="str">
        <f>Variables!E49 &amp; " | " &amp; CHAR(34) &amp; " &amp;"</f>
        <v>Require standard dart pub tooling and pubspec.yaml file for external dependencies when applicable. | " &amp;</v>
      </c>
      <c r="E57" s="77" t="str">
        <f t="shared" si="1"/>
        <v>"[EXTERNAL_PACKAGE_PROTOCOL] Require standard dart pub tooling and pubspec.yaml file for external dependencies when applicable. | " &amp;</v>
      </c>
      <c r="F57" s="32" t="s">
        <v>224</v>
      </c>
    </row>
    <row r="58" spans="2:6">
      <c r="B58" s="54" t="s">
        <v>223</v>
      </c>
      <c r="C58" s="32" t="s">
        <v>653</v>
      </c>
      <c r="D58" s="92" t="str">
        <f>Variables!E50 &amp; " " &amp; CHAR(34) &amp; " &amp; IF(G9=" &amp; CHAR(34) &amp; "Beginner" &amp; CHAR(34) &amp; "," &amp; CHAR(34) &amp; "25–40" &amp; CHAR(34) &amp; ", IF(G9=" &amp; CHAR(34) &amp; "Intermediate" &amp; CHAR(34) &amp; "," &amp; CHAR(34) &amp; "30–60" &amp; CHAR(34) &amp; "," &amp; CHAR(34) &amp; "40–100" &amp; CHAR(34) &amp; ")) &amp; " &amp; CHAR(34) &amp; " " &amp; Variables!E51 &amp; " | " &amp; CHAR(34) &amp; " &amp;"</f>
        <v>MUST be between 25-40 lines of EXECUTABLE base Dart code (STRICT: Do NOT count comments or // TODO blocks). " &amp; IF(G9="Beginner","25–40", IF(G9="Intermediate","30–60","40–100")) &amp; " Asynchronous and concurrent script flow. Require at least 1 async worker or stream pipeline. Logica de integracion ubicada exclusivamente dentro de los bloques // TODO. | " &amp;</v>
      </c>
      <c r="E58" s="77" t="str">
        <f t="shared" si="1"/>
        <v>"[CHALLENGE_CONSTRAINTS_POLICY] MUST be between 25-40 lines of EXECUTABLE base Dart code (STRICT: Do NOT count comments or // TODO blocks). " &amp; IF(G9="Beginner","25–40", IF(G9="Intermediate","30–60","40–100")) &amp; " Asynchronous and concurrent script flow. Require at least 1 async worker or stream pipeline. Logica de integracion ubicada exclusivamente dentro de los bloques // TODO. | " &amp;</v>
      </c>
      <c r="F58" s="32" t="s">
        <v>224</v>
      </c>
    </row>
    <row r="59" spans="2:6">
      <c r="B59" s="54" t="s">
        <v>271</v>
      </c>
      <c r="C59" s="54" t="s">
        <v>207</v>
      </c>
      <c r="D59" s="92" t="s">
        <v>280</v>
      </c>
      <c r="E59" s="77" t="str">
        <f t="shared" si="1"/>
        <v>"[FORMAT RULE] Only valid markdown code blocks allowed | " &amp;</v>
      </c>
      <c r="F59" s="32" t="s">
        <v>224</v>
      </c>
    </row>
    <row r="60" spans="2:6">
      <c r="B60" s="54" t="s">
        <v>271</v>
      </c>
      <c r="C60" s="54" t="s">
        <v>209</v>
      </c>
      <c r="D60" s="92" t="s">
        <v>281</v>
      </c>
      <c r="E60" s="77" t="str">
        <f t="shared" si="1"/>
        <v>"[LANGUAGE TAG RULE] ALWAYS label markdown code blocks with the correct underlying programming language (e.g., python, javascript, sql) | " &amp;</v>
      </c>
      <c r="F60" s="32" t="s">
        <v>224</v>
      </c>
    </row>
    <row r="61" spans="2:6">
      <c r="B61" s="54" t="s">
        <v>271</v>
      </c>
      <c r="C61" s="54" t="s">
        <v>341</v>
      </c>
      <c r="D61" s="92" t="s">
        <v>369</v>
      </c>
      <c r="E61" s="77" t="str">
        <f t="shared" si="1"/>
        <v>"[DATA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61" s="32" t="s">
        <v>224</v>
      </c>
    </row>
    <row r="62" spans="2:6">
      <c r="B62" s="54" t="s">
        <v>271</v>
      </c>
      <c r="C62" s="54" t="s">
        <v>187</v>
      </c>
      <c r="D62" s="92" t="s">
        <v>370</v>
      </c>
      <c r="E62" s="77" t="str">
        <f t="shared" si="1"/>
        <v>"[INTRO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v>
      </c>
      <c r="F62" s="32" t="s">
        <v>224</v>
      </c>
    </row>
    <row r="63" spans="2:6">
      <c r="B63" s="54" t="s">
        <v>271</v>
      </c>
      <c r="C63" s="54" t="s">
        <v>177</v>
      </c>
      <c r="D63" s="92" t="s">
        <v>371</v>
      </c>
      <c r="E63" s="77" t="str">
        <f t="shared" si="1"/>
        <v>"[OUTPUT CONTRACT] EXACTLY 1 project. Structure MUST be: Tech Lead Intro Message, Project: Objective (max 6 lines), Expected Output (code block), Incomplete Code | " &amp;</v>
      </c>
      <c r="F63" s="32" t="s">
        <v>224</v>
      </c>
    </row>
    <row r="64" spans="2:6">
      <c r="B64" s="54" t="s">
        <v>271</v>
      </c>
      <c r="C64" s="54" t="s">
        <v>372</v>
      </c>
      <c r="D64" s="92" t="s">
        <v>373</v>
      </c>
      <c r="E64" s="77" t="str">
        <f t="shared" si="1"/>
        <v>"[OUTPUT TRUNCATION RULE] If output is large, show only first 5 lines. Do NOT use ellipsis (...) | " &amp;</v>
      </c>
      <c r="F64" s="32" t="s">
        <v>224</v>
      </c>
    </row>
    <row r="65" spans="2:6">
      <c r="B65" s="54" t="s">
        <v>271</v>
      </c>
      <c r="C65" s="54" t="s">
        <v>347</v>
      </c>
      <c r="D65" s="92" t="s">
        <v>374</v>
      </c>
      <c r="E65" s="77" t="str">
        <f t="shared" si="1"/>
        <v>"[OUTPUT EXECUTION RULE - STRICT] Expected output MUST be explicit, complete, and produced via final print(). | " &amp;</v>
      </c>
      <c r="F65" s="32" t="s">
        <v>224</v>
      </c>
    </row>
    <row r="66" spans="2:6">
      <c r="B66" s="54" t="s">
        <v>271</v>
      </c>
      <c r="C66" s="54" t="s">
        <v>349</v>
      </c>
      <c r="D66" s="92" t="s">
        <v>375</v>
      </c>
      <c r="E66" s="77" t="str">
        <f t="shared" si="1"/>
        <v>"[BASE CODE INTEGRITY RULE - STRICT] Code outside the TODO block MUST be 100% valid, logically correct, and run without errors. Do NOT use 'pass', '...', or empty placeholders outside the TODO. | " &amp;</v>
      </c>
      <c r="F66" s="32" t="s">
        <v>224</v>
      </c>
    </row>
    <row r="67" spans="2:6">
      <c r="B67" s="54" t="s">
        <v>271</v>
      </c>
      <c r="C67" s="54" t="s">
        <v>376</v>
      </c>
      <c r="D67" s="92" t="s">
        <v>377</v>
      </c>
      <c r="E67" s="77" t="str">
        <f t="shared" si="1"/>
        <v>"[TODO REALISM RULE] TODO must represent realistic integration bugs. Describe what is incorrect/incomplete. | " &amp;</v>
      </c>
      <c r="F67" s="32" t="s">
        <v>224</v>
      </c>
    </row>
    <row r="68" spans="2:6">
      <c r="B68" s="54" t="s">
        <v>271</v>
      </c>
      <c r="C68" s="54" t="s">
        <v>357</v>
      </c>
      <c r="D68" s="92" t="s">
        <v>378</v>
      </c>
      <c r="E68" s="77" t="str">
        <f t="shared" si="1"/>
        <v>"[TODO ISOLATION RULE - STRICT] ALL missing, incorrect, or output-affecting logic MUST exist ONLY inside the TODO block. Replace ONLY integration logic. | " &amp;</v>
      </c>
      <c r="F68" s="32" t="s">
        <v>224</v>
      </c>
    </row>
    <row r="69" spans="2:6">
      <c r="B69" s="54" t="s">
        <v>271</v>
      </c>
      <c r="C69" s="54" t="s">
        <v>303</v>
      </c>
      <c r="D69" s="92" t="s">
        <v>359</v>
      </c>
      <c r="E69" s="77" t="str">
        <f t="shared" si="1"/>
        <v>"[NO SOLUTION RULE - STRICT] The code under the # TODO MUST be left empty or with a 'pass'. DO NOT write the actual solution. | " &amp;</v>
      </c>
      <c r="F69" s="32" t="s">
        <v>224</v>
      </c>
    </row>
    <row r="70" spans="2:6">
      <c r="B70" s="54" t="s">
        <v>271</v>
      </c>
      <c r="C70" s="54" t="s">
        <v>216</v>
      </c>
      <c r="D70" s="92" t="s">
        <v>379</v>
      </c>
      <c r="E70" s="77" t="str">
        <f t="shared" si="1"/>
        <v>"[OUTPUT] Only header, dataset summary or statement (if any), intro message, objective, expected output, incomplete code, and footer | " &amp;</v>
      </c>
      <c r="F70" s="32" t="s">
        <v>224</v>
      </c>
    </row>
    <row r="71" spans="2:6">
      <c r="B71" s="54" t="s">
        <v>271</v>
      </c>
      <c r="C71" s="54" t="s">
        <v>220</v>
      </c>
      <c r="D71" s="92" t="s">
        <v>380</v>
      </c>
      <c r="E71" s="77" t="str">
        <f t="shared" si="1"/>
        <v>"[FOOTER RULE - STRICT] End your entire response EXACTLY with this markdown string (ensure all code blocks are closed before it):" &amp; CHAR(10) &amp; "---" &amp; CHAR(10) &amp; "⚡ *Coding5s System - Learn Programming by Writing Code - Coding5S.com*")</v>
      </c>
      <c r="F71" s="32" t="s">
        <v>224</v>
      </c>
    </row>
    <row r="72" spans="2:6">
      <c r="B72" s="54"/>
      <c r="C72" s="54"/>
      <c r="D72" s="92"/>
      <c r="E72" s="77" t="str">
        <f t="shared" si="1"/>
        <v/>
      </c>
      <c r="F72" s="32" t="s">
        <v>224</v>
      </c>
    </row>
    <row r="73" spans="2:6">
      <c r="B73" s="54"/>
      <c r="C73" s="54"/>
      <c r="D73" s="92"/>
      <c r="E73" s="77" t="str">
        <f t="shared" si="1"/>
        <v/>
      </c>
      <c r="F73" s="32" t="s">
        <v>224</v>
      </c>
    </row>
    <row r="74" spans="2:6">
      <c r="B74" s="54"/>
      <c r="C74" s="54"/>
      <c r="D74" s="92"/>
      <c r="E74" s="77" t="str">
        <f t="shared" si="1"/>
        <v/>
      </c>
      <c r="F74" s="32" t="s">
        <v>224</v>
      </c>
    </row>
    <row r="75" spans="2:6">
      <c r="B75" s="54"/>
      <c r="C75" s="54"/>
      <c r="D75" s="92"/>
      <c r="E75" s="77" t="str">
        <f t="shared" si="1"/>
        <v/>
      </c>
      <c r="F75" s="32" t="s">
        <v>224</v>
      </c>
    </row>
    <row r="76" spans="2:6">
      <c r="B76" s="54"/>
      <c r="C76" s="54"/>
      <c r="D76" s="92"/>
      <c r="E76" s="77" t="str">
        <f t="shared" si="1"/>
        <v/>
      </c>
      <c r="F76" s="32" t="s">
        <v>224</v>
      </c>
    </row>
    <row r="77" spans="2:6">
      <c r="E77" s="86"/>
      <c r="F77" t="s">
        <v>224</v>
      </c>
    </row>
    <row r="79" spans="2:6" ht="36">
      <c r="B79" s="80" t="s">
        <v>441</v>
      </c>
    </row>
    <row r="80" spans="2:6">
      <c r="B80" s="76" t="s">
        <v>221</v>
      </c>
      <c r="C80" s="76" t="s">
        <v>579</v>
      </c>
      <c r="D80" s="76" t="s">
        <v>580</v>
      </c>
      <c r="E80" s="89" t="s">
        <v>234</v>
      </c>
      <c r="F80" s="54" t="s">
        <v>224</v>
      </c>
    </row>
    <row r="81" spans="2:6">
      <c r="B81" s="54" t="s">
        <v>222</v>
      </c>
      <c r="C81" s="54" t="s">
        <v>382</v>
      </c>
      <c r="D81" s="92" t="s">
        <v>383</v>
      </c>
      <c r="E81" s="17" t="str">
        <f t="shared" ref="E81:E95" si="2">IF(D81="","",""""&amp;C81&amp;" "&amp;IF(OR(C81="[FOOTER RULE - STRICT]",C81="[FOOTER RULE]"),D81,IF(RIGHT(D81,6)=" | "&amp;CHAR(34)&amp;" &amp;",D81,D81&amp;" | "&amp;CHAR(34)&amp;" &amp;")))</f>
        <v>"[MENTOR_S3_BUILDER] 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v>
      </c>
      <c r="F81" s="54" t="s">
        <v>224</v>
      </c>
    </row>
    <row r="82" spans="2:6">
      <c r="B82" s="54" t="s">
        <v>222</v>
      </c>
      <c r="C82" s="54" t="s">
        <v>236</v>
      </c>
      <c r="D82" s="92" t="s">
        <v>384</v>
      </c>
      <c r="E82" s="17" t="str">
        <f t="shared" si="2"/>
        <v>"[CULTURAL &amp; JARGON RULE] 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v>
      </c>
      <c r="F82" s="54" t="s">
        <v>224</v>
      </c>
    </row>
    <row r="83" spans="2:6">
      <c r="B83" s="54" t="s">
        <v>222</v>
      </c>
      <c r="C83" s="54" t="s">
        <v>237</v>
      </c>
      <c r="D83" s="92" t="s">
        <v>715</v>
      </c>
      <c r="E83" s="17" t="str">
        <f t="shared" si="2"/>
        <v>"[CONTEXT] You are helping a Junior Developer complete a " &amp; IF(UPPER(H9)="PROJECT", "PROJECT: " &amp; I9 &amp; ". Topics involved: " &amp; A9 &amp; ". Project objective: " &amp; J9, "TOPIC: " &amp; I9 &amp; ". Topic details: " &amp; J9) &amp; " | " &amp;</v>
      </c>
      <c r="F83" s="54" t="s">
        <v>224</v>
      </c>
    </row>
    <row r="84" spans="2:6">
      <c r="B84" s="54" t="s">
        <v>222</v>
      </c>
      <c r="C84" s="54" t="s">
        <v>162</v>
      </c>
      <c r="D84" s="92" t="s">
        <v>385</v>
      </c>
      <c r="E84" s="17" t="str">
        <f t="shared" si="2"/>
        <v>"[TASK] Analyze the student's code and explanation. If they completed the data flow perfectly, celebrate the 'solid foundation' and offer a 'System Extension' challenge. Otherwise, follow the 2-PHASE MENTORING PROTOCOL | " &amp;</v>
      </c>
      <c r="F84" s="54" t="s">
        <v>224</v>
      </c>
    </row>
    <row r="85" spans="2:6">
      <c r="B85" s="54" t="s">
        <v>222</v>
      </c>
      <c r="C85" s="54" t="s">
        <v>229</v>
      </c>
      <c r="D85" s="92" t="s">
        <v>267</v>
      </c>
      <c r="E85" s="17" t="str">
        <f t="shared" si="2"/>
        <v>"[LIBRARY BEING LEARNED] " &amp; $I$3 &amp; " | " &amp;</v>
      </c>
      <c r="F85" s="54" t="s">
        <v>224</v>
      </c>
    </row>
    <row r="86" spans="2:6">
      <c r="B86" s="54" t="s">
        <v>222</v>
      </c>
      <c r="C86" s="54" t="s">
        <v>172</v>
      </c>
      <c r="D86" s="92"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2" t="s">
        <v>483</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2" t="s">
        <v>589</v>
      </c>
      <c r="E88" s="17" t="str">
        <f t="shared" si="2"/>
        <v>"[HEADER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v>
      </c>
      <c r="F88" s="54" t="s">
        <v>224</v>
      </c>
    </row>
    <row r="89" spans="2:6">
      <c r="B89" s="54" t="s">
        <v>223</v>
      </c>
      <c r="C89" s="54" t="s">
        <v>230</v>
      </c>
      <c r="D89" s="92"/>
      <c r="E89" s="17" t="str">
        <f t="shared" si="2"/>
        <v/>
      </c>
      <c r="F89" s="54" t="s">
        <v>224</v>
      </c>
    </row>
    <row r="90" spans="2:6">
      <c r="B90" s="54" t="s">
        <v>223</v>
      </c>
      <c r="C90" s="32" t="s">
        <v>730</v>
      </c>
      <c r="D90" s="92" t="str">
        <f>Variables!E52 &amp; " " &amp; Variables!E53 &amp; " " &amp; Variables!E54 &amp; " " &amp; Variables!E55 &amp; " | " &amp; CHAR(34) &amp; " &amp;"</f>
        <v>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 &amp;</v>
      </c>
      <c r="E90" s="17" t="str">
        <f t="shared" si="2"/>
        <v>"[CORE_QUALITY_POLICY]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 &amp;</v>
      </c>
      <c r="F90" s="54" t="s">
        <v>224</v>
      </c>
    </row>
    <row r="91" spans="2:6">
      <c r="B91" s="54" t="s">
        <v>271</v>
      </c>
      <c r="C91" s="54" t="s">
        <v>238</v>
      </c>
      <c r="D91" s="92" t="s">
        <v>386</v>
      </c>
      <c r="E91" s="17" t="str">
        <f t="shared" si="2"/>
        <v>"[EMPTY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v>
      </c>
      <c r="F91" s="54" t="s">
        <v>224</v>
      </c>
    </row>
    <row r="92" spans="2:6">
      <c r="B92" s="54" t="s">
        <v>271</v>
      </c>
      <c r="C92" s="54" t="s">
        <v>240</v>
      </c>
      <c r="D92" s="92" t="s">
        <v>387</v>
      </c>
      <c r="E92" s="17" t="str">
        <f t="shared" si="2"/>
        <v>"[PHASE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v>
      </c>
      <c r="F92" s="54" t="s">
        <v>224</v>
      </c>
    </row>
    <row r="93" spans="2:6">
      <c r="B93" s="54" t="s">
        <v>271</v>
      </c>
      <c r="C93" s="54" t="s">
        <v>241</v>
      </c>
      <c r="D93" s="92" t="s">
        <v>388</v>
      </c>
      <c r="E93" s="17" t="str">
        <f t="shared" si="2"/>
        <v>"[EXPLANATION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v>
      </c>
      <c r="F93" s="54" t="s">
        <v>224</v>
      </c>
    </row>
    <row r="94" spans="2:6">
      <c r="B94" s="54" t="s">
        <v>271</v>
      </c>
      <c r="C94" s="54" t="s">
        <v>244</v>
      </c>
      <c r="D94" s="92" t="s">
        <v>389</v>
      </c>
      <c r="E94" s="17" t="str">
        <f t="shared" si="2"/>
        <v>"[PHASE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v>
      </c>
      <c r="F94" s="54" t="s">
        <v>224</v>
      </c>
    </row>
    <row r="95" spans="2:6">
      <c r="B95" s="54" t="s">
        <v>271</v>
      </c>
      <c r="C95" s="54" t="s">
        <v>330</v>
      </c>
      <c r="D95" s="92" t="s">
        <v>390</v>
      </c>
      <c r="E95" s="17" t="str">
        <f t="shared" si="2"/>
        <v>"[FOOTER RULE] End your response with: '--- ⚡ *Coding5s Mentor System — Eliminating Epistemic Debt &amp; Connecting the Flow*',</v>
      </c>
      <c r="F95" s="54" t="s">
        <v>224</v>
      </c>
    </row>
    <row r="96" spans="2:6">
      <c r="B96" s="54"/>
      <c r="C96" s="54"/>
      <c r="D96" s="54"/>
      <c r="E96" s="89" t="s">
        <v>336</v>
      </c>
      <c r="F96" s="54" t="s">
        <v>224</v>
      </c>
    </row>
    <row r="97" spans="2:6">
      <c r="B97" s="54"/>
      <c r="C97" s="54"/>
      <c r="D97" s="54"/>
      <c r="E97" s="77" t="str">
        <f t="shared" ref="E97:E100" si="3">IF(D97="","",""""&amp;C97&amp;" "&amp;IF(C97="[FOOTER RULE - STRICT]",D97,IF(RIGHT(D97,6)=" | "&amp;CHAR(34)&amp;" &amp;",D97,D97&amp;" | "&amp;CHAR(34)&amp;" &amp;")))</f>
        <v/>
      </c>
      <c r="F97" s="54" t="s">
        <v>224</v>
      </c>
    </row>
    <row r="98" spans="2:6">
      <c r="B98" s="54"/>
      <c r="C98" s="54"/>
      <c r="D98" s="54"/>
      <c r="E98" s="77" t="str">
        <f t="shared" si="3"/>
        <v/>
      </c>
      <c r="F98" s="54" t="s">
        <v>224</v>
      </c>
    </row>
    <row r="99" spans="2:6">
      <c r="B99" s="54"/>
      <c r="C99" s="54"/>
      <c r="D99" s="54"/>
      <c r="E99" s="77" t="str">
        <f t="shared" si="3"/>
        <v/>
      </c>
      <c r="F99" s="54" t="s">
        <v>224</v>
      </c>
    </row>
    <row r="100" spans="2:6">
      <c r="B100" s="54"/>
      <c r="C100" s="54"/>
      <c r="D100" s="54"/>
      <c r="E100" s="77" t="str">
        <f t="shared" si="3"/>
        <v/>
      </c>
      <c r="F100" s="54" t="s">
        <v>224</v>
      </c>
    </row>
  </sheetData>
  <conditionalFormatting sqref="B1:B1048576">
    <cfRule type="cellIs" dxfId="32" priority="10" operator="equal">
      <formula>"The Immutable Kernel"</formula>
    </cfRule>
    <cfRule type="cellIs" dxfId="31" priority="11" operator="equal">
      <formula>"Paradigm &amp; Ecosystem"</formula>
    </cfRule>
    <cfRule type="cellIs" dxfId="30" priority="12" operator="equal">
      <formula>"Global Variables &amp; Configuration"</formula>
    </cfRule>
  </conditionalFormatting>
  <conditionalFormatting sqref="C4:C42 C47:C76">
    <cfRule type="expression" dxfId="29" priority="7">
      <formula>$B4="The Immutable Kernel"</formula>
    </cfRule>
    <cfRule type="expression" dxfId="28" priority="8">
      <formula>$B4="Paradigm &amp; Ecosystem"</formula>
    </cfRule>
    <cfRule type="expression" dxfId="27" priority="9">
      <formula>$B4="Global Variables &amp; Configuration"</formula>
    </cfRule>
  </conditionalFormatting>
  <conditionalFormatting sqref="C81:C100">
    <cfRule type="expression" dxfId="26" priority="1">
      <formula>$B81="The Immutable Kernel"</formula>
    </cfRule>
    <cfRule type="expression" dxfId="25" priority="2">
      <formula>$B81="Paradigm &amp; Ecosystem"</formula>
    </cfRule>
    <cfRule type="expression" dxfId="24" priority="3">
      <formula>$B81="Global Variables &amp; Configuration"</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F814-CC28-465C-954B-342AA4B9A726}">
  <sheetPr>
    <tabColor theme="9" tint="0.79998168889431442"/>
  </sheetPr>
  <dimension ref="B2:AC100"/>
  <sheetViews>
    <sheetView showGridLines="0" topLeftCell="A76" zoomScaleNormal="100" workbookViewId="0">
      <selection activeCell="E80" sqref="E80:E97"/>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440</v>
      </c>
      <c r="D2" s="81" t="s">
        <v>413</v>
      </c>
      <c r="H2" s="82"/>
      <c r="T2" s="82"/>
    </row>
    <row r="3" spans="2:29">
      <c r="B3" s="76" t="s">
        <v>221</v>
      </c>
      <c r="C3" s="76" t="s">
        <v>579</v>
      </c>
      <c r="D3" s="76" t="s">
        <v>580</v>
      </c>
      <c r="E3" s="88" t="s">
        <v>228</v>
      </c>
      <c r="F3" s="4" t="s">
        <v>224</v>
      </c>
      <c r="AC3" t="s">
        <v>224</v>
      </c>
    </row>
    <row r="4" spans="2:29">
      <c r="B4" s="75" t="s">
        <v>222</v>
      </c>
      <c r="C4" s="54" t="s">
        <v>160</v>
      </c>
      <c r="D4" s="90" t="s">
        <v>338</v>
      </c>
      <c r="E4" s="77" t="str">
        <f t="shared" ref="E4:E39" si="0">IF(D4="","",""""&amp;C4&amp;" "&amp;IF(C4="[FOOTER RULE - STRICT]",D4,IF(RIGHT(D4,6)=" | "&amp;CHAR(34)&amp;" &amp;",D4,D4&amp;" | "&amp;CHAR(34)&amp;" &amp;")))</f>
        <v>"[ROLE] Tech Lead | " &amp;</v>
      </c>
      <c r="F4" s="54" t="s">
        <v>224</v>
      </c>
    </row>
    <row r="5" spans="2:29">
      <c r="B5" s="75" t="s">
        <v>222</v>
      </c>
      <c r="C5" s="54" t="s">
        <v>162</v>
      </c>
      <c r="D5" s="90" t="s">
        <v>391</v>
      </c>
      <c r="E5" s="77" t="str">
        <f t="shared" si="0"/>
        <v>"[TASK] Provide intentionally messy but functional code for learning debugging and improvement | " &amp;</v>
      </c>
      <c r="F5" s="54" t="s">
        <v>224</v>
      </c>
    </row>
    <row r="6" spans="2:29">
      <c r="B6" s="75" t="s">
        <v>222</v>
      </c>
      <c r="C6" s="54" t="s">
        <v>164</v>
      </c>
      <c r="D6" s="90" t="s">
        <v>165</v>
      </c>
      <c r="E6" s="77" t="str">
        <f t="shared" si="0"/>
        <v>"[TOPIC] " &amp; I9 &amp; " | " &amp;</v>
      </c>
      <c r="F6" s="54" t="s">
        <v>224</v>
      </c>
    </row>
    <row r="7" spans="2:29">
      <c r="B7" s="75" t="s">
        <v>222</v>
      </c>
      <c r="C7" s="54" t="s">
        <v>166</v>
      </c>
      <c r="D7" s="90" t="s">
        <v>167</v>
      </c>
      <c r="E7" s="77" t="str">
        <f t="shared" si="0"/>
        <v>"[LEVEL] " &amp; G9 &amp; " | " &amp;</v>
      </c>
      <c r="F7" s="54" t="s">
        <v>224</v>
      </c>
    </row>
    <row r="8" spans="2:29">
      <c r="B8" s="75" t="s">
        <v>222</v>
      </c>
      <c r="C8" s="54" t="s">
        <v>168</v>
      </c>
      <c r="D8" s="90" t="s">
        <v>276</v>
      </c>
      <c r="E8" s="77" t="str">
        <f t="shared" si="0"/>
        <v>"[COUNT] " &amp; D9 &amp; " challenges | " &amp;</v>
      </c>
      <c r="F8" s="54" t="s">
        <v>224</v>
      </c>
    </row>
    <row r="9" spans="2:29">
      <c r="B9" s="75" t="s">
        <v>222</v>
      </c>
      <c r="C9" s="54" t="s">
        <v>229</v>
      </c>
      <c r="D9" s="90" t="s">
        <v>267</v>
      </c>
      <c r="E9" s="77" t="str">
        <f t="shared" si="0"/>
        <v>"[LIBRARY BEING LEARNED] " &amp; $I$3 &amp; " | " &amp;</v>
      </c>
      <c r="F9" s="54" t="s">
        <v>224</v>
      </c>
    </row>
    <row r="10" spans="2:29">
      <c r="B10" s="75" t="s">
        <v>222</v>
      </c>
      <c r="C10" s="54" t="s">
        <v>225</v>
      </c>
      <c r="D10" s="90" t="str">
        <f>"If a module or ecosystem like "&amp; Variables!E6 &amp;" is specified in "&amp; Variables!E7 &amp;", you are CRITICALLY FORBIDDEN from using "&amp; Variables!E8 &amp;". You MUST enforce the "&amp; Variables!E9 &amp;" and data structures of that specific library."</f>
        <v>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v>
      </c>
      <c r="E10" s="77" t="str">
        <f t="shared" si="0"/>
        <v>"[ECOSYSTEM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 &amp;</v>
      </c>
      <c r="F10" s="54" t="s">
        <v>224</v>
      </c>
    </row>
    <row r="11" spans="2:29">
      <c r="B11" s="75" t="s">
        <v>222</v>
      </c>
      <c r="C11" s="54" t="s">
        <v>170</v>
      </c>
      <c r="D11" s="90" t="s">
        <v>392</v>
      </c>
      <c r="E11" s="77" t="str">
        <f t="shared" si="0"/>
        <v>"[PERSONA RULE] Act as a Tech Lead. A junior wrote this working but messy code. Tone: professional but exhausted by the code quality | " &amp;</v>
      </c>
      <c r="F11" s="54" t="s">
        <v>224</v>
      </c>
    </row>
    <row r="12" spans="2:29">
      <c r="B12" s="75" t="s">
        <v>222</v>
      </c>
      <c r="C12" s="54" t="s">
        <v>172</v>
      </c>
      <c r="D12" s="90" t="s">
        <v>393</v>
      </c>
      <c r="E12"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2" s="54" t="s">
        <v>224</v>
      </c>
    </row>
    <row r="13" spans="2:29">
      <c r="B13" s="75" t="s">
        <v>222</v>
      </c>
      <c r="C13" s="54" t="s">
        <v>215</v>
      </c>
      <c r="D13" s="90" t="s">
        <v>590</v>
      </c>
      <c r="E13" s="77" t="str">
        <f t="shared" si="0"/>
        <v>"[HEADER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v>
      </c>
      <c r="F13" s="54" t="s">
        <v>224</v>
      </c>
    </row>
    <row r="14" spans="2:29">
      <c r="B14" s="83" t="s">
        <v>222</v>
      </c>
      <c r="C14" s="54" t="s">
        <v>491</v>
      </c>
      <c r="D14" s="90" t="s">
        <v>483</v>
      </c>
      <c r="E14" s="77" t="str">
        <f t="shared" si="0"/>
        <v>"[LANGUAGE SEED CONTEXT] " &amp; IF($AE$7 = "", "Language Seed Not Necessary", "You MUST strictly follow this seed context to enhance, adapt, and naturalize your tone, vocabulary, and instructional quality in " &amp; $B$6 &amp; ": " &amp; $AE$7) &amp; " | " &amp;</v>
      </c>
      <c r="F14" s="54" t="s">
        <v>224</v>
      </c>
    </row>
    <row r="15" spans="2:29">
      <c r="B15" s="83" t="s">
        <v>223</v>
      </c>
      <c r="C15" s="54" t="s">
        <v>230</v>
      </c>
      <c r="D15" s="90"/>
      <c r="E15" s="77" t="str">
        <f t="shared" si="0"/>
        <v/>
      </c>
      <c r="F15" s="54" t="s">
        <v>224</v>
      </c>
    </row>
    <row r="16" spans="2:29">
      <c r="B16" s="83" t="s">
        <v>223</v>
      </c>
      <c r="C16" s="54" t="s">
        <v>230</v>
      </c>
      <c r="D16" s="90"/>
      <c r="E16" s="77" t="str">
        <f t="shared" si="0"/>
        <v/>
      </c>
      <c r="F16" s="54" t="s">
        <v>224</v>
      </c>
    </row>
    <row r="17" spans="2:6">
      <c r="B17" s="83" t="s">
        <v>223</v>
      </c>
      <c r="C17" s="54" t="s">
        <v>230</v>
      </c>
      <c r="D17" s="90"/>
      <c r="E17" s="77" t="str">
        <f t="shared" si="0"/>
        <v/>
      </c>
      <c r="F17" s="54" t="s">
        <v>224</v>
      </c>
    </row>
    <row r="18" spans="2:6">
      <c r="B18" s="54" t="s">
        <v>271</v>
      </c>
      <c r="C18" s="54" t="s">
        <v>180</v>
      </c>
      <c r="D18" s="90" t="s">
        <v>394</v>
      </c>
      <c r="E18" s="77" t="str">
        <f t="shared" si="0"/>
        <v>"[CODE QUALITY RULE] Code MUST be executable and correct BUT intentionally messy, inconsistent, or suboptimal | " &amp;</v>
      </c>
      <c r="F18" s="54" t="s">
        <v>224</v>
      </c>
    </row>
    <row r="19" spans="2:6">
      <c r="B19" s="54" t="s">
        <v>271</v>
      </c>
      <c r="C19" s="54" t="s">
        <v>395</v>
      </c>
      <c r="D19" s="90" t="s">
        <v>396</v>
      </c>
      <c r="E19" s="77" t="str">
        <f t="shared" si="0"/>
        <v>"[DIRTY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v>
      </c>
      <c r="F19" s="54" t="s">
        <v>224</v>
      </c>
    </row>
    <row r="20" spans="2:6">
      <c r="B20" s="54" t="s">
        <v>271</v>
      </c>
      <c r="C20" s="54" t="s">
        <v>397</v>
      </c>
      <c r="D20" s="90" t="s">
        <v>398</v>
      </c>
      <c r="E20" s="77" t="str">
        <f t="shared" si="0"/>
        <v>"[STYLE INCONSISTENCY RULE] Each challenge should feel like it was written at a different time with different formatting styles | " &amp;</v>
      </c>
      <c r="F20" s="54" t="s">
        <v>224</v>
      </c>
    </row>
    <row r="21" spans="2:6">
      <c r="B21" s="54" t="s">
        <v>271</v>
      </c>
      <c r="C21" s="54" t="s">
        <v>188</v>
      </c>
      <c r="D21" s="90" t="s">
        <v>662</v>
      </c>
      <c r="E21" s="77" t="str">
        <f t="shared" si="0"/>
        <v>"[FILE HANDLING RULE] Use correct loaders and enforce encoding='utf-8' and newline='' when applicable if the programming language supports it. | " &amp;</v>
      </c>
      <c r="F21" s="54" t="s">
        <v>224</v>
      </c>
    </row>
    <row r="22" spans="2:6">
      <c r="B22" s="54" t="s">
        <v>271</v>
      </c>
      <c r="C22" s="54" t="s">
        <v>189</v>
      </c>
      <c r="D22" s="90" t="s">
        <v>661</v>
      </c>
      <c r="E22" s="77" t="str">
        <f t="shared" si="0"/>
        <v>"[DATA TYPE RULE] Explicit casting required before calculations when the programming language requires it. | " &amp;</v>
      </c>
      <c r="F22" s="54" t="s">
        <v>224</v>
      </c>
    </row>
    <row r="23" spans="2:6">
      <c r="B23" s="54" t="s">
        <v>271</v>
      </c>
      <c r="C23" s="54" t="s">
        <v>190</v>
      </c>
      <c r="D23" s="90" t="s">
        <v>399</v>
      </c>
      <c r="E23" s="77" t="str">
        <f t="shared" si="0"/>
        <v>"[DATA ROBUSTNESS RULE] Handle missing, malformed, or inconsistent data safely | " &amp;</v>
      </c>
      <c r="F23" s="54" t="s">
        <v>224</v>
      </c>
    </row>
    <row r="24" spans="2:6">
      <c r="B24" s="54" t="s">
        <v>271</v>
      </c>
      <c r="C24" s="54" t="s">
        <v>191</v>
      </c>
      <c r="D24" s="90" t="s">
        <v>660</v>
      </c>
      <c r="E24" s="77" t="str">
        <f t="shared" si="0"/>
        <v>"[BOOLEAN HANDLING RULE] Normalize boolean values before comparison when the programming language requires it. | " &amp;</v>
      </c>
      <c r="F24" s="54" t="s">
        <v>224</v>
      </c>
    </row>
    <row r="25" spans="2:6">
      <c r="B25" s="54" t="s">
        <v>271</v>
      </c>
      <c r="C25" s="54" t="s">
        <v>192</v>
      </c>
      <c r="D25" s="90" t="s">
        <v>400</v>
      </c>
      <c r="E25" s="77" t="str">
        <f t="shared" si="0"/>
        <v>"[DATA CONSISTENCY RULE] Respect dataset schema | " &amp;</v>
      </c>
      <c r="F25" s="54" t="s">
        <v>224</v>
      </c>
    </row>
    <row r="26" spans="2:6">
      <c r="B26" s="54" t="s">
        <v>271</v>
      </c>
      <c r="C26" s="54" t="s">
        <v>207</v>
      </c>
      <c r="D26" s="90" t="s">
        <v>280</v>
      </c>
      <c r="E26" s="77" t="str">
        <f t="shared" si="0"/>
        <v>"[FORMAT RULE] Only valid markdown code blocks allowed | " &amp;</v>
      </c>
      <c r="F26" s="54" t="s">
        <v>224</v>
      </c>
    </row>
    <row r="27" spans="2:6">
      <c r="B27" s="54" t="s">
        <v>271</v>
      </c>
      <c r="C27" s="54" t="s">
        <v>209</v>
      </c>
      <c r="D27" s="90" t="s">
        <v>281</v>
      </c>
      <c r="E27" s="77" t="str">
        <f t="shared" si="0"/>
        <v>"[LANGUAGE TAG RULE] ALWAYS label markdown code blocks with the correct underlying programming language (e.g., python, javascript, sql) | " &amp;</v>
      </c>
      <c r="F27" s="54" t="s">
        <v>224</v>
      </c>
    </row>
    <row r="28" spans="2:6">
      <c r="B28" s="54" t="s">
        <v>271</v>
      </c>
      <c r="C28" s="54" t="s">
        <v>211</v>
      </c>
      <c r="D28" s="90" t="s">
        <v>401</v>
      </c>
      <c r="E28" s="77" t="str">
        <f t="shared" si="0"/>
        <v>"[OUTPUT FORMAT RULE] Monetary values formatted with '$', commas, 2 decimals | " &amp;</v>
      </c>
      <c r="F28" s="54" t="s">
        <v>224</v>
      </c>
    </row>
    <row r="29" spans="2:6">
      <c r="B29" s="54" t="s">
        <v>271</v>
      </c>
      <c r="C29" s="54" t="s">
        <v>216</v>
      </c>
      <c r="D29" s="90" t="s">
        <v>402</v>
      </c>
      <c r="E29" s="77" t="str">
        <f t="shared" si="0"/>
        <v>"[OUTPUT] Only header, dataset summary or statement (if any), intro, challenges, code, outputs, and footer | " &amp;</v>
      </c>
      <c r="F29" s="54" t="s">
        <v>224</v>
      </c>
    </row>
    <row r="30" spans="2:6">
      <c r="B30" s="54" t="s">
        <v>271</v>
      </c>
      <c r="C30" s="54" t="s">
        <v>174</v>
      </c>
      <c r="D30" s="90" t="s">
        <v>342</v>
      </c>
      <c r="E30" s="77"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30" s="54" t="s">
        <v>224</v>
      </c>
    </row>
    <row r="31" spans="2:6">
      <c r="B31" s="54" t="s">
        <v>271</v>
      </c>
      <c r="C31" s="54" t="s">
        <v>175</v>
      </c>
      <c r="D31" s="90" t="s">
        <v>403</v>
      </c>
      <c r="E31" s="77" t="str">
        <f t="shared" si="0"/>
        <v>"[DATA SUMMARY FORMAT RULE] When a dataset is present, you MUST display IMMEDIATELY AFTER THE HEADER: Dataset Summary: - File Type: - Columns / Fields: - Data Types: - Notes: | " &amp;</v>
      </c>
      <c r="F31" s="54" t="s">
        <v>224</v>
      </c>
    </row>
    <row r="32" spans="2:6">
      <c r="B32" s="54" t="s">
        <v>271</v>
      </c>
      <c r="C32" s="54" t="s">
        <v>187</v>
      </c>
      <c r="D32" s="90" t="s">
        <v>404</v>
      </c>
      <c r="E32" s="77" t="str">
        <f t="shared" si="0"/>
        <v>"[INTRO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 | " &amp;</v>
      </c>
      <c r="F32" s="54" t="s">
        <v>224</v>
      </c>
    </row>
    <row r="33" spans="2:6">
      <c r="B33" s="54" t="s">
        <v>271</v>
      </c>
      <c r="C33" s="54" t="s">
        <v>177</v>
      </c>
      <c r="D33" s="90" t="s">
        <v>405</v>
      </c>
      <c r="E33" s="77" t="str">
        <f t="shared" si="0"/>
        <v>"[OUTPUT CONTRACT] 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v>
      </c>
      <c r="F33" s="54" t="s">
        <v>224</v>
      </c>
    </row>
    <row r="34" spans="2:6">
      <c r="B34" s="54" t="s">
        <v>271</v>
      </c>
      <c r="C34" s="54" t="s">
        <v>406</v>
      </c>
      <c r="D34" s="90" t="s">
        <v>407</v>
      </c>
      <c r="E34" s="77" t="str">
        <f t="shared" si="0"/>
        <v>"[REVIEW INTENT RULE] The user is expected to review, identify issues, and refactor the code to production-level quality | " &amp;</v>
      </c>
      <c r="F34" s="54" t="s">
        <v>224</v>
      </c>
    </row>
    <row r="35" spans="2:6">
      <c r="B35" s="54" t="s">
        <v>271</v>
      </c>
      <c r="C35" s="54" t="s">
        <v>178</v>
      </c>
      <c r="D35" s="90" t="s">
        <v>408</v>
      </c>
      <c r="E35" s="77" t="str">
        <f t="shared" si="0"/>
        <v>"[CODE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v>
      </c>
      <c r="F35" s="54" t="s">
        <v>224</v>
      </c>
    </row>
    <row r="36" spans="2:6">
      <c r="B36" s="54" t="s">
        <v>271</v>
      </c>
      <c r="C36" s="54" t="s">
        <v>194</v>
      </c>
      <c r="D36" s="90" t="s">
        <v>409</v>
      </c>
      <c r="E36" s="77" t="str">
        <f t="shared" si="0"/>
        <v>"[SUPPORT FILES RULE] If env/config is used, include: 1. Instructional sentence 2. File content in markdown code block 3. BEFORE the main code | " &amp;</v>
      </c>
      <c r="F36" s="54" t="s">
        <v>224</v>
      </c>
    </row>
    <row r="37" spans="2:6">
      <c r="B37" s="54" t="s">
        <v>271</v>
      </c>
      <c r="C37" s="54" t="s">
        <v>195</v>
      </c>
      <c r="D37" s="90" t="s">
        <v>410</v>
      </c>
      <c r="E37" s="77" t="str">
        <f t="shared" si="0"/>
        <v>"[DIFFICULTY RULE] Complexity MUST match level | " &amp;</v>
      </c>
      <c r="F37" s="54" t="s">
        <v>224</v>
      </c>
    </row>
    <row r="38" spans="2:6">
      <c r="B38" s="54" t="s">
        <v>271</v>
      </c>
      <c r="C38" s="54" t="s">
        <v>411</v>
      </c>
      <c r="D38" s="90" t="s">
        <v>412</v>
      </c>
      <c r="E38" s="77" t="str">
        <f t="shared" si="0"/>
        <v>"[DIFFICULTY CONSISTENCY RULE] All challenges MUST have similar complexity and length, even if coding styles differ | " &amp;</v>
      </c>
      <c r="F38" s="54" t="s">
        <v>224</v>
      </c>
    </row>
    <row r="39" spans="2:6">
      <c r="B39" s="54" t="s">
        <v>271</v>
      </c>
      <c r="C39" s="54" t="s">
        <v>220</v>
      </c>
      <c r="D39" s="90" t="s">
        <v>366</v>
      </c>
      <c r="E39" s="77" t="str">
        <f t="shared" si="0"/>
        <v>"[FOOTER RULE - STRICT] End your entire response EXACTLY with this markdown string (ensure all code blocks are closed before it):" &amp; CHAR(10) &amp; "---" &amp; CHAR(10) &amp; "⚡ *Coding5s System - Learn Programming by Writing Code - Coding5S.com*",</v>
      </c>
      <c r="F39" s="54" t="s">
        <v>224</v>
      </c>
    </row>
    <row r="40" spans="2:6">
      <c r="B40" s="54"/>
      <c r="C40" s="54"/>
      <c r="D40" s="90"/>
      <c r="E40" s="88" t="s">
        <v>414</v>
      </c>
      <c r="F40" s="54" t="s">
        <v>224</v>
      </c>
    </row>
    <row r="41" spans="2:6">
      <c r="B41" s="54"/>
      <c r="C41" s="54"/>
      <c r="D41" s="90"/>
      <c r="E41" s="77"/>
      <c r="F41" s="54"/>
    </row>
    <row r="42" spans="2:6">
      <c r="B42" s="74"/>
      <c r="C42" s="74"/>
      <c r="E42" s="86"/>
    </row>
    <row r="43" spans="2:6">
      <c r="B43" s="74"/>
      <c r="C43" s="74"/>
      <c r="E43" s="86"/>
    </row>
    <row r="44" spans="2:6" ht="36">
      <c r="B44" s="79" t="s">
        <v>439</v>
      </c>
      <c r="C44" s="74"/>
      <c r="E44" s="86"/>
    </row>
    <row r="45" spans="2:6">
      <c r="B45" s="76" t="s">
        <v>264</v>
      </c>
      <c r="C45" s="76" t="s">
        <v>579</v>
      </c>
      <c r="D45" s="76" t="s">
        <v>580</v>
      </c>
      <c r="E45" s="88" t="s">
        <v>265</v>
      </c>
      <c r="F45" s="32" t="s">
        <v>224</v>
      </c>
    </row>
    <row r="46" spans="2:6">
      <c r="B46" s="54" t="s">
        <v>222</v>
      </c>
      <c r="C46" s="54" t="s">
        <v>160</v>
      </c>
      <c r="D46" s="90" t="s">
        <v>338</v>
      </c>
      <c r="E46" s="77" t="str">
        <f>IF(D46="","",""""&amp;C46&amp;" "&amp;IF(C46="[FOOTER RULE - STRICT]",D46,IF(RIGHT(D46,6)=" | "&amp;CHAR(34)&amp;" &amp;",D46,D46&amp;" | "&amp;CHAR(34)&amp;" &amp;")))</f>
        <v>"[ROLE] Tech Lead | " &amp;</v>
      </c>
      <c r="F46" s="32" t="s">
        <v>224</v>
      </c>
    </row>
    <row r="47" spans="2:6">
      <c r="B47" s="54" t="s">
        <v>222</v>
      </c>
      <c r="C47" s="54" t="s">
        <v>162</v>
      </c>
      <c r="D47" s="90" t="s">
        <v>415</v>
      </c>
      <c r="E47" s="77" t="str">
        <f t="shared" ref="E47:E76" si="1">IF(D47="","",""""&amp;C47&amp;" "&amp;IF(C47="[FOOTER RULE - STRICT]",D47,IF(RIGHT(D47,6)=" | "&amp;CHAR(34)&amp;" &amp;",D47,D47&amp;" | "&amp;CHAR(34)&amp;" &amp;")))</f>
        <v>"[TASK] Provide a messy but functional project for refactoring | " &amp;</v>
      </c>
      <c r="F47" s="32" t="s">
        <v>224</v>
      </c>
    </row>
    <row r="48" spans="2:6">
      <c r="B48" s="54" t="s">
        <v>222</v>
      </c>
      <c r="C48" s="54" t="s">
        <v>313</v>
      </c>
      <c r="D48" s="90" t="s">
        <v>165</v>
      </c>
      <c r="E48" s="77" t="str">
        <f t="shared" si="1"/>
        <v>"[PROJECT] " &amp; I9 &amp; " | " &amp;</v>
      </c>
      <c r="F48" s="32" t="s">
        <v>224</v>
      </c>
    </row>
    <row r="49" spans="2:6">
      <c r="B49" s="54" t="s">
        <v>222</v>
      </c>
      <c r="C49" s="54" t="s">
        <v>253</v>
      </c>
      <c r="D49" s="90" t="s">
        <v>712</v>
      </c>
      <c r="E49" s="77" t="str">
        <f t="shared" si="1"/>
        <v>"[TOPICS USED] " &amp; A9 &amp; " | " &amp;</v>
      </c>
      <c r="F49" s="32" t="s">
        <v>224</v>
      </c>
    </row>
    <row r="50" spans="2:6">
      <c r="B50" s="54" t="s">
        <v>222</v>
      </c>
      <c r="C50" s="54" t="s">
        <v>166</v>
      </c>
      <c r="D50" s="90" t="s">
        <v>167</v>
      </c>
      <c r="E50" s="77" t="str">
        <f t="shared" si="1"/>
        <v>"[LEVEL] " &amp; G9 &amp; " | " &amp;</v>
      </c>
      <c r="F50" s="32" t="s">
        <v>224</v>
      </c>
    </row>
    <row r="51" spans="2:6">
      <c r="B51" s="54" t="s">
        <v>222</v>
      </c>
      <c r="C51" s="54" t="s">
        <v>170</v>
      </c>
      <c r="D51" s="90" t="s">
        <v>416</v>
      </c>
      <c r="E51" s="77" t="str">
        <f t="shared" si="1"/>
        <v>"[PERSONA RULE] Act as a Tech Lead. A junior wrote this working but messy code. Tone: professional but exhausted | " &amp;</v>
      </c>
      <c r="F51" s="32" t="s">
        <v>224</v>
      </c>
    </row>
    <row r="52" spans="2:6">
      <c r="B52" s="54" t="s">
        <v>222</v>
      </c>
      <c r="C52" s="54" t="s">
        <v>215</v>
      </c>
      <c r="D52" s="90" t="s">
        <v>591</v>
      </c>
      <c r="E52" s="77" t="str">
        <f t="shared" si="1"/>
        <v>"[HEADER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v>
      </c>
      <c r="F52" s="32" t="s">
        <v>224</v>
      </c>
    </row>
    <row r="53" spans="2:6">
      <c r="B53" s="54" t="s">
        <v>222</v>
      </c>
      <c r="C53" s="54" t="s">
        <v>229</v>
      </c>
      <c r="D53" s="90" t="s">
        <v>267</v>
      </c>
      <c r="E53" s="77" t="str">
        <f t="shared" si="1"/>
        <v>"[LIBRARY BEING LEARNED] " &amp; $I$3 &amp; " | " &amp;</v>
      </c>
      <c r="F53" s="32" t="s">
        <v>224</v>
      </c>
    </row>
    <row r="54" spans="2:6">
      <c r="B54" s="75" t="s">
        <v>222</v>
      </c>
      <c r="C54" s="54" t="s">
        <v>225</v>
      </c>
      <c r="D54" s="90" t="str">
        <f>"If a module or ecosystem like "&amp; Variables!E6 &amp;" is specified in "&amp; Variables!E7 &amp;", you are CRITICALLY FORBIDDEN from using "&amp; Variables!E8 &amp;". You MUST enforce the "&amp; Variables!E9 &amp;" and data structures of that specific library."</f>
        <v>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v>
      </c>
      <c r="E54" s="77"/>
      <c r="F54" s="32" t="s">
        <v>224</v>
      </c>
    </row>
    <row r="55" spans="2:6">
      <c r="B55" s="54" t="s">
        <v>222</v>
      </c>
      <c r="C55" s="54" t="s">
        <v>172</v>
      </c>
      <c r="D55" s="90" t="s">
        <v>254</v>
      </c>
      <c r="E55"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224</v>
      </c>
    </row>
    <row r="56" spans="2:6">
      <c r="B56" s="54" t="s">
        <v>222</v>
      </c>
      <c r="C56" s="54" t="s">
        <v>491</v>
      </c>
      <c r="D56" s="90" t="s">
        <v>483</v>
      </c>
      <c r="E56" s="77" t="str">
        <f t="shared" si="1"/>
        <v>"[LANGUAGE SEED CONTEXT] " &amp; IF($AE$7 = "", "Language Seed Not Necessary", "You MUST strictly follow this seed context to enhance, adapt, and naturalize your tone, vocabulary, and instructional quality in " &amp; $B$6 &amp; ": " &amp; $AE$7) &amp; " | " &amp;</v>
      </c>
      <c r="F56" s="32" t="s">
        <v>224</v>
      </c>
    </row>
    <row r="57" spans="2:6">
      <c r="B57" s="54" t="s">
        <v>223</v>
      </c>
      <c r="C57" s="54" t="s">
        <v>230</v>
      </c>
      <c r="D57" s="90"/>
      <c r="E57" s="77" t="str">
        <f t="shared" si="1"/>
        <v/>
      </c>
      <c r="F57" s="32" t="s">
        <v>224</v>
      </c>
    </row>
    <row r="58" spans="2:6">
      <c r="B58" s="54" t="s">
        <v>223</v>
      </c>
      <c r="C58" s="54" t="s">
        <v>230</v>
      </c>
      <c r="D58" s="90"/>
      <c r="E58" s="77" t="str">
        <f t="shared" si="1"/>
        <v/>
      </c>
      <c r="F58" s="32" t="s">
        <v>224</v>
      </c>
    </row>
    <row r="59" spans="2:6">
      <c r="B59" s="54" t="s">
        <v>223</v>
      </c>
      <c r="C59" s="54" t="s">
        <v>230</v>
      </c>
      <c r="D59" s="90"/>
      <c r="E59" s="77" t="str">
        <f t="shared" si="1"/>
        <v/>
      </c>
      <c r="F59" s="32" t="s">
        <v>224</v>
      </c>
    </row>
    <row r="60" spans="2:6">
      <c r="B60" s="54" t="s">
        <v>271</v>
      </c>
      <c r="C60" s="54" t="s">
        <v>180</v>
      </c>
      <c r="D60" s="90" t="s">
        <v>417</v>
      </c>
      <c r="E60" s="77" t="str">
        <f t="shared" si="1"/>
        <v>"[CODE QUALITY RULE] Code MUST be correct and executable but not perfectly clean | " &amp;</v>
      </c>
      <c r="F60" s="32" t="s">
        <v>224</v>
      </c>
    </row>
    <row r="61" spans="2:6">
      <c r="B61" s="54" t="s">
        <v>271</v>
      </c>
      <c r="C61" s="54" t="s">
        <v>395</v>
      </c>
      <c r="D61" s="90" t="s">
        <v>418</v>
      </c>
      <c r="E61" s="77" t="str">
        <f t="shared" si="1"/>
        <v>"[DIRTY CODE RULE] Code MUST NOT include ANY comments and should include inconsistent naming, redundant logic, minor structural issues, and slightly messy organization while still remaining understandable as a complete working program | " &amp;</v>
      </c>
      <c r="F61" s="32" t="s">
        <v>224</v>
      </c>
    </row>
    <row r="62" spans="2:6">
      <c r="B62" s="54" t="s">
        <v>271</v>
      </c>
      <c r="C62" s="54" t="s">
        <v>190</v>
      </c>
      <c r="D62" s="90" t="s">
        <v>419</v>
      </c>
      <c r="E62" s="77" t="str">
        <f t="shared" si="1"/>
        <v>"[DATA ROBUSTNESS RULE] Handle real-world data safely | " &amp;</v>
      </c>
      <c r="F62" s="32" t="s">
        <v>224</v>
      </c>
    </row>
    <row r="63" spans="2:6">
      <c r="B63" s="54" t="s">
        <v>271</v>
      </c>
      <c r="C63" s="54" t="s">
        <v>207</v>
      </c>
      <c r="D63" s="90" t="s">
        <v>280</v>
      </c>
      <c r="E63" s="77" t="str">
        <f t="shared" si="1"/>
        <v>"[FORMAT RULE] Only valid markdown code blocks allowed | " &amp;</v>
      </c>
      <c r="F63" s="32" t="s">
        <v>224</v>
      </c>
    </row>
    <row r="64" spans="2:6">
      <c r="B64" s="54" t="s">
        <v>271</v>
      </c>
      <c r="C64" s="54" t="s">
        <v>209</v>
      </c>
      <c r="D64" s="90" t="s">
        <v>281</v>
      </c>
      <c r="E64" s="77" t="str">
        <f t="shared" si="1"/>
        <v>"[LANGUAGE TAG RULE] ALWAYS label markdown code blocks with the correct underlying programming language (e.g., python, javascript, sql) | " &amp;</v>
      </c>
      <c r="F64" s="32" t="s">
        <v>224</v>
      </c>
    </row>
    <row r="65" spans="2:6">
      <c r="B65" s="54" t="s">
        <v>271</v>
      </c>
      <c r="C65" s="54" t="s">
        <v>174</v>
      </c>
      <c r="D65" s="90" t="s">
        <v>420</v>
      </c>
      <c r="E65"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v>
      </c>
      <c r="F65" s="32" t="s">
        <v>224</v>
      </c>
    </row>
    <row r="66" spans="2:6">
      <c r="B66" s="54" t="s">
        <v>271</v>
      </c>
      <c r="C66" s="54" t="s">
        <v>187</v>
      </c>
      <c r="D66" s="90" t="s">
        <v>421</v>
      </c>
      <c r="E66" s="77" t="str">
        <f t="shared" si="1"/>
        <v>"[INTRO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v>
      </c>
      <c r="F66" s="32" t="s">
        <v>224</v>
      </c>
    </row>
    <row r="67" spans="2:6">
      <c r="B67" s="54" t="s">
        <v>271</v>
      </c>
      <c r="C67" s="54" t="s">
        <v>177</v>
      </c>
      <c r="D67" s="90" t="s">
        <v>422</v>
      </c>
      <c r="E67" s="77" t="str">
        <f t="shared" si="1"/>
        <v>"[OUTPUT CONTRACT] EXACTLY 1 project. Structure MUST be: 1. Tech Lead Intro Email 2. Project: Objective (max 6 lines), Expected Output (code block), Dirty Code | " &amp;</v>
      </c>
      <c r="F67" s="32" t="s">
        <v>224</v>
      </c>
    </row>
    <row r="68" spans="2:6">
      <c r="B68" s="54" t="s">
        <v>271</v>
      </c>
      <c r="C68" s="54" t="s">
        <v>406</v>
      </c>
      <c r="D68" s="90" t="s">
        <v>423</v>
      </c>
      <c r="E68" s="77" t="str">
        <f t="shared" si="1"/>
        <v>"[REVIEW INTENT RULE] The user is expected to review and refactor the project to improve structure, readability, and maintainability | " &amp;</v>
      </c>
      <c r="F68" s="32" t="s">
        <v>224</v>
      </c>
    </row>
    <row r="69" spans="2:6">
      <c r="B69" s="54" t="s">
        <v>271</v>
      </c>
      <c r="C69" s="54" t="s">
        <v>178</v>
      </c>
      <c r="D69" s="90" t="s">
        <v>424</v>
      </c>
      <c r="E69" s="77" t="str">
        <f t="shared" si="1"/>
        <v>"[CODE CONSTRAINTS] MUST be between " &amp; IF(G9="Beginner", "25–40", IF(G9="Intermediate", "30–60", "40–100")) &amp; " lines of EXECUTABLE code (STRICT: Do NOT count blank lines towards this limit) - Multi-step flow - NO classes - Code MUST run correctly BUT be slightly messy and contain NO comments | " &amp;</v>
      </c>
      <c r="F69" s="32" t="s">
        <v>224</v>
      </c>
    </row>
    <row r="70" spans="2:6">
      <c r="B70" s="54" t="s">
        <v>271</v>
      </c>
      <c r="C70" s="54" t="s">
        <v>194</v>
      </c>
      <c r="D70" s="90" t="s">
        <v>425</v>
      </c>
      <c r="E70" s="77" t="str">
        <f t="shared" si="1"/>
        <v>"[SUPPORT FILES RULE] Include config files before code if needed | " &amp;</v>
      </c>
      <c r="F70" s="32" t="s">
        <v>224</v>
      </c>
    </row>
    <row r="71" spans="2:6">
      <c r="B71" s="54" t="s">
        <v>271</v>
      </c>
      <c r="C71" s="54" t="s">
        <v>259</v>
      </c>
      <c r="D71" s="90" t="s">
        <v>426</v>
      </c>
      <c r="E71" s="77" t="str">
        <f t="shared" si="1"/>
        <v>"[EXECUTION RULE] Code MUST run and produce correct output | " &amp;</v>
      </c>
      <c r="F71" s="32" t="s">
        <v>224</v>
      </c>
    </row>
    <row r="72" spans="2:6">
      <c r="B72" s="54" t="s">
        <v>271</v>
      </c>
      <c r="C72" s="54" t="s">
        <v>212</v>
      </c>
      <c r="D72" s="90" t="s">
        <v>427</v>
      </c>
      <c r="E72" s="77" t="str">
        <f t="shared" si="1"/>
        <v>"[CONSISTENCY RULE] Project must match objective | " &amp;</v>
      </c>
      <c r="F72" s="32" t="s">
        <v>224</v>
      </c>
    </row>
    <row r="73" spans="2:6">
      <c r="B73" s="54" t="s">
        <v>271</v>
      </c>
      <c r="C73" s="54" t="s">
        <v>216</v>
      </c>
      <c r="D73" s="90" t="s">
        <v>428</v>
      </c>
      <c r="E73" s="77" t="str">
        <f t="shared" si="1"/>
        <v>"[OUTPUT] Only header, dataset summary or statement (if any), intro email, objective, expected output, code, and footer | " &amp;</v>
      </c>
      <c r="F73" s="32" t="s">
        <v>224</v>
      </c>
    </row>
    <row r="74" spans="2:6">
      <c r="B74" s="54" t="s">
        <v>271</v>
      </c>
      <c r="C74" s="54" t="s">
        <v>220</v>
      </c>
      <c r="D74" s="90" t="s">
        <v>380</v>
      </c>
      <c r="E74" s="77" t="str">
        <f t="shared" si="1"/>
        <v>"[FOOTER RULE - STRICT] End your entire response EXACTLY with this markdown string (ensure all code blocks are closed before it):" &amp; CHAR(10) &amp; "---" &amp; CHAR(10) &amp; "⚡ *Coding5s System - Learn Programming by Writing Code - Coding5S.com*")</v>
      </c>
      <c r="F74" s="32" t="s">
        <v>224</v>
      </c>
    </row>
    <row r="75" spans="2:6">
      <c r="B75" s="54"/>
      <c r="C75" s="54"/>
      <c r="D75" s="90"/>
      <c r="E75" s="77" t="str">
        <f t="shared" si="1"/>
        <v/>
      </c>
      <c r="F75" s="32" t="s">
        <v>224</v>
      </c>
    </row>
    <row r="76" spans="2:6">
      <c r="B76" s="54"/>
      <c r="C76" s="54"/>
      <c r="D76" s="90"/>
      <c r="E76" s="77" t="str">
        <f t="shared" si="1"/>
        <v/>
      </c>
      <c r="F76" s="32" t="s">
        <v>224</v>
      </c>
    </row>
    <row r="77" spans="2:6">
      <c r="E77" s="86"/>
      <c r="F77" t="s">
        <v>224</v>
      </c>
    </row>
    <row r="79" spans="2:6" ht="36">
      <c r="B79" s="80" t="s">
        <v>438</v>
      </c>
    </row>
    <row r="80" spans="2:6">
      <c r="B80" s="76" t="s">
        <v>221</v>
      </c>
      <c r="C80" s="76" t="s">
        <v>579</v>
      </c>
      <c r="D80" s="76" t="s">
        <v>580</v>
      </c>
      <c r="E80" s="89" t="s">
        <v>234</v>
      </c>
      <c r="F80" s="54" t="s">
        <v>224</v>
      </c>
    </row>
    <row r="81" spans="2:6">
      <c r="B81" s="54" t="s">
        <v>222</v>
      </c>
      <c r="C81" s="54" t="s">
        <v>429</v>
      </c>
      <c r="D81" s="90" t="s">
        <v>430</v>
      </c>
      <c r="E81" s="17" t="str">
        <f t="shared" ref="E81:E96" si="2">IF(D81="","",""""&amp;C81&amp;" "&amp;IF(OR(C81="[FOOTER RULE - STRICT]",C81="[FOOTER RULE]"),D81,IF(RIGHT(D81,6)=" | "&amp;CHAR(34)&amp;" &amp;",D81,D81&amp;" | "&amp;CHAR(34)&amp;" &amp;")))</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v>
      </c>
      <c r="F81" s="54" t="s">
        <v>224</v>
      </c>
    </row>
    <row r="82" spans="2:6">
      <c r="B82" s="54" t="s">
        <v>222</v>
      </c>
      <c r="C82" s="54" t="s">
        <v>236</v>
      </c>
      <c r="D82" s="90" t="s">
        <v>431</v>
      </c>
      <c r="E82" s="17" t="str">
        <f t="shared" si="2"/>
        <v>"[CULTURAL &amp; JARGON RULE] 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v>
      </c>
      <c r="F82" s="54" t="s">
        <v>224</v>
      </c>
    </row>
    <row r="83" spans="2:6">
      <c r="B83" s="54" t="s">
        <v>222</v>
      </c>
      <c r="C83" s="54" t="s">
        <v>237</v>
      </c>
      <c r="D83" s="90" t="s">
        <v>716</v>
      </c>
      <c r="E83" s="17" t="str">
        <f t="shared" si="2"/>
        <v>"[CONTEXT] You are performing a Code Review for a " &amp; IF(UPPER(H9)="PROJECT", "PROJECT: " &amp; I9 &amp; ". Topics involved: " &amp; A9 &amp; ". Project objective: " &amp; J9, "TOPIC: " &amp; I9 &amp; ". Topic details: " &amp; J9) &amp; " | " &amp;</v>
      </c>
      <c r="F83" s="54" t="s">
        <v>224</v>
      </c>
    </row>
    <row r="84" spans="2:6">
      <c r="B84" s="54" t="s">
        <v>222</v>
      </c>
      <c r="C84" s="54" t="s">
        <v>162</v>
      </c>
      <c r="D84" s="90" t="s">
        <v>432</v>
      </c>
      <c r="E84" s="17" t="str">
        <f t="shared" si="2"/>
        <v>"[TASK]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v>
      </c>
      <c r="F84" s="54" t="s">
        <v>224</v>
      </c>
    </row>
    <row r="85" spans="2:6">
      <c r="B85" s="54" t="s">
        <v>222</v>
      </c>
      <c r="C85" s="54" t="s">
        <v>229</v>
      </c>
      <c r="D85" s="90" t="s">
        <v>267</v>
      </c>
      <c r="E85" s="17" t="str">
        <f t="shared" si="2"/>
        <v>"[LIBRARY BEING LEARNED] " &amp; $I$3 &amp; " | " &amp;</v>
      </c>
      <c r="F85" s="54" t="s">
        <v>224</v>
      </c>
    </row>
    <row r="86" spans="2:6">
      <c r="B86" s="54" t="s">
        <v>222</v>
      </c>
      <c r="C86" s="54" t="s">
        <v>172</v>
      </c>
      <c r="D86" s="90"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0" t="s">
        <v>483</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0" t="s">
        <v>592</v>
      </c>
      <c r="E88" s="17" t="str">
        <f t="shared" si="2"/>
        <v>"[HEADER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v>
      </c>
      <c r="F88" s="54" t="s">
        <v>224</v>
      </c>
    </row>
    <row r="89" spans="2:6">
      <c r="B89" s="54" t="s">
        <v>223</v>
      </c>
      <c r="C89" s="54" t="s">
        <v>230</v>
      </c>
      <c r="D89" s="90"/>
      <c r="E89" s="17" t="str">
        <f t="shared" si="2"/>
        <v/>
      </c>
      <c r="F89" s="54" t="s">
        <v>224</v>
      </c>
    </row>
    <row r="90" spans="2:6">
      <c r="B90" s="54" t="s">
        <v>223</v>
      </c>
      <c r="C90" s="54" t="s">
        <v>230</v>
      </c>
      <c r="D90" s="90"/>
      <c r="E90" s="17" t="str">
        <f t="shared" si="2"/>
        <v/>
      </c>
      <c r="F90" s="54" t="s">
        <v>224</v>
      </c>
    </row>
    <row r="91" spans="2:6">
      <c r="B91" s="54" t="s">
        <v>223</v>
      </c>
      <c r="C91" s="54" t="s">
        <v>243</v>
      </c>
      <c r="D91" s="90" t="str">
        <f>Variables!E56 &amp; " | " &amp; CHAR(34) &amp; " &amp;"</f>
        <v>Code MUST adhere strictly to Effective Dart guidelines. Use camelCase for methods/variables, PascalCase for types. Avoid global mutable state; emphasize strong static typing, robust Future/Stream pipelines, and clean non-blocking architectures. | " &amp;</v>
      </c>
      <c r="E91" s="17" t="str">
        <f t="shared" si="2"/>
        <v>"[PYTHON QUALITY RULE - STRICT] Code MUST adhere strictly to Effective Dart guidelines. Use camelCase for methods/variables, PascalCase for types. Avoid global mutable state; emphasize strong static typing, robust Future/Stream pipelines, and clean non-blocking architectures. | " &amp;</v>
      </c>
      <c r="F91" s="54" t="s">
        <v>224</v>
      </c>
    </row>
    <row r="92" spans="2:6">
      <c r="B92" s="54" t="s">
        <v>271</v>
      </c>
      <c r="C92" s="54" t="s">
        <v>238</v>
      </c>
      <c r="D92" s="90" t="s">
        <v>433</v>
      </c>
      <c r="E92" s="17" t="str">
        <f t="shared" si="2"/>
        <v>"[EMPTY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v>
      </c>
      <c r="F92" s="54" t="s">
        <v>224</v>
      </c>
    </row>
    <row r="93" spans="2:6">
      <c r="B93" s="54" t="s">
        <v>271</v>
      </c>
      <c r="C93" s="54" t="s">
        <v>240</v>
      </c>
      <c r="D93" s="90" t="s">
        <v>434</v>
      </c>
      <c r="E93" s="17" t="str">
        <f t="shared" si="2"/>
        <v>"[PHASE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v>
      </c>
      <c r="F93" s="54" t="s">
        <v>224</v>
      </c>
    </row>
    <row r="94" spans="2:6">
      <c r="B94" s="54" t="s">
        <v>271</v>
      </c>
      <c r="C94" s="54" t="s">
        <v>241</v>
      </c>
      <c r="D94" s="90" t="s">
        <v>435</v>
      </c>
      <c r="E94" s="17" t="str">
        <f t="shared" si="2"/>
        <v>"[EXPLANATION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v>
      </c>
      <c r="F94" s="54" t="s">
        <v>224</v>
      </c>
    </row>
    <row r="95" spans="2:6">
      <c r="B95" s="54" t="s">
        <v>271</v>
      </c>
      <c r="C95" s="54" t="s">
        <v>244</v>
      </c>
      <c r="D95" s="90" t="s">
        <v>436</v>
      </c>
      <c r="E95" s="17" t="str">
        <f t="shared" si="2"/>
        <v>"[PHASE 2: FULL SOLUTION - STRICT] 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v>
      </c>
      <c r="F95" s="54" t="s">
        <v>224</v>
      </c>
    </row>
    <row r="96" spans="2:6">
      <c r="B96" s="54" t="s">
        <v>271</v>
      </c>
      <c r="C96" s="54" t="s">
        <v>330</v>
      </c>
      <c r="D96" s="90" t="s">
        <v>500</v>
      </c>
      <c r="E96" s="17" t="str">
        <f t="shared" si="2"/>
        <v>"[FOOTER RULE] End your response with: '--- ⚡ *Coding5s Mentor System — Eliminating Technical Debt with Elegance*'",</v>
      </c>
      <c r="F96" s="54" t="s">
        <v>224</v>
      </c>
    </row>
    <row r="97" spans="2:6">
      <c r="B97" s="54"/>
      <c r="C97" s="54"/>
      <c r="D97" s="90"/>
      <c r="E97" s="88" t="s">
        <v>437</v>
      </c>
      <c r="F97" s="54" t="s">
        <v>224</v>
      </c>
    </row>
    <row r="98" spans="2:6">
      <c r="B98" s="54"/>
      <c r="C98" s="54"/>
      <c r="D98" s="90"/>
      <c r="E98" s="77" t="str">
        <f t="shared" ref="E98:E100" si="3">IF(D98="","",""""&amp;C98&amp;" "&amp;IF(C98="[FOOTER RULE - STRICT]",D98,IF(RIGHT(D98,6)=" | "&amp;CHAR(34)&amp;" &amp;",D98,D98&amp;" | "&amp;CHAR(34)&amp;" &amp;")))</f>
        <v/>
      </c>
      <c r="F98" s="54" t="s">
        <v>224</v>
      </c>
    </row>
    <row r="99" spans="2:6">
      <c r="B99" s="54"/>
      <c r="C99" s="54"/>
      <c r="D99" s="90"/>
      <c r="E99" s="77" t="str">
        <f t="shared" si="3"/>
        <v/>
      </c>
      <c r="F99" s="54" t="s">
        <v>224</v>
      </c>
    </row>
    <row r="100" spans="2:6">
      <c r="B100" s="54"/>
      <c r="C100" s="54"/>
      <c r="D100" s="90"/>
      <c r="E100" s="77" t="str">
        <f t="shared" si="3"/>
        <v/>
      </c>
      <c r="F100" s="54" t="s">
        <v>224</v>
      </c>
    </row>
  </sheetData>
  <conditionalFormatting sqref="B1:B1048576">
    <cfRule type="cellIs" dxfId="23" priority="13" operator="equal">
      <formula>"The Immutable Kernel"</formula>
    </cfRule>
    <cfRule type="cellIs" dxfId="22" priority="14" operator="equal">
      <formula>"Paradigm &amp; Ecosystem"</formula>
    </cfRule>
    <cfRule type="cellIs" dxfId="21" priority="15" operator="equal">
      <formula>"Global Variables &amp; Configuration"</formula>
    </cfRule>
  </conditionalFormatting>
  <conditionalFormatting sqref="C4:C41">
    <cfRule type="expression" dxfId="20" priority="10">
      <formula>$B4="The Immutable Kernel"</formula>
    </cfRule>
    <cfRule type="expression" dxfId="19" priority="11">
      <formula>$B4="Paradigm &amp; Ecosystem"</formula>
    </cfRule>
    <cfRule type="expression" dxfId="18" priority="12">
      <formula>$B4="Global Variables &amp; Configuration"</formula>
    </cfRule>
  </conditionalFormatting>
  <conditionalFormatting sqref="C46:C76">
    <cfRule type="expression" dxfId="17" priority="1">
      <formula>$B46="The Immutable Kernel"</formula>
    </cfRule>
    <cfRule type="expression" dxfId="16" priority="2">
      <formula>$B46="Paradigm &amp; Ecosystem"</formula>
    </cfRule>
    <cfRule type="expression" dxfId="15" priority="3">
      <formula>$B46="Global Variables &amp; Configuration"</formula>
    </cfRule>
  </conditionalFormatting>
  <conditionalFormatting sqref="C81:C100">
    <cfRule type="expression" dxfId="14" priority="4">
      <formula>$B81="The Immutable Kernel"</formula>
    </cfRule>
    <cfRule type="expression" dxfId="13" priority="5">
      <formula>$B81="Paradigm &amp; Ecosystem"</formula>
    </cfRule>
    <cfRule type="expression" dxfId="12" priority="6">
      <formula>$B81="Global Variables &amp; Configuration"</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5615-307B-4FE6-8E0D-5A0ED377C484}">
  <sheetPr>
    <tabColor theme="4" tint="0.79998168889431442"/>
  </sheetPr>
  <dimension ref="B2:AC100"/>
  <sheetViews>
    <sheetView showGridLines="0" topLeftCell="A73" zoomScaleNormal="100" workbookViewId="0">
      <selection activeCell="E80" sqref="E80:E96"/>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449</v>
      </c>
      <c r="D2" s="81" t="s">
        <v>450</v>
      </c>
      <c r="H2" s="82"/>
      <c r="T2" s="82"/>
    </row>
    <row r="3" spans="2:29">
      <c r="B3" s="76" t="s">
        <v>221</v>
      </c>
      <c r="C3" s="76" t="s">
        <v>579</v>
      </c>
      <c r="D3" s="76" t="s">
        <v>580</v>
      </c>
      <c r="E3" s="88" t="s">
        <v>228</v>
      </c>
      <c r="F3" s="4" t="s">
        <v>224</v>
      </c>
      <c r="AC3" t="s">
        <v>224</v>
      </c>
    </row>
    <row r="4" spans="2:29">
      <c r="B4" s="75" t="s">
        <v>222</v>
      </c>
      <c r="C4" s="54" t="s">
        <v>160</v>
      </c>
      <c r="D4" s="91" t="s">
        <v>453</v>
      </c>
      <c r="E4" s="77" t="str">
        <f t="shared" ref="E4:E41" si="0">IF(D4="","",""""&amp;C4&amp;" "&amp;IF(C4="[FOOTER RULE - STRICT]",D4,IF(RIGHT(D4,6)=" | "&amp;CHAR(34)&amp;" &amp;",D4,D4&amp;" | "&amp;CHAR(34)&amp;" &amp;")))</f>
        <v>"[ROLE] Tech Product Manager assigning a " &amp; $I$2 &amp; " Jira Ticket | " &amp;</v>
      </c>
      <c r="F4" s="54" t="s">
        <v>224</v>
      </c>
    </row>
    <row r="5" spans="2:29">
      <c r="B5" s="75" t="s">
        <v>222</v>
      </c>
      <c r="C5" s="54" t="s">
        <v>162</v>
      </c>
      <c r="D5" s="91" t="s">
        <v>454</v>
      </c>
      <c r="E5" s="77" t="str">
        <f t="shared" si="0"/>
        <v>"[TASK] Provide a guided implementation exercise with full solution for learning purposes | " &amp;</v>
      </c>
      <c r="F5" s="54" t="s">
        <v>224</v>
      </c>
    </row>
    <row r="6" spans="2:29">
      <c r="B6" s="75" t="s">
        <v>222</v>
      </c>
      <c r="C6" s="54" t="s">
        <v>164</v>
      </c>
      <c r="D6" s="91" t="s">
        <v>165</v>
      </c>
      <c r="E6" s="77" t="str">
        <f t="shared" si="0"/>
        <v>"[TOPIC] " &amp; I9 &amp; " | " &amp;</v>
      </c>
      <c r="F6" s="54" t="s">
        <v>224</v>
      </c>
    </row>
    <row r="7" spans="2:29">
      <c r="B7" s="75" t="s">
        <v>222</v>
      </c>
      <c r="C7" s="54" t="s">
        <v>166</v>
      </c>
      <c r="D7" s="91" t="s">
        <v>167</v>
      </c>
      <c r="E7" s="77" t="str">
        <f t="shared" si="0"/>
        <v>"[LEVEL] " &amp; G9 &amp; " | " &amp;</v>
      </c>
      <c r="F7" s="54" t="s">
        <v>224</v>
      </c>
    </row>
    <row r="8" spans="2:29">
      <c r="B8" s="75" t="s">
        <v>222</v>
      </c>
      <c r="C8" s="54" t="s">
        <v>229</v>
      </c>
      <c r="D8" s="91" t="s">
        <v>267</v>
      </c>
      <c r="E8" s="77" t="str">
        <f t="shared" si="0"/>
        <v>"[LIBRARY BEING LEARNED] " &amp; $I$3 &amp; " | " &amp;</v>
      </c>
      <c r="F8" s="54" t="s">
        <v>224</v>
      </c>
    </row>
    <row r="9" spans="2:29">
      <c r="B9" s="75" t="s">
        <v>222</v>
      </c>
      <c r="C9" s="54" t="s">
        <v>225</v>
      </c>
      <c r="D9" s="91" t="str">
        <f>"If a module or ecosystem like "&amp; Variables!E6 &amp;" is specified in "&amp; Variables!E7 &amp;", you are CRITICALLY FORBIDDEN from using "&amp; Variables!E8 &amp;". You MUST enforce the "&amp; Variables!E9 &amp;" and data structures of that specific library."</f>
        <v>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v>
      </c>
      <c r="E9" s="77" t="str">
        <f t="shared" si="0"/>
        <v>"[ECOSYSTEM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 &amp;</v>
      </c>
      <c r="F9" s="54" t="s">
        <v>224</v>
      </c>
    </row>
    <row r="10" spans="2:29">
      <c r="B10" s="75" t="s">
        <v>222</v>
      </c>
      <c r="C10" s="54" t="s">
        <v>170</v>
      </c>
      <c r="D10" s="91" t="s">
        <v>455</v>
      </c>
      <c r="E10" s="77" t="str">
        <f t="shared" si="0"/>
        <v>"[PERSONA RULE] Act as a professional Tech Product Manager writing clear Jira tickets | " &amp;</v>
      </c>
      <c r="F10" s="54" t="s">
        <v>224</v>
      </c>
    </row>
    <row r="11" spans="2:29">
      <c r="B11" s="75" t="s">
        <v>222</v>
      </c>
      <c r="C11" s="54" t="s">
        <v>172</v>
      </c>
      <c r="D11" s="91" t="s">
        <v>393</v>
      </c>
      <c r="E11"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1" s="54" t="s">
        <v>224</v>
      </c>
    </row>
    <row r="12" spans="2:29">
      <c r="B12" s="75" t="s">
        <v>222</v>
      </c>
      <c r="C12" s="54" t="s">
        <v>491</v>
      </c>
      <c r="D12" s="91" t="s">
        <v>483</v>
      </c>
      <c r="E12" s="77" t="str">
        <f t="shared" si="0"/>
        <v>"[LANGUAGE SEED CONTEXT] " &amp; IF($AE$7 = "", "Language Seed Not Necessary", "You MUST strictly follow this seed context to enhance, adapt, and naturalize your tone, vocabulary, and instructional quality in " &amp; $B$6 &amp; ": " &amp; $AE$7) &amp; " | " &amp;</v>
      </c>
      <c r="F12" s="54" t="s">
        <v>224</v>
      </c>
    </row>
    <row r="13" spans="2:29">
      <c r="B13" s="75" t="s">
        <v>222</v>
      </c>
      <c r="C13" s="54" t="s">
        <v>215</v>
      </c>
      <c r="D13" s="91" t="s">
        <v>593</v>
      </c>
      <c r="E13" s="77" t="str">
        <f t="shared" si="0"/>
        <v>"[HEADER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v>
      </c>
      <c r="F13" s="54" t="s">
        <v>224</v>
      </c>
    </row>
    <row r="14" spans="2:29">
      <c r="B14" s="83" t="s">
        <v>223</v>
      </c>
      <c r="C14" s="54" t="s">
        <v>230</v>
      </c>
      <c r="D14" s="91"/>
      <c r="E14" s="77" t="str">
        <f t="shared" si="0"/>
        <v/>
      </c>
      <c r="F14" s="54" t="s">
        <v>224</v>
      </c>
    </row>
    <row r="15" spans="2:29">
      <c r="B15" s="83" t="s">
        <v>223</v>
      </c>
      <c r="C15" s="54" t="s">
        <v>230</v>
      </c>
      <c r="D15" s="91"/>
      <c r="E15" s="77" t="str">
        <f t="shared" si="0"/>
        <v/>
      </c>
      <c r="F15" s="54" t="s">
        <v>224</v>
      </c>
    </row>
    <row r="16" spans="2:29">
      <c r="B16" s="54" t="s">
        <v>271</v>
      </c>
      <c r="C16" s="54" t="s">
        <v>669</v>
      </c>
      <c r="D16" s="91" t="s">
        <v>460</v>
      </c>
      <c r="E16" s="77" t="str">
        <f t="shared" si="0"/>
        <v>"[FUNCTIONAL_STRUCTURE_POLICY] Rule: " &amp; IF(G9="Beginner", "Use simple scripts or minimal functions. ", IF(G9="Intermediate", "Use functions where appropriate. ", "Use modular functions with clear structure. ")) &amp; " | " &amp;</v>
      </c>
      <c r="F16" s="54" t="s">
        <v>224</v>
      </c>
    </row>
    <row r="17" spans="2:6">
      <c r="B17" s="54" t="s">
        <v>271</v>
      </c>
      <c r="C17" s="54" t="s">
        <v>668</v>
      </c>
      <c r="D17" s="91" t="s">
        <v>670</v>
      </c>
      <c r="E17" s="77" t="str">
        <f t="shared" si="0"/>
        <v>"[DETERMINISTIC_OUTPUT_PROTOCOL]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v>
      </c>
      <c r="F17" s="54" t="s">
        <v>224</v>
      </c>
    </row>
    <row r="18" spans="2:6">
      <c r="B18" s="54" t="s">
        <v>271</v>
      </c>
      <c r="C18" s="54" t="s">
        <v>180</v>
      </c>
      <c r="D18" s="91" t="s">
        <v>461</v>
      </c>
      <c r="E18" s="77" t="str">
        <f t="shared" si="0"/>
        <v>"[CODE QUALITY RULE] Code MUST be clean, readable, and production-like | " &amp;</v>
      </c>
      <c r="F18" s="54" t="s">
        <v>224</v>
      </c>
    </row>
    <row r="19" spans="2:6">
      <c r="B19" s="54" t="s">
        <v>271</v>
      </c>
      <c r="C19" s="54" t="s">
        <v>188</v>
      </c>
      <c r="D19" s="91" t="s">
        <v>667</v>
      </c>
      <c r="E19" s="77" t="str">
        <f t="shared" si="0"/>
        <v>"[FILE HANDLING RULE] Use correct loaders and enforce encoding='utf-8' and newline=' when applicable or supported by the programming language. | " &amp;</v>
      </c>
      <c r="F19" s="54" t="s">
        <v>224</v>
      </c>
    </row>
    <row r="20" spans="2:6">
      <c r="B20" s="54" t="s">
        <v>271</v>
      </c>
      <c r="C20" s="54" t="s">
        <v>189</v>
      </c>
      <c r="D20" s="91" t="s">
        <v>666</v>
      </c>
      <c r="E20" s="77" t="str">
        <f t="shared" si="0"/>
        <v>"[DATA TYPE RULE] Explicit casting required before calculations if the programming language requires it. | " &amp;</v>
      </c>
      <c r="F20" s="54" t="s">
        <v>224</v>
      </c>
    </row>
    <row r="21" spans="2:6">
      <c r="B21" s="54" t="s">
        <v>271</v>
      </c>
      <c r="C21" s="54" t="s">
        <v>190</v>
      </c>
      <c r="D21" s="91" t="s">
        <v>462</v>
      </c>
      <c r="E21" s="77" t="str">
        <f t="shared" si="0"/>
        <v>"[DATA ROBUSTNESS RULE] Handle missing or malformed data safely | " &amp;</v>
      </c>
      <c r="F21" s="54" t="s">
        <v>224</v>
      </c>
    </row>
    <row r="22" spans="2:6">
      <c r="B22" s="54" t="s">
        <v>271</v>
      </c>
      <c r="C22" s="54" t="s">
        <v>191</v>
      </c>
      <c r="D22" s="91" t="s">
        <v>665</v>
      </c>
      <c r="E22" s="77" t="str">
        <f t="shared" si="0"/>
        <v>"[BOOLEAN HANDLING RULE] Normalize boolean values before comparison if the programming language requires it. | " &amp;</v>
      </c>
      <c r="F22" s="54" t="s">
        <v>224</v>
      </c>
    </row>
    <row r="23" spans="2:6">
      <c r="B23" s="54" t="s">
        <v>271</v>
      </c>
      <c r="C23" s="54" t="s">
        <v>192</v>
      </c>
      <c r="D23" s="91" t="s">
        <v>400</v>
      </c>
      <c r="E23" s="77" t="str">
        <f t="shared" si="0"/>
        <v>"[DATA CONSISTENCY RULE] Respect dataset schema | " &amp;</v>
      </c>
      <c r="F23" s="54" t="s">
        <v>224</v>
      </c>
    </row>
    <row r="24" spans="2:6">
      <c r="B24" s="54" t="s">
        <v>271</v>
      </c>
      <c r="C24" s="54" t="s">
        <v>456</v>
      </c>
      <c r="D24" s="91" t="s">
        <v>457</v>
      </c>
      <c r="E24" s="77" t="str">
        <f t="shared" si="0"/>
        <v>"[TICKET FORMAT RULE - STRICT] 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v>
      </c>
      <c r="F24" s="54" t="s">
        <v>224</v>
      </c>
    </row>
    <row r="25" spans="2:6">
      <c r="B25" s="54" t="s">
        <v>271</v>
      </c>
      <c r="C25" s="54" t="s">
        <v>174</v>
      </c>
      <c r="D25" s="91" t="s">
        <v>672</v>
      </c>
      <c r="E25" s="77" t="str">
        <f t="shared" si="0"/>
        <v>"[DATA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v>
      </c>
      <c r="F25" s="54" t="s">
        <v>224</v>
      </c>
    </row>
    <row r="26" spans="2:6">
      <c r="B26" s="54" t="s">
        <v>271</v>
      </c>
      <c r="C26" s="54" t="s">
        <v>175</v>
      </c>
      <c r="D26" s="91" t="s">
        <v>403</v>
      </c>
      <c r="E26" s="77" t="str">
        <f t="shared" si="0"/>
        <v>"[DATA SUMMARY FORMAT RULE] When a dataset is present, you MUST display IMMEDIATELY AFTER THE HEADER: Dataset Summary: - File Type: - Columns / Fields: - Data Types: - Notes: | " &amp;</v>
      </c>
      <c r="F26" s="54" t="s">
        <v>224</v>
      </c>
    </row>
    <row r="27" spans="2:6">
      <c r="B27" s="54" t="s">
        <v>271</v>
      </c>
      <c r="C27" s="54" t="s">
        <v>177</v>
      </c>
      <c r="D27" s="91" t="s">
        <v>490</v>
      </c>
      <c r="E27" s="77" t="str">
        <f t="shared" si="0"/>
        <v>"[OUTPUT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v>
      </c>
      <c r="F27" s="54" t="s">
        <v>224</v>
      </c>
    </row>
    <row r="28" spans="2:6">
      <c r="B28" s="54" t="s">
        <v>271</v>
      </c>
      <c r="C28" s="54" t="s">
        <v>178</v>
      </c>
      <c r="D28" s="91" t="s">
        <v>458</v>
      </c>
      <c r="E28" s="77" t="str">
        <f t="shared" si="0"/>
        <v>"[CODE CONSTRAINTS] 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 | " &amp;</v>
      </c>
      <c r="F28" s="54" t="s">
        <v>224</v>
      </c>
    </row>
    <row r="29" spans="2:6">
      <c r="B29" s="54" t="s">
        <v>271</v>
      </c>
      <c r="C29" s="54" t="s">
        <v>299</v>
      </c>
      <c r="D29" s="91" t="s">
        <v>463</v>
      </c>
      <c r="E29" s="77" t="str">
        <f t="shared" si="0"/>
        <v>"[SUPPORT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v>
      </c>
      <c r="F29" s="54" t="s">
        <v>224</v>
      </c>
    </row>
    <row r="30" spans="2:6">
      <c r="B30" s="54" t="s">
        <v>271</v>
      </c>
      <c r="C30" s="54" t="s">
        <v>195</v>
      </c>
      <c r="D30" s="91" t="s">
        <v>410</v>
      </c>
      <c r="E30" s="77" t="str">
        <f t="shared" si="0"/>
        <v>"[DIFFICULTY RULE] Complexity MUST match level | " &amp;</v>
      </c>
      <c r="F30" s="54" t="s">
        <v>224</v>
      </c>
    </row>
    <row r="31" spans="2:6">
      <c r="B31" s="54" t="s">
        <v>271</v>
      </c>
      <c r="C31" s="54" t="s">
        <v>207</v>
      </c>
      <c r="D31" s="91" t="s">
        <v>280</v>
      </c>
      <c r="E31" s="77" t="str">
        <f t="shared" si="0"/>
        <v>"[FORMAT RULE] Only valid markdown code blocks allowed | " &amp;</v>
      </c>
      <c r="F31" s="54" t="s">
        <v>224</v>
      </c>
    </row>
    <row r="32" spans="2:6">
      <c r="B32" s="54" t="s">
        <v>271</v>
      </c>
      <c r="C32" s="54" t="s">
        <v>209</v>
      </c>
      <c r="D32" s="91" t="s">
        <v>281</v>
      </c>
      <c r="E32" s="77" t="str">
        <f t="shared" si="0"/>
        <v>"[LANGUAGE TAG RULE] ALWAYS label markdown code blocks with the correct underlying programming language (e.g., python, javascript, sql) | " &amp;</v>
      </c>
      <c r="F32" s="54" t="s">
        <v>224</v>
      </c>
    </row>
    <row r="33" spans="2:6">
      <c r="B33" s="54" t="s">
        <v>271</v>
      </c>
      <c r="C33" s="54" t="s">
        <v>216</v>
      </c>
      <c r="D33" s="91" t="s">
        <v>464</v>
      </c>
      <c r="E33" s="77" t="str">
        <f t="shared" si="0"/>
        <v>"[OUTPUT] Only header, dataset summary or statement (if any), the defined sections, and footer | " &amp;</v>
      </c>
      <c r="F33" s="54" t="s">
        <v>224</v>
      </c>
    </row>
    <row r="34" spans="2:6">
      <c r="B34" s="54" t="s">
        <v>271</v>
      </c>
      <c r="C34" s="54" t="s">
        <v>220</v>
      </c>
      <c r="D34" s="91" t="s">
        <v>465</v>
      </c>
      <c r="E34" s="77" t="str">
        <f t="shared" si="0"/>
        <v>"[FOOTER RULE - STRICT] End your entire response EXACTLY with this markdown string (ensure all code blocks are closed before it):" &amp; CHAR(10) &amp; "---" &amp; CHAR(10) &amp; "⚡ *Coding5s System — Learn Programming by Writing Code*",</v>
      </c>
      <c r="F34" s="54" t="s">
        <v>224</v>
      </c>
    </row>
    <row r="35" spans="2:6">
      <c r="B35" s="54"/>
      <c r="C35" s="54"/>
      <c r="D35" s="91"/>
      <c r="E35" s="88" t="s">
        <v>466</v>
      </c>
      <c r="F35" s="54" t="s">
        <v>224</v>
      </c>
    </row>
    <row r="36" spans="2:6">
      <c r="B36" s="54"/>
      <c r="C36" s="54"/>
      <c r="D36" s="91"/>
      <c r="E36" s="77" t="str">
        <f t="shared" si="0"/>
        <v/>
      </c>
      <c r="F36" s="54" t="s">
        <v>224</v>
      </c>
    </row>
    <row r="37" spans="2:6">
      <c r="B37" s="54"/>
      <c r="C37" s="54"/>
      <c r="D37" s="91"/>
      <c r="E37" s="77" t="str">
        <f t="shared" si="0"/>
        <v/>
      </c>
      <c r="F37" s="54" t="s">
        <v>224</v>
      </c>
    </row>
    <row r="38" spans="2:6">
      <c r="B38" s="54"/>
      <c r="C38" s="54"/>
      <c r="D38" s="91"/>
      <c r="E38" s="77" t="str">
        <f t="shared" si="0"/>
        <v/>
      </c>
      <c r="F38" s="54" t="s">
        <v>224</v>
      </c>
    </row>
    <row r="39" spans="2:6">
      <c r="B39" s="54"/>
      <c r="C39" s="54"/>
      <c r="D39" s="91"/>
      <c r="E39" s="77" t="str">
        <f t="shared" si="0"/>
        <v/>
      </c>
      <c r="F39" s="54" t="s">
        <v>224</v>
      </c>
    </row>
    <row r="40" spans="2:6">
      <c r="B40" s="54"/>
      <c r="C40" s="54"/>
      <c r="D40" s="91"/>
      <c r="E40" s="77" t="str">
        <f t="shared" si="0"/>
        <v/>
      </c>
      <c r="F40" s="54" t="s">
        <v>224</v>
      </c>
    </row>
    <row r="41" spans="2:6">
      <c r="B41" s="54"/>
      <c r="C41" s="54"/>
      <c r="D41" s="91"/>
      <c r="E41" s="77" t="str">
        <f t="shared" si="0"/>
        <v/>
      </c>
      <c r="F41" s="54" t="s">
        <v>224</v>
      </c>
    </row>
    <row r="42" spans="2:6">
      <c r="B42" s="54"/>
      <c r="C42" s="54"/>
      <c r="D42" s="91"/>
      <c r="E42" s="77"/>
      <c r="F42" s="54"/>
    </row>
    <row r="43" spans="2:6">
      <c r="B43" s="74"/>
      <c r="C43" s="74"/>
      <c r="E43" s="86"/>
    </row>
    <row r="44" spans="2:6">
      <c r="B44" s="74"/>
      <c r="C44" s="74"/>
      <c r="E44" s="86"/>
    </row>
    <row r="45" spans="2:6" ht="36">
      <c r="B45" s="79" t="s">
        <v>451</v>
      </c>
      <c r="C45" s="74"/>
      <c r="E45" s="86"/>
    </row>
    <row r="46" spans="2:6">
      <c r="B46" s="76" t="s">
        <v>264</v>
      </c>
      <c r="C46" s="76" t="s">
        <v>579</v>
      </c>
      <c r="D46" s="76" t="s">
        <v>580</v>
      </c>
      <c r="E46" s="88" t="s">
        <v>265</v>
      </c>
      <c r="F46" s="32" t="s">
        <v>224</v>
      </c>
    </row>
    <row r="47" spans="2:6">
      <c r="B47" s="54" t="s">
        <v>222</v>
      </c>
      <c r="C47" s="54" t="s">
        <v>160</v>
      </c>
      <c r="D47" s="91" t="s">
        <v>453</v>
      </c>
      <c r="E47" s="77" t="str">
        <f>IF(D47="","",""""&amp;C47&amp;" "&amp;IF(C47="[FOOTER RULE - STRICT]",D47,IF(RIGHT(D47,6)=" | "&amp;CHAR(34)&amp;" &amp;",D47,D47&amp;" | "&amp;CHAR(34)&amp;" &amp;")))</f>
        <v>"[ROLE] Tech Product Manager assigning a " &amp; $I$2 &amp; " Jira Ticket | " &amp;</v>
      </c>
      <c r="F47" s="32" t="s">
        <v>224</v>
      </c>
    </row>
    <row r="48" spans="2:6">
      <c r="B48" s="54" t="s">
        <v>222</v>
      </c>
      <c r="C48" s="54" t="s">
        <v>162</v>
      </c>
      <c r="D48" s="91" t="s">
        <v>467</v>
      </c>
      <c r="E48" s="77" t="str">
        <f t="shared" ref="E48:E76" si="1">IF(D48="","",""""&amp;C48&amp;" "&amp;IF(C48="[FOOTER RULE - STRICT]",D48,IF(RIGHT(D48,6)=" | "&amp;CHAR(34)&amp;" &amp;",D48,D48&amp;" | "&amp;CHAR(34)&amp;" &amp;")))</f>
        <v>"[TASK] Provide a guided project implementation with full solution | " &amp;</v>
      </c>
      <c r="F48" s="32" t="s">
        <v>224</v>
      </c>
    </row>
    <row r="49" spans="2:6">
      <c r="B49" s="54" t="s">
        <v>222</v>
      </c>
      <c r="C49" s="54" t="s">
        <v>313</v>
      </c>
      <c r="D49" s="91" t="s">
        <v>165</v>
      </c>
      <c r="E49" s="77" t="str">
        <f t="shared" si="1"/>
        <v>"[PROJECT] " &amp; I9 &amp; " | " &amp;</v>
      </c>
      <c r="F49" s="32" t="s">
        <v>224</v>
      </c>
    </row>
    <row r="50" spans="2:6">
      <c r="B50" s="54" t="s">
        <v>222</v>
      </c>
      <c r="C50" s="54" t="s">
        <v>253</v>
      </c>
      <c r="D50" s="91" t="s">
        <v>712</v>
      </c>
      <c r="E50" s="77" t="str">
        <f t="shared" si="1"/>
        <v>"[TOPICS USED] " &amp; A9 &amp; " | " &amp;</v>
      </c>
      <c r="F50" s="32" t="s">
        <v>224</v>
      </c>
    </row>
    <row r="51" spans="2:6">
      <c r="B51" s="54" t="s">
        <v>222</v>
      </c>
      <c r="C51" s="54" t="s">
        <v>166</v>
      </c>
      <c r="D51" s="91" t="s">
        <v>167</v>
      </c>
      <c r="E51" s="77" t="str">
        <f t="shared" si="1"/>
        <v>"[LEVEL] " &amp; G9 &amp; " | " &amp;</v>
      </c>
      <c r="F51" s="32" t="s">
        <v>224</v>
      </c>
    </row>
    <row r="52" spans="2:6">
      <c r="B52" s="54" t="s">
        <v>222</v>
      </c>
      <c r="C52" s="54" t="s">
        <v>170</v>
      </c>
      <c r="D52" s="91" t="s">
        <v>468</v>
      </c>
      <c r="E52" s="77" t="str">
        <f t="shared" si="1"/>
        <v>"[PERSONA RULE] Act as a professional Tech Product Manager defining a project ticket | " &amp;</v>
      </c>
      <c r="F52" s="32" t="s">
        <v>224</v>
      </c>
    </row>
    <row r="53" spans="2:6">
      <c r="B53" s="54" t="s">
        <v>222</v>
      </c>
      <c r="C53" s="54" t="s">
        <v>229</v>
      </c>
      <c r="D53" s="91" t="s">
        <v>267</v>
      </c>
      <c r="E53" s="77" t="str">
        <f t="shared" si="1"/>
        <v>"[LIBRARY BEING LEARNED] " &amp; $I$3 &amp; " | " &amp;</v>
      </c>
      <c r="F53" s="32" t="s">
        <v>224</v>
      </c>
    </row>
    <row r="54" spans="2:6">
      <c r="B54" s="54" t="s">
        <v>222</v>
      </c>
      <c r="C54" s="54" t="s">
        <v>225</v>
      </c>
      <c r="D54" s="91" t="str">
        <f>"If a module or ecosystem like "&amp; Variables!E6 &amp;" is specified in "&amp; Variables!E7 &amp;", you are CRITICALLY FORBIDDEN from using "&amp; Variables!E8 &amp;". You MUST enforce the "&amp; Variables!E9 &amp;" and data structures of that specific library."</f>
        <v>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v>
      </c>
      <c r="E54" s="77" t="str">
        <f t="shared" si="1"/>
        <v>"[ECOSYSTEM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 &amp;</v>
      </c>
      <c r="F54" s="32" t="s">
        <v>224</v>
      </c>
    </row>
    <row r="55" spans="2:6">
      <c r="B55" s="54" t="s">
        <v>222</v>
      </c>
      <c r="C55" s="54" t="s">
        <v>215</v>
      </c>
      <c r="D55" s="91" t="s">
        <v>594</v>
      </c>
      <c r="E55" s="77" t="str">
        <f t="shared" si="1"/>
        <v>"[HEADER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v>
      </c>
      <c r="F55" s="32" t="s">
        <v>224</v>
      </c>
    </row>
    <row r="56" spans="2:6">
      <c r="B56" s="54" t="s">
        <v>222</v>
      </c>
      <c r="C56" s="54" t="s">
        <v>172</v>
      </c>
      <c r="D56" s="91" t="s">
        <v>469</v>
      </c>
      <c r="E56" s="77" t="str">
        <f t="shared" si="1"/>
        <v>"[LANGUAGE CONSISTENCY RULE] 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v>
      </c>
      <c r="F56" s="32" t="s">
        <v>224</v>
      </c>
    </row>
    <row r="57" spans="2:6">
      <c r="B57" s="54" t="s">
        <v>222</v>
      </c>
      <c r="C57" s="54" t="s">
        <v>491</v>
      </c>
      <c r="D57" s="91" t="s">
        <v>483</v>
      </c>
      <c r="E57" s="77" t="str">
        <f t="shared" si="1"/>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1"/>
      <c r="E58" s="77" t="str">
        <f t="shared" si="1"/>
        <v/>
      </c>
      <c r="F58" s="32" t="s">
        <v>224</v>
      </c>
    </row>
    <row r="59" spans="2:6">
      <c r="B59" s="54" t="s">
        <v>223</v>
      </c>
      <c r="C59" s="54" t="s">
        <v>230</v>
      </c>
      <c r="D59" s="91"/>
      <c r="E59" s="77" t="str">
        <f t="shared" si="1"/>
        <v/>
      </c>
      <c r="F59" s="32" t="s">
        <v>224</v>
      </c>
    </row>
    <row r="60" spans="2:6">
      <c r="B60" s="54" t="s">
        <v>271</v>
      </c>
      <c r="C60" s="54" t="s">
        <v>178</v>
      </c>
      <c r="D60" s="91" t="s">
        <v>671</v>
      </c>
      <c r="E60" s="77" t="str">
        <f t="shared" si="1"/>
        <v>"[CODE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v>
      </c>
      <c r="F60" s="32" t="s">
        <v>224</v>
      </c>
    </row>
    <row r="61" spans="2:6">
      <c r="B61" s="54" t="s">
        <v>271</v>
      </c>
      <c r="C61" s="54" t="s">
        <v>459</v>
      </c>
      <c r="D61" s="91" t="s">
        <v>470</v>
      </c>
      <c r="E61" s="77" t="str">
        <f t="shared" si="1"/>
        <v>"[CRITICAL OUTPUT RULE] Output MUST match real execution - Convert sets to sorted lists before printing | " &amp;</v>
      </c>
      <c r="F61" s="32" t="s">
        <v>224</v>
      </c>
    </row>
    <row r="62" spans="2:6">
      <c r="B62" s="54" t="s">
        <v>271</v>
      </c>
      <c r="C62" s="54" t="s">
        <v>179</v>
      </c>
      <c r="D62" s="91" t="s">
        <v>471</v>
      </c>
      <c r="E62" s="77" t="str">
        <f t="shared" si="1"/>
        <v>"[FUNCTION RULE] " &amp; IF(G9="Beginner", "Avoid complex structure. ", IF(G9="Intermediate", "Functions optional. ", "Use structured modular functions. ")) &amp; " | " &amp;</v>
      </c>
      <c r="F62" s="32" t="s">
        <v>224</v>
      </c>
    </row>
    <row r="63" spans="2:6">
      <c r="B63" s="54" t="s">
        <v>271</v>
      </c>
      <c r="C63" s="54" t="s">
        <v>456</v>
      </c>
      <c r="D63" s="91" t="s">
        <v>472</v>
      </c>
      <c r="E63" s="77" t="str">
        <f t="shared" si="1"/>
        <v>"[TICKET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v>
      </c>
      <c r="F63" s="32" t="s">
        <v>224</v>
      </c>
    </row>
    <row r="64" spans="2:6">
      <c r="B64" s="54" t="s">
        <v>271</v>
      </c>
      <c r="C64" s="54" t="s">
        <v>174</v>
      </c>
      <c r="D64" s="91" t="s">
        <v>473</v>
      </c>
      <c r="E64"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v>
      </c>
      <c r="F64" s="32" t="s">
        <v>224</v>
      </c>
    </row>
    <row r="65" spans="2:6">
      <c r="B65" s="54" t="s">
        <v>271</v>
      </c>
      <c r="C65" s="54" t="s">
        <v>177</v>
      </c>
      <c r="D65" s="91" t="s">
        <v>474</v>
      </c>
      <c r="E65" s="77" t="str">
        <f t="shared" si="1"/>
        <v>"[OUTPUT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v>
      </c>
      <c r="F65" s="32" t="s">
        <v>224</v>
      </c>
    </row>
    <row r="66" spans="2:6">
      <c r="B66" s="54" t="s">
        <v>271</v>
      </c>
      <c r="C66" s="54" t="s">
        <v>180</v>
      </c>
      <c r="D66" s="91" t="s">
        <v>475</v>
      </c>
      <c r="E66" s="77" t="str">
        <f t="shared" si="1"/>
        <v>"[CODE QUALITY RULE] Code MUST be clean and realistic | " &amp;</v>
      </c>
      <c r="F66" s="32" t="s">
        <v>224</v>
      </c>
    </row>
    <row r="67" spans="2:6">
      <c r="B67" s="54" t="s">
        <v>271</v>
      </c>
      <c r="C67" s="54" t="s">
        <v>190</v>
      </c>
      <c r="D67" s="91" t="s">
        <v>419</v>
      </c>
      <c r="E67" s="77" t="str">
        <f t="shared" si="1"/>
        <v>"[DATA ROBUSTNESS RULE] Handle real-world data safely | " &amp;</v>
      </c>
      <c r="F67" s="32" t="s">
        <v>224</v>
      </c>
    </row>
    <row r="68" spans="2:6">
      <c r="B68" s="54" t="s">
        <v>271</v>
      </c>
      <c r="C68" s="54" t="s">
        <v>207</v>
      </c>
      <c r="D68" s="91" t="s">
        <v>476</v>
      </c>
      <c r="E68" s="77" t="str">
        <f t="shared" si="1"/>
        <v>"[FORMAT RULE] Only markdown code blocks allowed | " &amp;</v>
      </c>
      <c r="F68" s="32" t="s">
        <v>224</v>
      </c>
    </row>
    <row r="69" spans="2:6">
      <c r="B69" s="54" t="s">
        <v>271</v>
      </c>
      <c r="C69" s="54" t="s">
        <v>209</v>
      </c>
      <c r="D69" s="91" t="s">
        <v>281</v>
      </c>
      <c r="E69" s="77" t="str">
        <f t="shared" si="1"/>
        <v>"[LANGUAGE TAG RULE] ALWAYS label markdown code blocks with the correct underlying programming language (e.g., python, javascript, sql) | " &amp;</v>
      </c>
      <c r="F69" s="32" t="s">
        <v>224</v>
      </c>
    </row>
    <row r="70" spans="2:6">
      <c r="B70" s="54" t="s">
        <v>271</v>
      </c>
      <c r="C70" s="54" t="s">
        <v>259</v>
      </c>
      <c r="D70" s="91" t="s">
        <v>477</v>
      </c>
      <c r="E70" s="77" t="str">
        <f t="shared" si="1"/>
        <v>"[EXECUTION RULE] Code MUST run correctly | " &amp;</v>
      </c>
      <c r="F70" s="32" t="s">
        <v>224</v>
      </c>
    </row>
    <row r="71" spans="2:6">
      <c r="B71" s="54" t="s">
        <v>271</v>
      </c>
      <c r="C71" s="54" t="s">
        <v>216</v>
      </c>
      <c r="D71" s="91" t="s">
        <v>478</v>
      </c>
      <c r="E71" s="77" t="str">
        <f t="shared" si="1"/>
        <v>"[OUTPUT] Only header, dataset summary or statement (if any), defined sections, and footer, | " &amp;</v>
      </c>
      <c r="F71" s="32" t="s">
        <v>224</v>
      </c>
    </row>
    <row r="72" spans="2:6">
      <c r="B72" s="54" t="s">
        <v>271</v>
      </c>
      <c r="C72" s="54" t="s">
        <v>220</v>
      </c>
      <c r="D72" s="91" t="s">
        <v>263</v>
      </c>
      <c r="E72" s="77" t="str">
        <f t="shared" si="1"/>
        <v>"[FOOTER RULE - STRICT] End your entire response EXACTLY with this markdown string (ensure all code blocks are closed before it):" &amp; CHAR(10) &amp; "---" &amp; CHAR(10) &amp; "⚡ *Coding5s System — Learn Programming by Writing Code*")</v>
      </c>
      <c r="F72" s="32" t="s">
        <v>224</v>
      </c>
    </row>
    <row r="73" spans="2:6">
      <c r="B73" s="54"/>
      <c r="C73" s="54"/>
      <c r="D73" s="91"/>
      <c r="E73" s="77" t="str">
        <f t="shared" si="1"/>
        <v/>
      </c>
      <c r="F73" s="32" t="s">
        <v>224</v>
      </c>
    </row>
    <row r="74" spans="2:6">
      <c r="B74" s="54"/>
      <c r="C74" s="54"/>
      <c r="D74" s="91"/>
      <c r="E74" s="77" t="str">
        <f t="shared" si="1"/>
        <v/>
      </c>
      <c r="F74" s="32" t="s">
        <v>224</v>
      </c>
    </row>
    <row r="75" spans="2:6">
      <c r="B75" s="54"/>
      <c r="C75" s="54"/>
      <c r="D75" s="91"/>
      <c r="E75" s="77" t="str">
        <f t="shared" si="1"/>
        <v/>
      </c>
      <c r="F75" s="32" t="s">
        <v>224</v>
      </c>
    </row>
    <row r="76" spans="2:6">
      <c r="B76" s="54"/>
      <c r="C76" s="54"/>
      <c r="D76" s="91"/>
      <c r="E76" s="77" t="str">
        <f t="shared" si="1"/>
        <v/>
      </c>
      <c r="F76" s="32" t="s">
        <v>224</v>
      </c>
    </row>
    <row r="77" spans="2:6">
      <c r="E77" s="86"/>
      <c r="F77" t="s">
        <v>224</v>
      </c>
    </row>
    <row r="79" spans="2:6" ht="36">
      <c r="B79" s="80" t="s">
        <v>452</v>
      </c>
    </row>
    <row r="80" spans="2:6">
      <c r="B80" s="76" t="s">
        <v>221</v>
      </c>
      <c r="C80" s="76" t="s">
        <v>579</v>
      </c>
      <c r="D80" s="76" t="s">
        <v>580</v>
      </c>
      <c r="E80" s="89" t="s">
        <v>234</v>
      </c>
      <c r="F80" s="54" t="s">
        <v>224</v>
      </c>
    </row>
    <row r="81" spans="2:6">
      <c r="B81" s="54" t="s">
        <v>222</v>
      </c>
      <c r="C81" s="54" t="s">
        <v>479</v>
      </c>
      <c r="D81" s="91" t="s">
        <v>480</v>
      </c>
      <c r="E81" s="17" t="str">
        <f t="shared" ref="E81:E95" si="2">IF(D81="","",""""&amp;C81&amp;" "&amp;IF(OR(C81="[FOOTER RULE - STRICT]",C81="[FOOTER RULE]"),D81,IF(RIGHT(D81,6)=" | "&amp;CHAR(34)&amp;" &amp;",D81,D81&amp;" | "&amp;CHAR(34)&amp;" &amp;")))</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v>
      </c>
      <c r="F81" s="54" t="s">
        <v>224</v>
      </c>
    </row>
    <row r="82" spans="2:6">
      <c r="B82" s="54" t="s">
        <v>222</v>
      </c>
      <c r="C82" s="54" t="s">
        <v>236</v>
      </c>
      <c r="D82" s="91" t="s">
        <v>481</v>
      </c>
      <c r="E82" s="17" t="str">
        <f t="shared" si="2"/>
        <v>"[CULTURAL &amp; JARGON RULE] 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 | " &amp;</v>
      </c>
      <c r="F82" s="54" t="s">
        <v>224</v>
      </c>
    </row>
    <row r="83" spans="2:6">
      <c r="B83" s="54" t="s">
        <v>222</v>
      </c>
      <c r="C83" s="54" t="s">
        <v>237</v>
      </c>
      <c r="D83" s="91" t="s">
        <v>717</v>
      </c>
      <c r="E83" s="17" t="str">
        <f t="shared" si="2"/>
        <v>"[CONTEXT] You are reviewing the final implementation of a new feature for a " &amp; IF(UPPER(H9)="PROJECT", "PROJECT: " &amp; I9 &amp; ". Topics integrated: " &amp; A9 &amp; ". Business Goal: " &amp; J9, "TOPIC: " &amp; I9 &amp; ". Goal: " &amp; J9) &amp; " | " &amp;</v>
      </c>
      <c r="F83" s="54" t="s">
        <v>224</v>
      </c>
    </row>
    <row r="84" spans="2:6">
      <c r="B84" s="54" t="s">
        <v>222</v>
      </c>
      <c r="C84" s="54" t="s">
        <v>162</v>
      </c>
      <c r="D84" s="91" t="s">
        <v>482</v>
      </c>
      <c r="E84" s="17" t="str">
        <f t="shared" si="2"/>
        <v>"[TASK] Analyze the extension code. If they already anticipated the edge cases and scalability issues (e.g., using generators or async patterns), give them the 'Architect's Approval' and discuss a more advanced trade-off. Otherwise, follow the 2-PHASE MENTORING PROTOCOL | " &amp;</v>
      </c>
      <c r="F84" s="54" t="s">
        <v>224</v>
      </c>
    </row>
    <row r="85" spans="2:6">
      <c r="B85" s="54" t="s">
        <v>222</v>
      </c>
      <c r="C85" s="54" t="s">
        <v>229</v>
      </c>
      <c r="D85" s="91" t="s">
        <v>267</v>
      </c>
      <c r="E85" s="17" t="str">
        <f t="shared" si="2"/>
        <v>"[LIBRARY BEING LEARNED] " &amp; $I$3 &amp; " | " &amp;</v>
      </c>
      <c r="F85" s="54" t="s">
        <v>224</v>
      </c>
    </row>
    <row r="86" spans="2:6">
      <c r="B86" s="54" t="s">
        <v>222</v>
      </c>
      <c r="C86" s="54" t="s">
        <v>172</v>
      </c>
      <c r="D86" s="91"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1" t="s">
        <v>483</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1" t="s">
        <v>595</v>
      </c>
      <c r="E88" s="17" t="str">
        <f t="shared" si="2"/>
        <v>"[HEADER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v>
      </c>
      <c r="F88" s="54" t="s">
        <v>224</v>
      </c>
    </row>
    <row r="89" spans="2:6">
      <c r="B89" s="54" t="s">
        <v>223</v>
      </c>
      <c r="C89" s="54" t="s">
        <v>230</v>
      </c>
      <c r="D89" s="91"/>
      <c r="E89" s="17" t="str">
        <f t="shared" si="2"/>
        <v/>
      </c>
      <c r="F89" s="54" t="s">
        <v>224</v>
      </c>
    </row>
    <row r="90" spans="2:6">
      <c r="B90" s="54" t="s">
        <v>223</v>
      </c>
      <c r="C90" s="54" t="s">
        <v>663</v>
      </c>
      <c r="D90" s="91" t="str">
        <f>Variables!E57 &amp; " | " &amp; CHAR(34) &amp; " &amp;"</f>
        <v>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 &amp;</v>
      </c>
      <c r="E90" s="17" t="str">
        <f t="shared" si="2"/>
        <v>"[CODE_QUALITY_PROTOCOL]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 &amp;</v>
      </c>
      <c r="F90" s="54" t="s">
        <v>224</v>
      </c>
    </row>
    <row r="91" spans="2:6">
      <c r="B91" s="54" t="s">
        <v>271</v>
      </c>
      <c r="C91" s="54" t="s">
        <v>238</v>
      </c>
      <c r="D91" s="91" t="s">
        <v>484</v>
      </c>
      <c r="E91" s="17" t="str">
        <f t="shared" si="2"/>
        <v>"[EMPTY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v>
      </c>
      <c r="F91" s="54" t="s">
        <v>224</v>
      </c>
    </row>
    <row r="92" spans="2:6">
      <c r="B92" s="54" t="s">
        <v>271</v>
      </c>
      <c r="C92" s="54" t="s">
        <v>240</v>
      </c>
      <c r="D92" s="91" t="s">
        <v>485</v>
      </c>
      <c r="E92" s="17" t="str">
        <f t="shared" si="2"/>
        <v>"[PHASE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v>
      </c>
      <c r="F92" s="54" t="s">
        <v>224</v>
      </c>
    </row>
    <row r="93" spans="2:6">
      <c r="B93" s="54" t="s">
        <v>271</v>
      </c>
      <c r="C93" s="54" t="s">
        <v>241</v>
      </c>
      <c r="D93" s="91" t="s">
        <v>486</v>
      </c>
      <c r="E93" s="17" t="str">
        <f t="shared" si="2"/>
        <v>"[EXPLANATION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v>
      </c>
      <c r="F93" s="54" t="s">
        <v>224</v>
      </c>
    </row>
    <row r="94" spans="2:6">
      <c r="B94" s="54" t="s">
        <v>271</v>
      </c>
      <c r="C94" s="54" t="s">
        <v>487</v>
      </c>
      <c r="D94" s="91" t="s">
        <v>488</v>
      </c>
      <c r="E94" s="17" t="str">
        <f t="shared" si="2"/>
        <v>"[PHASE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v>
      </c>
      <c r="F94" s="54" t="s">
        <v>224</v>
      </c>
    </row>
    <row r="95" spans="2:6">
      <c r="B95" s="54" t="s">
        <v>271</v>
      </c>
      <c r="C95" s="54" t="s">
        <v>330</v>
      </c>
      <c r="D95" s="91" t="s">
        <v>489</v>
      </c>
      <c r="E95" s="17" t="str">
        <f t="shared" si="2"/>
        <v>"[FOOTER RULE] End your response with: '--- ⚡ *Coding5s Mentor System — Eliminating Epistemic Debt &amp; Shipping to Production*'",</v>
      </c>
      <c r="F95" s="54" t="s">
        <v>224</v>
      </c>
    </row>
    <row r="96" spans="2:6">
      <c r="B96" s="54"/>
      <c r="C96" s="54"/>
      <c r="D96" s="91"/>
      <c r="E96" s="89" t="s">
        <v>437</v>
      </c>
      <c r="F96" s="54" t="s">
        <v>224</v>
      </c>
    </row>
    <row r="97" spans="2:6">
      <c r="B97" s="54"/>
      <c r="C97" s="54"/>
      <c r="D97" s="91"/>
      <c r="E97" s="77" t="str">
        <f t="shared" ref="E97:E100" si="3">IF(D97="","",""""&amp;C97&amp;" "&amp;IF(C97="[FOOTER RULE - STRICT]",D97,IF(RIGHT(D97,6)=" | "&amp;CHAR(34)&amp;" &amp;",D97,D97&amp;" | "&amp;CHAR(34)&amp;" &amp;")))</f>
        <v/>
      </c>
      <c r="F97" s="54" t="s">
        <v>224</v>
      </c>
    </row>
    <row r="98" spans="2:6">
      <c r="B98" s="54"/>
      <c r="C98" s="54"/>
      <c r="D98" s="91"/>
      <c r="E98" s="77" t="str">
        <f t="shared" si="3"/>
        <v/>
      </c>
      <c r="F98" s="54" t="s">
        <v>224</v>
      </c>
    </row>
    <row r="99" spans="2:6">
      <c r="B99" s="54"/>
      <c r="C99" s="54"/>
      <c r="D99" s="91"/>
      <c r="E99" s="77" t="str">
        <f t="shared" si="3"/>
        <v/>
      </c>
      <c r="F99" s="54" t="s">
        <v>224</v>
      </c>
    </row>
    <row r="100" spans="2:6">
      <c r="B100" s="54"/>
      <c r="C100" s="54"/>
      <c r="D100" s="91"/>
      <c r="E100" s="77" t="str">
        <f t="shared" si="3"/>
        <v/>
      </c>
      <c r="F100" s="54" t="s">
        <v>224</v>
      </c>
    </row>
  </sheetData>
  <conditionalFormatting sqref="B1:B1048576">
    <cfRule type="cellIs" dxfId="11" priority="10" operator="equal">
      <formula>"The Immutable Kernel"</formula>
    </cfRule>
    <cfRule type="cellIs" dxfId="10" priority="11" operator="equal">
      <formula>"Paradigm &amp; Ecosystem"</formula>
    </cfRule>
    <cfRule type="cellIs" dxfId="9" priority="12" operator="equal">
      <formula>"Global Variables &amp; Configuration"</formula>
    </cfRule>
  </conditionalFormatting>
  <conditionalFormatting sqref="C4:C42">
    <cfRule type="expression" dxfId="8" priority="7">
      <formula>$B4="The Immutable Kernel"</formula>
    </cfRule>
    <cfRule type="expression" dxfId="7" priority="8">
      <formula>$B4="Paradigm &amp; Ecosystem"</formula>
    </cfRule>
    <cfRule type="expression" dxfId="6" priority="9">
      <formula>$B4="Global Variables &amp; Configuration"</formula>
    </cfRule>
  </conditionalFormatting>
  <conditionalFormatting sqref="C47:C76">
    <cfRule type="expression" dxfId="5" priority="4">
      <formula>$B47="The Immutable Kernel"</formula>
    </cfRule>
    <cfRule type="expression" dxfId="4" priority="5">
      <formula>$B47="Paradigm &amp; Ecosystem"</formula>
    </cfRule>
    <cfRule type="expression" dxfId="3" priority="6">
      <formula>$B47="Global Variables &amp; Configuration"</formula>
    </cfRule>
  </conditionalFormatting>
  <conditionalFormatting sqref="C81:C100">
    <cfRule type="expression" dxfId="2" priority="1">
      <formula>$B81="The Immutable Kernel"</formula>
    </cfRule>
    <cfRule type="expression" dxfId="1" priority="2">
      <formula>$B81="Paradigm &amp; Ecosystem"</formula>
    </cfRule>
    <cfRule type="expression" dxfId="0" priority="3">
      <formula>$B81="Global Variables &amp; Configuration"</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67FC-E7C3-4DC7-B5E1-4045F280E864}">
  <dimension ref="B2:E19"/>
  <sheetViews>
    <sheetView workbookViewId="0">
      <selection activeCell="E6" sqref="E6"/>
    </sheetView>
  </sheetViews>
  <sheetFormatPr defaultRowHeight="15"/>
  <cols>
    <col min="2" max="2" width="6.42578125" customWidth="1"/>
    <col min="3" max="3" width="34.5703125" bestFit="1" customWidth="1"/>
    <col min="4" max="4" width="8.7109375" bestFit="1" customWidth="1"/>
    <col min="5" max="5" width="152.85546875" bestFit="1" customWidth="1"/>
  </cols>
  <sheetData>
    <row r="2" spans="2:5">
      <c r="B2" t="s">
        <v>550</v>
      </c>
      <c r="C2" t="s">
        <v>521</v>
      </c>
      <c r="D2" t="s">
        <v>23</v>
      </c>
      <c r="E2" t="s">
        <v>551</v>
      </c>
    </row>
    <row r="3" spans="2:5">
      <c r="B3" t="s">
        <v>522</v>
      </c>
      <c r="C3" t="s">
        <v>18</v>
      </c>
      <c r="D3" t="s">
        <v>523</v>
      </c>
      <c r="E3" t="s">
        <v>552</v>
      </c>
    </row>
    <row r="4" spans="2:5">
      <c r="B4" t="s">
        <v>524</v>
      </c>
      <c r="C4" t="s">
        <v>542</v>
      </c>
      <c r="D4" t="s">
        <v>523</v>
      </c>
      <c r="E4" t="s">
        <v>553</v>
      </c>
    </row>
    <row r="5" spans="2:5">
      <c r="B5" t="s">
        <v>525</v>
      </c>
      <c r="C5" t="s">
        <v>21</v>
      </c>
      <c r="D5" t="s">
        <v>523</v>
      </c>
      <c r="E5" t="s">
        <v>554</v>
      </c>
    </row>
    <row r="6" spans="2:5">
      <c r="B6" t="s">
        <v>526</v>
      </c>
      <c r="C6" t="s">
        <v>22</v>
      </c>
      <c r="D6" t="s">
        <v>523</v>
      </c>
      <c r="E6" t="s">
        <v>555</v>
      </c>
    </row>
    <row r="7" spans="2:5">
      <c r="B7" t="s">
        <v>527</v>
      </c>
      <c r="C7" t="s">
        <v>23</v>
      </c>
      <c r="D7" t="s">
        <v>523</v>
      </c>
      <c r="E7" t="s">
        <v>556</v>
      </c>
    </row>
    <row r="8" spans="2:5">
      <c r="B8" t="s">
        <v>528</v>
      </c>
      <c r="C8" t="s">
        <v>24</v>
      </c>
      <c r="D8" t="s">
        <v>523</v>
      </c>
      <c r="E8" t="s">
        <v>557</v>
      </c>
    </row>
    <row r="9" spans="2:5">
      <c r="B9" t="s">
        <v>529</v>
      </c>
      <c r="C9" t="s">
        <v>25</v>
      </c>
      <c r="D9" t="s">
        <v>523</v>
      </c>
      <c r="E9" t="s">
        <v>558</v>
      </c>
    </row>
    <row r="10" spans="2:5">
      <c r="B10" t="s">
        <v>530</v>
      </c>
      <c r="C10" t="s">
        <v>45</v>
      </c>
      <c r="D10" t="s">
        <v>531</v>
      </c>
      <c r="E10" t="s">
        <v>559</v>
      </c>
    </row>
    <row r="11" spans="2:5">
      <c r="B11" t="s">
        <v>532</v>
      </c>
      <c r="C11" t="s">
        <v>533</v>
      </c>
      <c r="D11" t="s">
        <v>531</v>
      </c>
      <c r="E11" t="s">
        <v>560</v>
      </c>
    </row>
    <row r="12" spans="2:5">
      <c r="B12" t="s">
        <v>534</v>
      </c>
      <c r="C12" t="s">
        <v>543</v>
      </c>
      <c r="D12" t="s">
        <v>531</v>
      </c>
      <c r="E12" t="s">
        <v>561</v>
      </c>
    </row>
    <row r="13" spans="2:5">
      <c r="B13" t="s">
        <v>535</v>
      </c>
      <c r="C13" t="s">
        <v>498</v>
      </c>
      <c r="D13" t="s">
        <v>531</v>
      </c>
      <c r="E13" t="s">
        <v>562</v>
      </c>
    </row>
    <row r="14" spans="2:5">
      <c r="B14" t="s">
        <v>536</v>
      </c>
      <c r="C14" t="s">
        <v>544</v>
      </c>
      <c r="D14" t="s">
        <v>523</v>
      </c>
      <c r="E14" t="s">
        <v>563</v>
      </c>
    </row>
    <row r="15" spans="2:5">
      <c r="B15" t="s">
        <v>537</v>
      </c>
      <c r="C15" t="s">
        <v>545</v>
      </c>
      <c r="D15" t="s">
        <v>523</v>
      </c>
      <c r="E15" t="s">
        <v>564</v>
      </c>
    </row>
    <row r="16" spans="2:5">
      <c r="B16" t="s">
        <v>538</v>
      </c>
      <c r="C16" t="s">
        <v>546</v>
      </c>
      <c r="D16" t="s">
        <v>523</v>
      </c>
      <c r="E16" t="s">
        <v>565</v>
      </c>
    </row>
    <row r="17" spans="2:5">
      <c r="B17" t="s">
        <v>539</v>
      </c>
      <c r="C17" t="s">
        <v>547</v>
      </c>
      <c r="D17" t="s">
        <v>523</v>
      </c>
      <c r="E17" t="s">
        <v>566</v>
      </c>
    </row>
    <row r="18" spans="2:5">
      <c r="B18" t="s">
        <v>540</v>
      </c>
      <c r="C18" t="s">
        <v>548</v>
      </c>
      <c r="D18" t="s">
        <v>523</v>
      </c>
      <c r="E18" t="s">
        <v>567</v>
      </c>
    </row>
    <row r="19" spans="2:5">
      <c r="B19" t="s">
        <v>541</v>
      </c>
      <c r="C19" t="s">
        <v>549</v>
      </c>
      <c r="D19" t="s">
        <v>523</v>
      </c>
      <c r="E19" t="s">
        <v>568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C0CD-3B2A-4DA0-A954-04B702664FC8}">
  <dimension ref="B2:K25"/>
  <sheetViews>
    <sheetView showGridLines="0" workbookViewId="0">
      <selection activeCell="A26" sqref="A26"/>
    </sheetView>
  </sheetViews>
  <sheetFormatPr defaultRowHeight="15"/>
  <cols>
    <col min="1" max="1" width="3.140625" customWidth="1"/>
  </cols>
  <sheetData>
    <row r="2" spans="2:11">
      <c r="B2" s="105" t="s">
        <v>502</v>
      </c>
      <c r="C2" s="106"/>
      <c r="D2" s="106"/>
      <c r="E2" s="106"/>
      <c r="F2" s="106"/>
      <c r="G2" s="106"/>
      <c r="H2" s="106"/>
      <c r="I2" s="106"/>
      <c r="J2" s="106"/>
      <c r="K2" s="107"/>
    </row>
    <row r="3" spans="2:11">
      <c r="B3" s="108"/>
      <c r="K3" s="109"/>
    </row>
    <row r="4" spans="2:11">
      <c r="B4" s="108" t="s">
        <v>503</v>
      </c>
      <c r="K4" s="109"/>
    </row>
    <row r="5" spans="2:11">
      <c r="B5" s="108"/>
      <c r="K5" s="109"/>
    </row>
    <row r="6" spans="2:11">
      <c r="B6" s="110" t="s">
        <v>504</v>
      </c>
      <c r="K6" s="109"/>
    </row>
    <row r="7" spans="2:11">
      <c r="B7" s="110" t="s">
        <v>505</v>
      </c>
      <c r="K7" s="109"/>
    </row>
    <row r="8" spans="2:11">
      <c r="B8" s="110" t="s">
        <v>506</v>
      </c>
      <c r="K8" s="109"/>
    </row>
    <row r="9" spans="2:11">
      <c r="B9" s="110" t="s">
        <v>507</v>
      </c>
      <c r="K9" s="109"/>
    </row>
    <row r="10" spans="2:11">
      <c r="B10" s="110" t="s">
        <v>508</v>
      </c>
      <c r="K10" s="109"/>
    </row>
    <row r="11" spans="2:11">
      <c r="B11" s="110" t="s">
        <v>509</v>
      </c>
      <c r="K11" s="109"/>
    </row>
    <row r="12" spans="2:11">
      <c r="B12" s="110"/>
      <c r="K12" s="109"/>
    </row>
    <row r="13" spans="2:11">
      <c r="B13" s="110" t="s">
        <v>510</v>
      </c>
      <c r="K13" s="109"/>
    </row>
    <row r="14" spans="2:11">
      <c r="B14" s="110" t="s">
        <v>511</v>
      </c>
      <c r="K14" s="109"/>
    </row>
    <row r="15" spans="2:11">
      <c r="B15" s="110"/>
      <c r="K15" s="109"/>
    </row>
    <row r="16" spans="2:11">
      <c r="B16" s="110" t="s">
        <v>512</v>
      </c>
      <c r="K16" s="109"/>
    </row>
    <row r="17" spans="2:11">
      <c r="B17" s="110" t="s">
        <v>513</v>
      </c>
      <c r="K17" s="109"/>
    </row>
    <row r="18" spans="2:11">
      <c r="B18" s="110" t="s">
        <v>514</v>
      </c>
      <c r="K18" s="109"/>
    </row>
    <row r="19" spans="2:11">
      <c r="B19" s="110" t="s">
        <v>515</v>
      </c>
      <c r="K19" s="109"/>
    </row>
    <row r="20" spans="2:11">
      <c r="B20" s="110" t="s">
        <v>516</v>
      </c>
      <c r="K20" s="109"/>
    </row>
    <row r="21" spans="2:11">
      <c r="B21" s="110" t="s">
        <v>517</v>
      </c>
      <c r="K21" s="109"/>
    </row>
    <row r="22" spans="2:11">
      <c r="B22" s="110" t="s">
        <v>518</v>
      </c>
      <c r="K22" s="109"/>
    </row>
    <row r="23" spans="2:11">
      <c r="B23" s="110"/>
      <c r="K23" s="109"/>
    </row>
    <row r="24" spans="2:11">
      <c r="B24" s="110" t="s">
        <v>519</v>
      </c>
      <c r="D24" s="114" t="s">
        <v>520</v>
      </c>
      <c r="K24" s="109"/>
    </row>
    <row r="25" spans="2:11">
      <c r="B25" s="111" t="s">
        <v>708</v>
      </c>
      <c r="C25" s="112"/>
      <c r="D25" s="135" t="s">
        <v>709</v>
      </c>
      <c r="E25" s="112"/>
      <c r="F25" s="112"/>
      <c r="G25" s="112"/>
      <c r="H25" s="112"/>
      <c r="I25" s="112"/>
      <c r="J25" s="112"/>
      <c r="K25" s="113"/>
    </row>
  </sheetData>
  <hyperlinks>
    <hyperlink ref="D24" r:id="rId1" xr:uid="{C1585F6D-E84E-4BDD-BFC6-8C9DE04D69FF}"/>
    <hyperlink ref="D25" r:id="rId2" xr:uid="{A95008B9-006C-4ED2-8260-C9DECD11B08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8C24-33BE-44DB-863E-82947C8C3CEA}">
  <dimension ref="A1:A16"/>
  <sheetViews>
    <sheetView showGridLines="0" workbookViewId="0">
      <selection activeCell="F14" sqref="F14"/>
    </sheetView>
  </sheetViews>
  <sheetFormatPr defaultRowHeight="15"/>
  <sheetData>
    <row r="1" spans="1:1" ht="18">
      <c r="A1" s="115" t="s">
        <v>569</v>
      </c>
    </row>
    <row r="3" spans="1:1">
      <c r="A3" t="s">
        <v>570</v>
      </c>
    </row>
    <row r="4" spans="1:1">
      <c r="A4" s="116"/>
    </row>
    <row r="5" spans="1:1">
      <c r="A5" s="117" t="s">
        <v>571</v>
      </c>
    </row>
    <row r="6" spans="1:1">
      <c r="A6" s="118"/>
    </row>
    <row r="7" spans="1:1">
      <c r="A7" s="119" t="s">
        <v>572</v>
      </c>
    </row>
    <row r="8" spans="1:1">
      <c r="A8" s="119" t="s">
        <v>573</v>
      </c>
    </row>
    <row r="9" spans="1:1">
      <c r="A9" s="116"/>
    </row>
    <row r="10" spans="1:1">
      <c r="A10" s="117" t="s">
        <v>574</v>
      </c>
    </row>
    <row r="11" spans="1:1">
      <c r="A11" s="118"/>
    </row>
    <row r="12" spans="1:1">
      <c r="A12" s="118" t="s">
        <v>575</v>
      </c>
    </row>
    <row r="13" spans="1:1">
      <c r="A13" s="118" t="s">
        <v>576</v>
      </c>
    </row>
    <row r="14" spans="1:1">
      <c r="A14" s="118" t="s">
        <v>577</v>
      </c>
    </row>
    <row r="15" spans="1:1">
      <c r="A15" s="116"/>
    </row>
    <row r="16" spans="1:1">
      <c r="A16" s="117" t="s">
        <v>578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PromptGenerator</vt:lpstr>
      <vt:lpstr>HowToStudy</vt:lpstr>
      <vt:lpstr>Variables</vt:lpstr>
      <vt:lpstr>FGen_S1</vt:lpstr>
      <vt:lpstr>FGen_S2</vt:lpstr>
      <vt:lpstr>FGen_S3</vt:lpstr>
      <vt:lpstr>FGen_S4</vt:lpstr>
      <vt:lpstr>FGen_S5</vt:lpstr>
      <vt:lpstr>CellReference</vt:lpstr>
      <vt:lpstr>License</vt:lpstr>
      <vt:lpstr>HowTo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2026-06-26T06:07:42Z</dcterms:created>
  <dcterms:modified xsi:type="dcterms:W3CDTF">2026-08-09T00:19:58Z</dcterms:modified>
</cp:coreProperties>
</file>